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5ec903a11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与原则" sheetId="1" r:id="Rd381aeb0c25743df"/>
    <x:sheet xmlns:r="http://schemas.openxmlformats.org/officeDocument/2006/relationships" name="场次配时" sheetId="2" r:id="R11ba560e0c4740b0"/>
    <x:sheet xmlns:r="http://schemas.openxmlformats.org/officeDocument/2006/relationships" name="119镜优化表" sheetId="3" r:id="Rc99f68eb10bf449d"/>
    <x:sheet xmlns:r="http://schemas.openxmlformats.org/officeDocument/2006/relationships" name="对白时长审计" sheetId="4" r:id="R4aff05141776449c"/>
    <x:sheet xmlns:r="http://schemas.openxmlformats.org/officeDocument/2006/relationships" name="事实依据" sheetId="5" r:id="R911a618f412b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%"/>
    <x:numFmt numFmtId="202" formatCode="[m]:ss"/>
    <x:numFmt numFmtId="203" formatCode="0.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1F2933"/>
      <x:name val="Microsoft YaHei"/>
    </x:font>
    <x:font>
      <x:sz val="11"/>
      <x:color rgb="FF1F2933"/>
      <x:name val="Microsoft YaHei"/>
    </x:font>
    <x:font>
      <x:sz val="11"/>
      <x:color rgb="FF1F2933"/>
      <x:name val="Carlito"/>
    </x:font>
    <x:font>
      <x:sz val="9"/>
      <x:color rgb="FF1F2933"/>
      <x:name val="Microsoft YaHei"/>
    </x:font>
    <x:font>
      <x:b/>
      <x:sz val="9"/>
      <x:color rgb="FF1F2933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FF7"/>
      </x:patternFill>
    </x:fill>
    <x:fill>
      <x:patternFill patternType="solid">
        <x:fgColor rgb="FF2B5C8A"/>
      </x:patternFill>
    </x:fill>
    <x:fill>
      <x:patternFill patternType="solid">
        <x:fgColor rgb="FFF4F7FA"/>
      </x:patternFill>
    </x:fill>
  </x:fills>
  <x:borders count="7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CBD5DF"/>
      </x:bottom>
    </x:border>
    <x:border>
      <x:top style="thin">
        <x:color rgb="FFCBD5DF"/>
      </x:top>
      <x:bottom style="thin">
        <x:color rgb="FFCBD5DF"/>
      </x:bottom>
    </x:border>
    <x:border>
      <x:top style="thin">
        <x:color rgb="FFCBD5DF"/>
      </x:top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200" fontId="2" fillId="5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5" fillId="4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4" fillId="3" borderId="0" xfId="0" applyNumberFormat="1" applyFont="1" applyFill="1" applyBorder="1"/>
    <x:xf numFmtId="201" fontId="0" fillId="0" borderId="0" xfId="0" applyNumberFormat="1" applyFont="1" applyFill="1" applyBorder="1"/>
    <x:xf numFmtId="201" fontId="4" fillId="3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4" fillId="3" borderId="0" xfId="0" applyNumberFormat="1" applyFont="1" applyFill="1" applyBorder="1" applyAlignment="1">
      <x:alignment wrapText="1"/>
    </x:xf>
    <x:xf numFmtId="201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201" fontId="4" fillId="3" borderId="6" xfId="0" applyNumberFormat="1" applyFont="1" applyFill="1" applyBorder="1" applyAlignment="1">
      <x:alignment vertical="center" wrapText="1"/>
    </x:xf>
    <x:xf numFmtId="200" fontId="6" fillId="0" borderId="4" xfId="0" applyNumberFormat="1" applyFont="1" applyFill="1" applyBorder="1" applyAlignment="1">
      <x:alignment vertical="center" wrapText="1"/>
    </x:xf>
    <x:xf numFmtId="201" fontId="6" fillId="0" borderId="4" xfId="0" applyNumberFormat="1" applyFont="1" applyFill="1" applyBorder="1" applyAlignment="1">
      <x:alignment vertical="center" wrapText="1"/>
    </x:xf>
    <x:xf numFmtId="200" fontId="6" fillId="0" borderId="5" xfId="0" applyNumberFormat="1" applyFont="1" applyFill="1" applyBorder="1" applyAlignment="1">
      <x:alignment vertical="center" wrapText="1"/>
    </x:xf>
    <x:xf numFmtId="201" fontId="6" fillId="0" borderId="5" xfId="0" applyNumberFormat="1" applyFont="1" applyFill="1" applyBorder="1" applyAlignment="1">
      <x:alignment vertical="center" wrapText="1"/>
    </x:xf>
    <x:xf numFmtId="200" fontId="5" fillId="3" borderId="6" xfId="0" applyNumberFormat="1" applyFont="1" applyFill="1" applyBorder="1" applyAlignment="1">
      <x:alignment vertical="center" wrapText="1"/>
    </x:xf>
    <x:xf numFmtId="201" fontId="5" fillId="3" borderId="6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horizontal="center" vertical="center" wrapText="1"/>
    </x:xf>
    <x:xf numFmtId="202" fontId="8" fillId="0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203" fontId="0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203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203" fontId="0" fillId="0" borderId="6" xfId="0" applyNumberFormat="1" applyFont="1" applyFill="1" applyBorder="1" applyAlignment="1">
      <x:alignment horizontal="center" vertical="center" wrapText="1"/>
    </x:xf>
    <x:xf numFmtId="0" fontId="8" fillId="0" borderId="4" xfId="0" applyNumberFormat="1" applyFont="1" applyFill="1" applyBorder="1" applyAlignment="1">
      <x:alignment horizontal="center" vertical="center" wrapText="1"/>
    </x:xf>
    <x:xf numFmtId="203" fontId="8" fillId="0" borderId="4" xfId="0" applyNumberFormat="1" applyFont="1" applyFill="1" applyBorder="1" applyAlignment="1">
      <x:alignment horizontal="center"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203" fontId="8" fillId="0" borderId="5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horizontal="center" vertical="center" wrapText="1"/>
    </x:xf>
    <x:xf numFmtId="203" fontId="8" fillId="0" borderId="6" xfId="0" applyNumberFormat="1" applyFont="1" applyFill="1" applyBorder="1" applyAlignment="1">
      <x:alignment horizontal="center" vertical="center" wrapText="1"/>
    </x:xf>
    <x:xf numFmtId="0" fontId="8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8B1E1E"/>
      </x:font>
      <x:fill>
        <x:patternFill patternType="solid">
          <x:bgColor rgb="FFF7DDDD"/>
        </x:patternFill>
      </x:fill>
    </x:dxf>
    <x:dxf>
      <x:font>
        <x:b/>
        <x:color rgb="FF146B3A"/>
      </x:font>
      <x:fill>
        <x:patternFill patternType="solid">
          <x:bgColor rgb="FFDDEFE5"/>
        </x:patternFill>
      </x:fill>
    </x:dxf>
    <x:dxf>
      <x:font>
        <x:b/>
        <x:color rgb="FF7A5200"/>
      </x:font>
      <x:fill>
        <x:patternFill patternType="solid">
          <x:bgColor rgb="FFFFF1CC"/>
        </x:patternFill>
      </x:fill>
    </x:dxf>
    <x:dxf>
      <x:font>
        <x:b/>
        <x:color rgb="FF8B1E1E"/>
      </x:font>
      <x:fill>
        <x:patternFill patternType="solid">
          <x:bgColor rgb="FFF7DDDD"/>
        </x:patternFill>
      </x:fill>
    </x:dxf>
    <x:dxf>
      <x:font>
        <x:b/>
        <x:color rgb="FF7A5200"/>
      </x:font>
      <x:fill>
        <x:patternFill patternType="solid">
          <x:bgColor rgb="FFFFF1CC"/>
        </x:patternFill>
      </x:fill>
    </x:dxf>
    <x:dxf>
      <x:font>
        <x:color rgb="FF146B3A"/>
      </x:font>
      <x:fill>
        <x:patternFill patternType="solid">
          <x:bgColor rgb="FFDDEF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901c162a648fe" /><Relationship Type="http://schemas.openxmlformats.org/officeDocument/2006/relationships/theme" Target="/xl/theme/theme1.xml" Id="R1d9e3bf2eac5436c" /><Relationship Type="http://schemas.openxmlformats.org/officeDocument/2006/relationships/sharedStrings" Target="/xl/sharedStrings.xml" Id="R4b9852f9c7084311" /><Relationship Type="http://schemas.openxmlformats.org/officeDocument/2006/relationships/worksheet" Target="/xl/worksheets/sheet1.xml" Id="Rd381aeb0c25743df" /><Relationship Type="http://schemas.openxmlformats.org/officeDocument/2006/relationships/worksheet" Target="/xl/worksheets/sheet2.xml" Id="R11ba560e0c4740b0" /><Relationship Type="http://schemas.openxmlformats.org/officeDocument/2006/relationships/worksheet" Target="/xl/worksheets/sheet3.xml" Id="Rc99f68eb10bf449d" /><Relationship Type="http://schemas.openxmlformats.org/officeDocument/2006/relationships/worksheet" Target="/xl/worksheets/sheet4.xml" Id="R4aff05141776449c" /><Relationship Type="http://schemas.openxmlformats.org/officeDocument/2006/relationships/worksheet" Target="/xl/worksheets/sheet5.xml" Id="R911a618f412b4c17" /></Relationships>
</file>

<file path=xl/tables/table1.xml><?xml version="1.0" encoding="utf-8"?>
<x:table xmlns:x="http://schemas.openxmlformats.org/spreadsheetml/2006/main" id="1" name="ShotOptimizationTable" displayName="ShotOptimizationTable" ref="A5:T128" headerRowCount="1" totalsRowCount="0" totalsRowShown="0">
  <x:autoFilter ref="A5:T128"/>
  <x:tableColumns count="20">
    <x:tableColumn id="1" name="场"/>
    <x:tableColumn id="2" name="镜号"/>
    <x:tableColumn id="3" name="原时间码"/>
    <x:tableColumn id="4" name="原秒"/>
    <x:tableColumn id="5" name="处理"/>
    <x:tableColumn id="6" name="新秒"/>
    <x:tableColumn id="7" name="新起始"/>
    <x:tableColumn id="8" name="新结束"/>
    <x:tableColumn id="9" name="景别／机位"/>
    <x:tableColumn id="10" name="画面与动作"/>
    <x:tableColumn id="11" name="声音／对白"/>
    <x:tableColumn id="12" name="对白汉字"/>
    <x:tableColumn id="13" name="动作/延迟余量"/>
    <x:tableColumn id="14" name="对白可用秒"/>
    <x:tableColumn id="15" name="所需字速"/>
    <x:tableColumn id="16" name="建议上限"/>
    <x:tableColumn id="17" name="时长判断"/>
    <x:tableColumn id="18" name="优化执行建议"/>
    <x:tableColumn id="19" name="事实依据"/>
    <x:tableColumn id="20" name="原制作控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c08c9e2aa134e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45" t="str">
        <x:v>《奔月》V1.3.2 镜号级优化表</x:v>
      </x:c>
      <x:c r="B1" s="45" t="str">
        <x:v>《奔月》V1.3.2 镜号级优化表</x:v>
      </x:c>
      <x:c r="C1" s="45" t="str">
        <x:v>《奔月》V1.3.2 镜号级优化表</x:v>
      </x:c>
      <x:c r="D1" s="45" t="str">
        <x:v>《奔月》V1.3.2 镜号级优化表</x:v>
      </x:c>
      <x:c r="E1" s="45" t="str">
        <x:v>《奔月》V1.3.2 镜号级优化表</x:v>
      </x:c>
      <x:c r="F1" s="45" t="str">
        <x:v>《奔月》V1.3.2 镜号级优化表</x:v>
      </x:c>
      <x:c r="G1" s="45" t="str">
        <x:v>《奔月》V1.3.2 镜号级优化表</x:v>
      </x:c>
      <x:c r="H1" s="45" t="str">
        <x:v>《奔月》V1.3.2 镜号级优化表</x:v>
      </x:c>
    </x:row>
    <x:row r="2" ht="32" customHeight="1">
      <x:c r="A2" s="45" t="str">
        <x:v>《奔月》V1.3.2 镜号级优化表</x:v>
      </x:c>
      <x:c r="B2" s="45" t="str">
        <x:v>《奔月》V1.3.2 镜号级优化表</x:v>
      </x:c>
      <x:c r="C2" s="45" t="str">
        <x:v>《奔月》V1.3.2 镜号级优化表</x:v>
      </x:c>
      <x:c r="D2" s="45" t="str">
        <x:v>《奔月》V1.3.2 镜号级优化表</x:v>
      </x:c>
      <x:c r="E2" s="45" t="str">
        <x:v>《奔月》V1.3.2 镜号级优化表</x:v>
      </x:c>
      <x:c r="F2" s="45" t="str">
        <x:v>《奔月》V1.3.2 镜号级优化表</x:v>
      </x:c>
      <x:c r="G2" s="45" t="str">
        <x:v>《奔月》V1.3.2 镜号级优化表</x:v>
      </x:c>
      <x:c r="H2" s="45" t="str">
        <x:v>《奔月》V1.3.2 镜号级优化表</x:v>
      </x:c>
    </x:row>
    <x:row r="3" ht="15" hidden="0" customHeight="1">
      <x:c r="A3" s="46" t="str">
        <x:v>中国首次载人登月未来任务直播推演专题片 · 轻科幻工程纪实短片</x:v>
      </x:c>
      <x:c r="B3" s="46" t="str">
        <x:v>中国首次载人登月未来任务直播推演专题片 · 轻科幻工程纪实短片</x:v>
      </x:c>
      <x:c r="C3" s="46" t="str">
        <x:v>中国首次载人登月未来任务直播推演专题片 · 轻科幻工程纪实短片</x:v>
      </x:c>
      <x:c r="D3" s="46" t="str">
        <x:v>中国首次载人登月未来任务直播推演专题片 · 轻科幻工程纪实短片</x:v>
      </x:c>
      <x:c r="E3" s="46" t="str">
        <x:v>中国首次载人登月未来任务直播推演专题片 · 轻科幻工程纪实短片</x:v>
      </x:c>
      <x:c r="F3" s="46" t="str">
        <x:v>中国首次载人登月未来任务直播推演专题片 · 轻科幻工程纪实短片</x:v>
      </x:c>
      <x:c r="G3" s="46" t="str">
        <x:v>中国首次载人登月未来任务直播推演专题片 · 轻科幻工程纪实短片</x:v>
      </x:c>
      <x:c r="H3" s="46" t="str">
        <x:v>中国首次载人登月未来任务直播推演专题片 · 轻科幻工程纪实短片</x:v>
      </x:c>
    </x:row>
    <x:row r="4" ht="15" hidden="0" customHeight="1">
      <x:c r="A4" s="47"/>
      <x:c r="B4" s="47"/>
      <x:c r="C4" s="47"/>
      <x:c r="D4" s="47"/>
      <x:c r="E4" s="47"/>
      <x:c r="F4" s="47"/>
      <x:c r="G4" s="47"/>
      <x:c r="H4" s="47"/>
    </x:row>
    <x:row r="5" ht="15" hidden="0" customHeight="1">
      <x:c r="A5" s="32" t="str">
        <x:v>原素材时长</x:v>
      </x:c>
      <x:c r="B5" s="33" t="str">
        <x:v>秒</x:v>
      </x:c>
      <x:c r="C5" s="33" t="str">
        <x:v>目标成片时长</x:v>
      </x:c>
      <x:c r="D5" s="33" t="str">
        <x:v>秒</x:v>
      </x:c>
      <x:c r="E5" s="33" t="str">
        <x:v>净压缩</x:v>
      </x:c>
      <x:c r="F5" s="33" t="str">
        <x:v>秒</x:v>
      </x:c>
      <x:c r="G5" s="33" t="str">
        <x:v>目标时长</x:v>
      </x:c>
      <x:c r="H5" s="34" t="str">
        <x:v>状态</x:v>
      </x:c>
    </x:row>
    <x:row r="6" ht="15" hidden="0" customHeight="1">
      <x:c r="A6" s="48" t="n">
        <x:f>SUM('119镜优化表'!$D$6:$D$128)</x:f>
        <x:v>1020</x:v>
      </x:c>
      <x:c r="B6" s="48" t="str">
        <x:v>秒</x:v>
      </x:c>
      <x:c r="C6" s="48" t="n">
        <x:f>SUM('119镜优化表'!$F$6:$F$128)</x:f>
        <x:v>840</x:v>
      </x:c>
      <x:c r="D6" s="49" t="str">
        <x:v>秒</x:v>
      </x:c>
      <x:c r="E6" s="48" t="n">
        <x:f>A6-C6</x:f>
        <x:v>180</x:v>
      </x:c>
      <x:c r="F6" s="48" t="str">
        <x:v>秒</x:v>
      </x:c>
      <x:c r="G6" s="48" t="n">
        <x:f>C6/60</x:f>
        <x:v>14</x:v>
      </x:c>
      <x:c r="H6" s="49" t="str">
        <x:f>IF(C6=840,"已闭合","需复核")</x:f>
        <x:v>已闭合</x:v>
      </x:c>
    </x:row>
    <x:row r="7" ht="15" hidden="0" customHeight="1">
      <x:c r="A7" s="47"/>
      <x:c r="B7" s="47"/>
      <x:c r="C7" s="47"/>
      <x:c r="D7" s="47"/>
      <x:c r="E7" s="47"/>
      <x:c r="F7" s="47"/>
      <x:c r="G7" s="47"/>
      <x:c r="H7" s="47"/>
    </x:row>
    <x:row r="8" ht="15" hidden="0" customHeight="1">
      <x:c r="A8" s="32" t="str">
        <x:v>已确认的V1.3.2基线</x:v>
      </x:c>
      <x:c r="B8" s="33" t="str">
        <x:v>已确认的V1.3.2基线</x:v>
      </x:c>
      <x:c r="C8" s="33" t="str">
        <x:v>已确认的V1.3.2基线</x:v>
      </x:c>
      <x:c r="D8" s="33" t="str">
        <x:v>已确认的V1.3.2基线</x:v>
      </x:c>
      <x:c r="E8" s="33" t="str">
        <x:v>已确认的V1.3.2基线</x:v>
      </x:c>
      <x:c r="F8" s="33" t="str">
        <x:v>已确认的V1.3.2基线</x:v>
      </x:c>
      <x:c r="G8" s="33" t="str">
        <x:v>已确认的V1.3.2基线</x:v>
      </x:c>
      <x:c r="H8" s="34" t="str">
        <x:v>已确认的V1.3.2基线</x:v>
      </x:c>
    </x:row>
    <x:row r="9" ht="15" hidden="0" customHeight="1">
      <x:c r="A9" s="50" t="str">
        <x:v>定位</x:v>
      </x:c>
      <x:c r="B9" s="38" t="str">
        <x:v>中国首次载人登月未来任务直播推演专题片 · 轻科幻工程纪实短片</x:v>
      </x:c>
      <x:c r="C9" s="39"/>
      <x:c r="D9" s="39"/>
      <x:c r="E9" s="39"/>
      <x:c r="F9" s="39"/>
      <x:c r="G9" s="39"/>
      <x:c r="H9" s="39"/>
    </x:row>
    <x:row r="10" ht="15" hidden="0" customHeight="1">
      <x:c r="A10" s="51" t="str">
        <x:v>任务日期</x:v>
      </x:c>
      <x:c r="B10" s="41" t="str">
        <x:v>建议工作基线：2029-04-20月轨对接、2029-04-22落月与首次出舱、2029-04-27东风返回；正式改稿时统一北京时间、UTC与T+零点。</x:v>
      </x:c>
      <x:c r="C10" s="39"/>
      <x:c r="D10" s="39"/>
      <x:c r="E10" s="39"/>
      <x:c r="F10" s="39"/>
      <x:c r="G10" s="39"/>
      <x:c r="H10" s="39"/>
    </x:row>
    <x:row r="11" ht="15" hidden="0" customHeight="1">
      <x:c r="A11" s="51" t="str">
        <x:v>着陆坐标</x:v>
      </x:c>
      <x:c r="B11" s="41" t="str">
        <x:v>保留11.97°N、3.21°W；2029-04-22采用低太阳高度硬光与长阴影。</x:v>
      </x:c>
      <x:c r="C11" s="39"/>
      <x:c r="D11" s="39"/>
      <x:c r="E11" s="39"/>
      <x:c r="F11" s="39"/>
      <x:c r="G11" s="39"/>
      <x:c r="H11" s="39"/>
    </x:row>
    <x:row r="12" ht="15" hidden="0" customHeight="1">
      <x:c r="A12" s="51" t="str">
        <x:v>通信架构</x:v>
      </x:c>
      <x:c r="B12" s="41" t="str">
        <x:v>射频承担测控、语音、关键指令和安全备份；激光承担高清影像、科学数据和大容量文件回传。</x:v>
      </x:c>
      <x:c r="C12" s="39"/>
      <x:c r="D12" s="39"/>
      <x:c r="E12" s="39"/>
      <x:c r="F12" s="39"/>
      <x:c r="G12" s="39"/>
      <x:c r="H12" s="39"/>
    </x:row>
    <x:row r="13" ht="15" hidden="0" customHeight="1">
      <x:c r="A13" s="51" t="str">
        <x:v>AI边界</x:v>
      </x:c>
      <x:c r="B13" s="41" t="str">
        <x:v>小天提供候选区、置信度、风险排序和代价；杨凛作最终选择，北京确认权限边界。</x:v>
      </x:c>
      <x:c r="C13" s="39"/>
      <x:c r="D13" s="39"/>
      <x:c r="E13" s="39"/>
      <x:c r="F13" s="39"/>
      <x:c r="G13" s="39"/>
      <x:c r="H13" s="39"/>
    </x:row>
    <x:row r="14" ht="15" hidden="0" customHeight="1">
      <x:c r="A14" s="51" t="str">
        <x:v>双高潮</x:v>
      </x:c>
      <x:c r="B14" s="41" t="str">
        <x:v>首次踏月为人文高潮；再入黑障与着陆为情节高潮。</x:v>
      </x:c>
      <x:c r="C14" s="39"/>
      <x:c r="D14" s="39"/>
      <x:c r="E14" s="39"/>
      <x:c r="F14" s="39"/>
      <x:c r="G14" s="39"/>
      <x:c r="H14" s="39"/>
    </x:row>
    <x:row r="15" ht="15" hidden="0" customHeight="1">
      <x:c r="A15" s="51" t="str">
        <x:v>对白基线</x:v>
      </x:c>
      <x:c r="B15" s="41" t="str">
        <x:v>记者/专家建议≤3.2汉字/秒；任务口令建议≤3.8汉字/秒；地月往返切换必须另留约1.3秒单程传播间隔。</x:v>
      </x:c>
      <x:c r="C15" s="39"/>
      <x:c r="D15" s="39"/>
      <x:c r="E15" s="39"/>
      <x:c r="F15" s="39"/>
      <x:c r="G15" s="39"/>
      <x:c r="H15" s="39"/>
    </x:row>
    <x:row r="16" ht="15" hidden="0" customHeight="1">
      <x:c r="A16" s="51" t="str">
        <x:v>时间压缩</x:v>
      </x:c>
      <x:c r="B16" s="41" t="str">
        <x:v>48小时、6小时、28小时、3小时40分和约3天均用明确任务时码、字幕或匹配剪辑，不伪装成连续实时。</x:v>
      </x:c>
      <x:c r="C16" s="39"/>
      <x:c r="D16" s="39"/>
      <x:c r="E16" s="39"/>
      <x:c r="F16" s="39"/>
      <x:c r="G16" s="39"/>
      <x:c r="H16" s="39"/>
    </x:row>
    <x:row r="17" ht="15" hidden="0" customHeight="1">
      <x:c r="A17" s="52" t="str">
        <x:v>原稿保护</x:v>
      </x:c>
      <x:c r="B17" s="43" t="str">
        <x:v>本工作簿仅为优化执行表，不修改V1.3.1原始分镜稿。</x:v>
      </x:c>
      <x:c r="C17" s="39"/>
      <x:c r="D17" s="39"/>
      <x:c r="E17" s="39"/>
      <x:c r="F17" s="39"/>
      <x:c r="G17" s="39"/>
      <x:c r="H17" s="39"/>
    </x:row>
    <x:row r="18" ht="15" hidden="0" customHeight="1">
      <x:c r="A18" s="47"/>
      <x:c r="B18" s="47"/>
      <x:c r="C18" s="47"/>
      <x:c r="D18" s="47"/>
      <x:c r="E18" s="47"/>
      <x:c r="F18" s="47"/>
      <x:c r="G18" s="47"/>
      <x:c r="H18" s="47"/>
    </x:row>
    <x:row r="19" ht="15" hidden="0" customHeight="1">
      <x:c r="A19" s="47"/>
      <x:c r="B19" s="47"/>
      <x:c r="C19" s="47"/>
      <x:c r="D19" s="47"/>
      <x:c r="E19" s="47"/>
      <x:c r="F19" s="47"/>
      <x:c r="G19" s="47"/>
      <x:c r="H19" s="47"/>
    </x:row>
    <x:row r="20" ht="15" hidden="0" customHeight="1">
      <x:c r="A20" s="32" t="str">
        <x:v>对白判定方法</x:v>
      </x:c>
      <x:c r="B20" s="33" t="str">
        <x:v>对白判定方法</x:v>
      </x:c>
      <x:c r="C20" s="33" t="str">
        <x:v>对白判定方法</x:v>
      </x:c>
      <x:c r="D20" s="33" t="str">
        <x:v>对白判定方法</x:v>
      </x:c>
      <x:c r="E20" s="33" t="str">
        <x:v>对白判定方法</x:v>
      </x:c>
      <x:c r="F20" s="33" t="str">
        <x:v>对白判定方法</x:v>
      </x:c>
      <x:c r="G20" s="33" t="str">
        <x:v>对白判定方法</x:v>
      </x:c>
      <x:c r="H20" s="34" t="str">
        <x:v>对白判定方法</x:v>
      </x:c>
    </x:row>
    <x:row r="21" ht="15" hidden="0" customHeight="1">
      <x:c r="A21" s="44" t="str">
        <x:v>类型</x:v>
      </x:c>
      <x:c r="B21" s="44" t="str">
        <x:v>建议上限</x:v>
      </x:c>
      <x:c r="C21" s="44" t="str">
        <x:v>动作/延迟余量</x:v>
      </x:c>
      <x:c r="D21" s="44" t="str">
        <x:v>判定</x:v>
      </x:c>
      <x:c r="E21" s="44" t="str">
        <x:v>处理方法</x:v>
      </x:c>
      <x:c r="F21" s="44" t="str"/>
      <x:c r="G21" s="44" t="str"/>
      <x:c r="H21" s="44" t="str"/>
    </x:row>
    <x:row r="22" ht="26.399999618530273" hidden="0" customHeight="1">
      <x:c r="A22" s="41" t="str">
        <x:v>记者/专家</x:v>
      </x:c>
      <x:c r="B22" s="41" t="n">
        <x:v>3.2</x:v>
      </x:c>
      <x:c r="C22" s="41" t="str">
        <x:v>通常≥2秒</x:v>
      </x:c>
      <x:c r="D22" s="41" t="str">
        <x:v>所需语速≤上限</x:v>
      </x:c>
      <x:c r="E22" s="41" t="str">
        <x:v>长句跨镜；参数清单交给图卡</x:v>
      </x:c>
      <x:c r="F22" s="41" t="str"/>
      <x:c r="G22" s="41" t="str"/>
      <x:c r="H22" s="41" t="str"/>
    </x:row>
    <x:row r="23" ht="26.399999618530273" hidden="0" customHeight="1">
      <x:c r="A23" s="41" t="str">
        <x:v>任务口令</x:v>
      </x:c>
      <x:c r="B23" s="41" t="n">
        <x:v>3.8</x:v>
      </x:c>
      <x:c r="C23" s="41" t="str">
        <x:v>通常≥1秒</x:v>
      </x:c>
      <x:c r="D23" s="41" t="str">
        <x:v>地月切换另留约1.3秒</x:v>
      </x:c>
      <x:c r="E23" s="41" t="str">
        <x:v>一人一信息；不重复报正常</x:v>
      </x:c>
      <x:c r="F23" s="41" t="str"/>
      <x:c r="G23" s="41" t="str"/>
      <x:c r="H23" s="41" t="str"/>
    </x:row>
    <x:row r="24" ht="26.399999618530273" hidden="0" customHeight="1">
      <x:c r="A24" s="43" t="str">
        <x:v>关键动作</x:v>
      </x:c>
      <x:c r="B24" s="43" t="str">
        <x:v>不以字速替代</x:v>
      </x:c>
      <x:c r="C24" s="43" t="str">
        <x:v>落脚/对接/着陆≥3秒</x:v>
      </x:c>
      <x:c r="D24" s="43" t="str">
        <x:v>动作必须完成</x:v>
      </x:c>
      <x:c r="E24" s="43" t="str">
        <x:v>必要时扩镜或加任务时码跳切</x:v>
      </x:c>
      <x:c r="F24" s="43" t="str"/>
      <x:c r="G24" s="43" t="str"/>
      <x:c r="H24" s="43" t="str"/>
    </x:row>
  </x:sheetData>
  <x:mergeCells>
    <x:mergeCell ref="A1:H2"/>
    <x:mergeCell ref="A3:H3"/>
    <x:mergeCell ref="A8:H8"/>
    <x:mergeCell ref="B9:H9"/>
    <x:mergeCell ref="B10:H10"/>
    <x:mergeCell ref="B11:H11"/>
    <x:mergeCell ref="B12:H12"/>
    <x:mergeCell ref="B13:H13"/>
    <x:mergeCell ref="B14:H14"/>
    <x:mergeCell ref="B15:H15"/>
    <x:mergeCell ref="B16:H16"/>
    <x:mergeCell ref="B17:H17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10" hidden="0" customWidth="1"/>
    <x:col min="4" max="4" width="10" hidden="0" customWidth="1"/>
    <x:col min="5" max="5" width="11" hidden="0" customWidth="1"/>
    <x:col min="6" max="6" width="10" hidden="0" customWidth="1"/>
    <x:col min="7" max="7" width="17" hidden="0" customWidth="1"/>
    <x:col min="8" max="8" width="42" hidden="0" customWidth="1"/>
  </x:cols>
  <x:sheetData>
    <x:row r="1" ht="32" customHeight="1">
      <x:c r="A1" s="3" t="str">
        <x:v>15场配时闭合</x:v>
      </x:c>
      <x:c r="B1" s="3" t="str">
        <x:v>15场配时闭合</x:v>
      </x:c>
      <x:c r="C1" s="3" t="str">
        <x:v>15场配时闭合</x:v>
      </x:c>
      <x:c r="D1" s="3" t="str">
        <x:v>15场配时闭合</x:v>
      </x:c>
      <x:c r="E1" s="3" t="str">
        <x:v>15场配时闭合</x:v>
      </x:c>
      <x:c r="F1" s="3" t="str">
        <x:v>15场配时闭合</x:v>
      </x:c>
      <x:c r="G1" s="3" t="str">
        <x:v>15场配时闭合</x:v>
      </x:c>
      <x:c r="H1" s="3" t="str">
        <x:v>15场配时闭合</x:v>
      </x:c>
    </x:row>
    <x:row r="2" ht="32" customHeight="1">
      <x:c r="A2" s="3" t="str">
        <x:v>15场配时闭合</x:v>
      </x:c>
      <x:c r="B2" s="3" t="str">
        <x:v>15场配时闭合</x:v>
      </x:c>
      <x:c r="C2" s="3" t="str">
        <x:v>15场配时闭合</x:v>
      </x:c>
      <x:c r="D2" s="3" t="str">
        <x:v>15场配时闭合</x:v>
      </x:c>
      <x:c r="E2" s="3" t="str">
        <x:v>15场配时闭合</x:v>
      </x:c>
      <x:c r="F2" s="3" t="str">
        <x:v>15场配时闭合</x:v>
      </x:c>
      <x:c r="G2" s="3" t="str">
        <x:v>15场配时闭合</x:v>
      </x:c>
      <x:c r="H2" s="3" t="str">
        <x:v>15场配时闭合</x:v>
      </x:c>
    </x:row>
    <x:row r="3"/>
    <x:row r="4" ht="15" hidden="0" customHeight="1">
      <x:c r="A4" s="32" t="str">
        <x:v>场次</x:v>
      </x:c>
      <x:c r="B4" s="33" t="str">
        <x:v>场名</x:v>
      </x:c>
      <x:c r="C4" s="33" t="str">
        <x:v>原秒数</x:v>
      </x:c>
      <x:c r="D4" s="33" t="str">
        <x:v>目标秒数</x:v>
      </x:c>
      <x:c r="E4" s="33" t="str">
        <x:v>压缩秒数</x:v>
      </x:c>
      <x:c r="F4" s="33" t="str">
        <x:v>压缩比例</x:v>
      </x:c>
      <x:c r="G4" s="33" t="str">
        <x:v>新时间段</x:v>
      </x:c>
      <x:c r="H4" s="34" t="str">
        <x:v>V1.3.2叙事任务</x:v>
      </x:c>
    </x:row>
    <x:row r="5" ht="15" hidden="0" customHeight="1">
      <x:c r="A5" s="38" t="n">
        <x:v>1</x:v>
      </x:c>
      <x:c r="B5" s="38" t="str">
        <x:v>直播一开场：两器即将对接</x:v>
      </x:c>
      <x:c r="C5" s="73" t="n">
        <x:v>62</x:v>
      </x:c>
      <x:c r="D5" s="73" t="n">
        <x:v>50</x:v>
      </x:c>
      <x:c r="E5" s="73" t="n">
        <x:v>12</x:v>
      </x:c>
      <x:c r="F5" s="74" t="n">
        <x:v>0.1935483870967742</x:v>
      </x:c>
      <x:c r="G5" s="38" t="str">
        <x:v>00:00–00:50</x:v>
      </x:c>
      <x:c r="H5" s="38" t="str">
        <x:v>冷开场、日期修正、进入最终接近</x:v>
      </x:c>
    </x:row>
    <x:row r="6" ht="15" hidden="0" customHeight="1">
      <x:c r="A6" s="41" t="n">
        <x:v>2</x:v>
      </x:c>
      <x:c r="B6" s="41" t="str">
        <x:v>环月对接</x:v>
      </x:c>
      <x:c r="C6" s="75" t="n">
        <x:v>60</x:v>
      </x:c>
      <x:c r="D6" s="75" t="n">
        <x:v>55</x:v>
      </x:c>
      <x:c r="E6" s="75" t="n">
        <x:v>5</x:v>
      </x:c>
      <x:c r="F6" s="76" t="n">
        <x:v>0.08333333333333333</x:v>
      </x:c>
      <x:c r="G6" s="41" t="str">
        <x:v>00:50–01:45</x:v>
      </x:c>
      <x:c r="H6" s="41" t="str">
        <x:v>完整保留对接证据链</x:v>
      </x:c>
    </x:row>
    <x:row r="7" ht="15" hidden="0" customHeight="1">
      <x:c r="A7" s="41" t="n">
        <x:v>3</x:v>
      </x:c>
      <x:c r="B7" s="41" t="str">
        <x:v>人员转移与直播一结束</x:v>
      </x:c>
      <x:c r="C7" s="75" t="n">
        <x:v>58</x:v>
      </x:c>
      <x:c r="D7" s="75" t="n">
        <x:v>44</x:v>
      </x:c>
      <x:c r="E7" s="75" t="n">
        <x:v>14</x:v>
      </x:c>
      <x:c r="F7" s="76" t="n">
        <x:v>0.2413793103448276</x:v>
      </x:c>
      <x:c r="G7" s="41" t="str">
        <x:v>01:45–02:29</x:v>
      </x:c>
      <x:c r="H7" s="41" t="str">
        <x:v>人员转移与空座母题</x:v>
      </x:c>
    </x:row>
    <x:row r="8" ht="15" hidden="0" customHeight="1">
      <x:c r="A8" s="41" t="n">
        <x:v>4</x:v>
      </x:c>
      <x:c r="B8" s="41" t="str">
        <x:v>时间跨越</x:v>
      </x:c>
      <x:c r="C8" s="75" t="n">
        <x:v>12</x:v>
      </x:c>
      <x:c r="D8" s="75" t="n">
        <x:v>10</x:v>
      </x:c>
      <x:c r="E8" s="75" t="n">
        <x:v>2</x:v>
      </x:c>
      <x:c r="F8" s="76" t="n">
        <x:v>0.16666666666666666</x:v>
      </x:c>
      <x:c r="G8" s="41" t="str">
        <x:v>02:29–02:39</x:v>
      </x:c>
      <x:c r="H8" s="41" t="str">
        <x:v>48小时任务时间桥</x:v>
      </x:c>
    </x:row>
    <x:row r="9" ht="15" hidden="0" customHeight="1">
      <x:c r="A9" s="41" t="n">
        <x:v>5</x:v>
      </x:c>
      <x:c r="B9" s="41" t="str">
        <x:v>直播二开场：揽月脱离</x:v>
      </x:c>
      <x:c r="C9" s="75" t="n">
        <x:v>62</x:v>
      </x:c>
      <x:c r="D9" s="75" t="n">
        <x:v>52</x:v>
      </x:c>
      <x:c r="E9" s="75" t="n">
        <x:v>10</x:v>
      </x:c>
      <x:c r="F9" s="76" t="n">
        <x:v>0.16129032258064516</x:v>
      </x:c>
      <x:c r="G9" s="41" t="str">
        <x:v>02:39–03:31</x:v>
      </x:c>
      <x:c r="H9" s="41" t="str">
        <x:v>揽月脱离并进入下降</x:v>
      </x:c>
    </x:row>
    <x:row r="10" ht="15" hidden="0" customHeight="1">
      <x:c r="A10" s="41" t="n">
        <x:v>6</x:v>
      </x:c>
      <x:c r="B10" s="41" t="str">
        <x:v>动力下降</x:v>
      </x:c>
      <x:c r="C10" s="75" t="n">
        <x:v>90</x:v>
      </x:c>
      <x:c r="D10" s="75" t="n">
        <x:v>84</x:v>
      </x:c>
      <x:c r="E10" s="75" t="n">
        <x:v>6</x:v>
      </x:c>
      <x:c r="F10" s="76" t="n">
        <x:v>0.06666666666666667</x:v>
      </x:c>
      <x:c r="G10" s="41" t="str">
        <x:v>03:31–04:55</x:v>
      </x:c>
      <x:c r="H10" s="41" t="str">
        <x:v>AI列候选、人类权衡并决定落点</x:v>
      </x:c>
    </x:row>
    <x:row r="11" ht="15" hidden="0" customHeight="1">
      <x:c r="A11" s="41" t="n">
        <x:v>7</x:v>
      </x:c>
      <x:c r="B11" s="41" t="str">
        <x:v>着陆确认与六小时出舱准备</x:v>
      </x:c>
      <x:c r="C11" s="75" t="n">
        <x:v>65</x:v>
      </x:c>
      <x:c r="D11" s="75" t="n">
        <x:v>48</x:v>
      </x:c>
      <x:c r="E11" s="75" t="n">
        <x:v>17</x:v>
      </x:c>
      <x:c r="F11" s="76" t="n">
        <x:v>0.26153846153846155</x:v>
      </x:c>
      <x:c r="G11" s="41" t="str">
        <x:v>04:55–05:43</x:v>
      </x:c>
      <x:c r="H11" s="41" t="str">
        <x:v>着陆确认与六小时整备跳时</x:v>
      </x:c>
    </x:row>
    <x:row r="12" ht="15" hidden="0" customHeight="1">
      <x:c r="A12" s="41" t="n">
        <x:v>8</x:v>
      </x:c>
      <x:c r="B12" s="41" t="str">
        <x:v>出舱与中国航天员首次踏上月面</x:v>
      </x:c>
      <x:c r="C12" s="75" t="n">
        <x:v>82</x:v>
      </x:c>
      <x:c r="D12" s="75" t="n">
        <x:v>76</x:v>
      </x:c>
      <x:c r="E12" s="75" t="n">
        <x:v>6</x:v>
      </x:c>
      <x:c r="F12" s="76" t="n">
        <x:v>0.07317073170731707</x:v>
      </x:c>
      <x:c r="G12" s="41" t="str">
        <x:v>05:43–06:59</x:v>
      </x:c>
      <x:c r="H12" s="41" t="str">
        <x:v>首次踏月：全片人文高潮</x:v>
      </x:c>
    </x:row>
    <x:row r="13" ht="15" hidden="0" customHeight="1">
      <x:c r="A13" s="41" t="n">
        <x:v>9</x:v>
      </x:c>
      <x:c r="B13" s="41" t="str">
        <x:v>国旗展示与科学任务说明</x:v>
      </x:c>
      <x:c r="C13" s="75" t="n">
        <x:v>65</x:v>
      </x:c>
      <x:c r="D13" s="75" t="n">
        <x:v>52</x:v>
      </x:c>
      <x:c r="E13" s="75" t="n">
        <x:v>13</x:v>
      </x:c>
      <x:c r="F13" s="76" t="n">
        <x:v>0.2</x:v>
      </x:c>
      <x:c r="G13" s="41" t="str">
        <x:v>06:59–07:51</x:v>
      </x:c>
      <x:c r="H13" s="41" t="str">
        <x:v>光/射频混合链路、国旗与科学价值</x:v>
      </x:c>
    </x:row>
    <x:row r="14" ht="15" hidden="0" customHeight="1">
      <x:c r="A14" s="41" t="n">
        <x:v>10</x:v>
      </x:c>
      <x:c r="B14" s="41" t="str">
        <x:v>月面科研时间压缩</x:v>
      </x:c>
      <x:c r="C14" s="75" t="n">
        <x:v>70</x:v>
      </x:c>
      <x:c r="D14" s="75" t="n">
        <x:v>60</x:v>
      </x:c>
      <x:c r="E14" s="75" t="n">
        <x:v>10</x:v>
      </x:c>
      <x:c r="F14" s="76" t="n">
        <x:v>0.14285714285714285</x:v>
      </x:c>
      <x:c r="G14" s="41" t="str">
        <x:v>07:51–08:51</x:v>
      </x:c>
      <x:c r="H14" s="41" t="str">
        <x:v>主样品事件与科研时间压缩</x:v>
      </x:c>
    </x:row>
    <x:row r="15" ht="15" hidden="0" customHeight="1">
      <x:c r="A15" s="41" t="n">
        <x:v>11</x:v>
      </x:c>
      <x:c r="B15" s="41" t="str">
        <x:v>回舱、月面起飞与再对接</x:v>
      </x:c>
      <x:c r="C15" s="75" t="n">
        <x:v>85</x:v>
      </x:c>
      <x:c r="D15" s="75" t="n">
        <x:v>80</x:v>
      </x:c>
      <x:c r="E15" s="75" t="n">
        <x:v>5</x:v>
      </x:c>
      <x:c r="F15" s="76" t="n">
        <x:v>0.058823529411764705</x:v>
      </x:c>
      <x:c r="G15" s="41" t="str">
        <x:v>08:51–10:11</x:v>
      </x:c>
      <x:c r="H15" s="41" t="str">
        <x:v>起飞、3小时40分跳时、再对接与重聚</x:v>
      </x:c>
    </x:row>
    <x:row r="16" ht="15" hidden="0" customHeight="1">
      <x:c r="A16" s="41" t="n">
        <x:v>12</x:v>
      </x:c>
      <x:c r="B16" s="41" t="str">
        <x:v>直播二结束：三人重聚</x:v>
      </x:c>
      <x:c r="C16" s="75" t="n">
        <x:v>30</x:v>
      </x:c>
      <x:c r="D16" s="75" t="n">
        <x:v>16</x:v>
      </x:c>
      <x:c r="E16" s="75" t="n">
        <x:v>14</x:v>
      </x:c>
      <x:c r="F16" s="76" t="n">
        <x:v>0.4666666666666667</x:v>
      </x:c>
      <x:c r="G16" s="41" t="str">
        <x:v>10:11–10:27</x:v>
      </x:c>
      <x:c r="H16" s="41" t="str">
        <x:v>直播二单一出口</x:v>
      </x:c>
    </x:row>
    <x:row r="17" ht="15" hidden="0" customHeight="1">
      <x:c r="A17" s="41" t="n">
        <x:v>13</x:v>
      </x:c>
      <x:c r="B17" s="41" t="str">
        <x:v>直播三开场：进入地球再入走廊</x:v>
      </x:c>
      <x:c r="C17" s="75" t="n">
        <x:v>60</x:v>
      </x:c>
      <x:c r="D17" s="75" t="n">
        <x:v>30</x:v>
      </x:c>
      <x:c r="E17" s="75" t="n">
        <x:v>30</x:v>
      </x:c>
      <x:c r="F17" s="76" t="n">
        <x:v>0.5</x:v>
      </x:c>
      <x:c r="G17" s="41" t="str">
        <x:v>10:27–10:57</x:v>
      </x:c>
      <x:c r="H17" s="41" t="str">
        <x:v>第三段直播的简明进口</x:v>
      </x:c>
    </x:row>
    <x:row r="18" ht="15" hidden="0" customHeight="1">
      <x:c r="A18" s="41" t="n">
        <x:v>14</x:v>
      </x:c>
      <x:c r="B18" s="41" t="str">
        <x:v>半弹道跳跃式再入与黑障</x:v>
      </x:c>
      <x:c r="C18" s="75" t="n">
        <x:v>105</x:v>
      </x:c>
      <x:c r="D18" s="75" t="n">
        <x:v>92</x:v>
      </x:c>
      <x:c r="E18" s="75" t="n">
        <x:v>13</x:v>
      </x:c>
      <x:c r="F18" s="76" t="n">
        <x:v>0.12380952380952381</x:v>
      </x:c>
      <x:c r="G18" s="41" t="str">
        <x:v>10:57–12:29</x:v>
      </x:c>
      <x:c r="H18" s="41" t="str">
        <x:v>再入与黑障：全片情节高潮</x:v>
      </x:c>
    </x:row>
    <x:row r="19" ht="15" hidden="0" customHeight="1">
      <x:c r="A19" s="41" t="n">
        <x:v>15</x:v>
      </x:c>
      <x:c r="B19" s="41" t="str">
        <x:v>东风着陆、搜救与任务完成</x:v>
      </x:c>
      <x:c r="C19" s="75" t="n">
        <x:v>114</x:v>
      </x:c>
      <x:c r="D19" s="75" t="n">
        <x:v>91</x:v>
      </x:c>
      <x:c r="E19" s="75" t="n">
        <x:v>23</x:v>
      </x:c>
      <x:c r="F19" s="76" t="n">
        <x:v>0.20175438596491227</x:v>
      </x:c>
      <x:c r="G19" s="41" t="str">
        <x:v>12:29–14:00</x:v>
      </x:c>
      <x:c r="H19" s="41" t="str">
        <x:v>着陆、搜救、乘组与样品双闭环</x:v>
      </x:c>
    </x:row>
    <x:row r="20" ht="15" hidden="0" customHeight="1">
      <x:c r="A20" s="52" t="str">
        <x:v>合计</x:v>
      </x:c>
      <x:c r="B20" s="52" t="str"/>
      <x:c r="C20" s="77" t="n">
        <x:v>1020</x:v>
      </x:c>
      <x:c r="D20" s="77" t="n">
        <x:v>840</x:v>
      </x:c>
      <x:c r="E20" s="77" t="n">
        <x:v>180</x:v>
      </x:c>
      <x:c r="F20" s="78" t="n">
        <x:v>0.17647058823529413</x:v>
      </x:c>
      <x:c r="G20" s="52" t="str">
        <x:v>00:00–14:00</x:v>
      </x:c>
      <x:c r="H20" s="52" t="str">
        <x:v>必须闭合到840秒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8" hidden="0" customWidth="1"/>
    <x:col min="3" max="3" width="15" hidden="0" customWidth="1"/>
    <x:col min="4" max="4" width="7" hidden="0" customWidth="1"/>
    <x:col min="5" max="5" width="8" hidden="0" customWidth="1"/>
    <x:col min="6" max="6" width="7" hidden="0" customWidth="1"/>
    <x:col min="7" max="7" width="9" hidden="0" customWidth="1"/>
    <x:col min="8" max="8" width="9" hidden="0" customWidth="1"/>
    <x:col min="9" max="9" width="22" hidden="0" customWidth="1"/>
    <x:col min="10" max="10" width="44" hidden="0" customWidth="1"/>
    <x:col min="11" max="11" width="50" hidden="0" customWidth="1"/>
    <x:col min="12" max="12" width="9" hidden="0" customWidth="1"/>
    <x:col min="13" max="13" width="12" hidden="0" customWidth="1"/>
    <x:col min="14" max="14" width="11" hidden="0" customWidth="1"/>
    <x:col min="15" max="15" width="10" hidden="0" customWidth="1"/>
    <x:col min="16" max="16" width="10" hidden="0" customWidth="1"/>
    <x:col min="17" max="17" width="15" hidden="0" customWidth="1"/>
    <x:col min="18" max="18" width="48" hidden="0" customWidth="1"/>
    <x:col min="19" max="19" width="18" hidden="0" customWidth="1"/>
    <x:col min="20" max="20" width="38" hidden="0" customWidth="1"/>
  </x:cols>
  <x:sheetData>
    <x:row r="1" ht="32" customHeight="1">
      <x:c r="A1" s="3" t="str">
        <x:v>119镜逐镜优化与840秒执行时间线</x:v>
      </x:c>
      <x:c r="B1" s="3" t="str">
        <x:v>119镜逐镜优化与840秒执行时间线</x:v>
      </x:c>
      <x:c r="C1" s="3" t="str">
        <x:v>119镜逐镜优化与840秒执行时间线</x:v>
      </x:c>
      <x:c r="D1" s="3" t="str">
        <x:v>119镜逐镜优化与840秒执行时间线</x:v>
      </x:c>
      <x:c r="E1" s="3" t="str">
        <x:v>119镜逐镜优化与840秒执行时间线</x:v>
      </x:c>
      <x:c r="F1" s="3" t="str">
        <x:v>119镜逐镜优化与840秒执行时间线</x:v>
      </x:c>
      <x:c r="G1" s="3" t="str">
        <x:v>119镜逐镜优化与840秒执行时间线</x:v>
      </x:c>
      <x:c r="H1" s="3" t="str">
        <x:v>119镜逐镜优化与840秒执行时间线</x:v>
      </x:c>
      <x:c r="I1" s="3" t="str">
        <x:v>119镜逐镜优化与840秒执行时间线</x:v>
      </x:c>
      <x:c r="J1" s="3" t="str">
        <x:v>119镜逐镜优化与840秒执行时间线</x:v>
      </x:c>
      <x:c r="K1" s="3" t="str">
        <x:v>119镜逐镜优化与840秒执行时间线</x:v>
      </x:c>
      <x:c r="L1" s="3" t="str">
        <x:v>119镜逐镜优化与840秒执行时间线</x:v>
      </x:c>
      <x:c r="M1" s="3" t="str">
        <x:v>119镜逐镜优化与840秒执行时间线</x:v>
      </x:c>
      <x:c r="N1" s="3" t="str">
        <x:v>119镜逐镜优化与840秒执行时间线</x:v>
      </x:c>
      <x:c r="O1" s="3" t="str">
        <x:v>119镜逐镜优化与840秒执行时间线</x:v>
      </x:c>
      <x:c r="P1" s="3" t="str">
        <x:v>119镜逐镜优化与840秒执行时间线</x:v>
      </x:c>
      <x:c r="Q1" s="3" t="str">
        <x:v>119镜逐镜优化与840秒执行时间线</x:v>
      </x:c>
      <x:c r="R1" s="3" t="str">
        <x:v>119镜逐镜优化与840秒执行时间线</x:v>
      </x:c>
      <x:c r="S1" s="3" t="str">
        <x:v>119镜逐镜优化与840秒执行时间线</x:v>
      </x:c>
      <x:c r="T1" s="3" t="str">
        <x:v>119镜逐镜优化与840秒执行时间线</x:v>
      </x:c>
    </x:row>
    <x:row r="2" ht="32" customHeight="1">
      <x:c r="A2" s="3" t="str">
        <x:v>119镜逐镜优化与840秒执行时间线</x:v>
      </x:c>
      <x:c r="B2" s="3" t="str">
        <x:v>119镜逐镜优化与840秒执行时间线</x:v>
      </x:c>
      <x:c r="C2" s="3" t="str">
        <x:v>119镜逐镜优化与840秒执行时间线</x:v>
      </x:c>
      <x:c r="D2" s="3" t="str">
        <x:v>119镜逐镜优化与840秒执行时间线</x:v>
      </x:c>
      <x:c r="E2" s="3" t="str">
        <x:v>119镜逐镜优化与840秒执行时间线</x:v>
      </x:c>
      <x:c r="F2" s="3" t="str">
        <x:v>119镜逐镜优化与840秒执行时间线</x:v>
      </x:c>
      <x:c r="G2" s="3" t="str">
        <x:v>119镜逐镜优化与840秒执行时间线</x:v>
      </x:c>
      <x:c r="H2" s="3" t="str">
        <x:v>119镜逐镜优化与840秒执行时间线</x:v>
      </x:c>
      <x:c r="I2" s="3" t="str">
        <x:v>119镜逐镜优化与840秒执行时间线</x:v>
      </x:c>
      <x:c r="J2" s="3" t="str">
        <x:v>119镜逐镜优化与840秒执行时间线</x:v>
      </x:c>
      <x:c r="K2" s="3" t="str">
        <x:v>119镜逐镜优化与840秒执行时间线</x:v>
      </x:c>
      <x:c r="L2" s="3" t="str">
        <x:v>119镜逐镜优化与840秒执行时间线</x:v>
      </x:c>
      <x:c r="M2" s="3" t="str">
        <x:v>119镜逐镜优化与840秒执行时间线</x:v>
      </x:c>
      <x:c r="N2" s="3" t="str">
        <x:v>119镜逐镜优化与840秒执行时间线</x:v>
      </x:c>
      <x:c r="O2" s="3" t="str">
        <x:v>119镜逐镜优化与840秒执行时间线</x:v>
      </x:c>
      <x:c r="P2" s="3" t="str">
        <x:v>119镜逐镜优化与840秒执行时间线</x:v>
      </x:c>
      <x:c r="Q2" s="3" t="str">
        <x:v>119镜逐镜优化与840秒执行时间线</x:v>
      </x:c>
      <x:c r="R2" s="3" t="str">
        <x:v>119镜逐镜优化与840秒执行时间线</x:v>
      </x:c>
      <x:c r="S2" s="3" t="str">
        <x:v>119镜逐镜优化与840秒执行时间线</x:v>
      </x:c>
      <x:c r="T2" s="3" t="str">
        <x:v>119镜逐镜优化与840秒执行时间线</x:v>
      </x:c>
    </x:row>
    <x:row r="3" ht="15" hidden="0" customHeight="1">
      <x:c r="A3" s="91" t="str">
        <x:v>说明：保留原镜号；新增镜以A后缀插入；新起止时间由目标秒数自动累计。对白字数只统计引号内汉字，判定还需结合动作、声桥和地月传播延迟。</x:v>
      </x:c>
      <x:c r="B3" s="91" t="str">
        <x:v>说明：保留原镜号；新增镜以A后缀插入；新起止时间由目标秒数自动累计。对白字数只统计引号内汉字，判定还需结合动作、声桥和地月传播延迟。</x:v>
      </x:c>
      <x:c r="C3" s="91" t="str">
        <x:v>说明：保留原镜号；新增镜以A后缀插入；新起止时间由目标秒数自动累计。对白字数只统计引号内汉字，判定还需结合动作、声桥和地月传播延迟。</x:v>
      </x:c>
      <x:c r="D3" s="91" t="str">
        <x:v>说明：保留原镜号；新增镜以A后缀插入；新起止时间由目标秒数自动累计。对白字数只统计引号内汉字，判定还需结合动作、声桥和地月传播延迟。</x:v>
      </x:c>
      <x:c r="E3" s="91" t="str">
        <x:v>说明：保留原镜号；新增镜以A后缀插入；新起止时间由目标秒数自动累计。对白字数只统计引号内汉字，判定还需结合动作、声桥和地月传播延迟。</x:v>
      </x:c>
      <x:c r="F3" s="91" t="str">
        <x:v>说明：保留原镜号；新增镜以A后缀插入；新起止时间由目标秒数自动累计。对白字数只统计引号内汉字，判定还需结合动作、声桥和地月传播延迟。</x:v>
      </x:c>
      <x:c r="G3" s="91" t="str">
        <x:v>说明：保留原镜号；新增镜以A后缀插入；新起止时间由目标秒数自动累计。对白字数只统计引号内汉字，判定还需结合动作、声桥和地月传播延迟。</x:v>
      </x:c>
      <x:c r="H3" s="91" t="str">
        <x:v>说明：保留原镜号；新增镜以A后缀插入；新起止时间由目标秒数自动累计。对白字数只统计引号内汉字，判定还需结合动作、声桥和地月传播延迟。</x:v>
      </x:c>
      <x:c r="I3" s="91" t="str">
        <x:v>说明：保留原镜号；新增镜以A后缀插入；新起止时间由目标秒数自动累计。对白字数只统计引号内汉字，判定还需结合动作、声桥和地月传播延迟。</x:v>
      </x:c>
      <x:c r="J3" s="91" t="str">
        <x:v>说明：保留原镜号；新增镜以A后缀插入；新起止时间由目标秒数自动累计。对白字数只统计引号内汉字，判定还需结合动作、声桥和地月传播延迟。</x:v>
      </x:c>
      <x:c r="K3" s="91" t="str">
        <x:v>说明：保留原镜号；新增镜以A后缀插入；新起止时间由目标秒数自动累计。对白字数只统计引号内汉字，判定还需结合动作、声桥和地月传播延迟。</x:v>
      </x:c>
      <x:c r="L3" s="91" t="str">
        <x:v>说明：保留原镜号；新增镜以A后缀插入；新起止时间由目标秒数自动累计。对白字数只统计引号内汉字，判定还需结合动作、声桥和地月传播延迟。</x:v>
      </x:c>
      <x:c r="M3" s="91" t="str">
        <x:v>说明：保留原镜号；新增镜以A后缀插入；新起止时间由目标秒数自动累计。对白字数只统计引号内汉字，判定还需结合动作、声桥和地月传播延迟。</x:v>
      </x:c>
      <x:c r="N3" s="91" t="str">
        <x:v>说明：保留原镜号；新增镜以A后缀插入；新起止时间由目标秒数自动累计。对白字数只统计引号内汉字，判定还需结合动作、声桥和地月传播延迟。</x:v>
      </x:c>
      <x:c r="O3" s="91" t="str">
        <x:v>说明：保留原镜号；新增镜以A后缀插入；新起止时间由目标秒数自动累计。对白字数只统计引号内汉字，判定还需结合动作、声桥和地月传播延迟。</x:v>
      </x:c>
      <x:c r="P3" s="91" t="str">
        <x:v>说明：保留原镜号；新增镜以A后缀插入；新起止时间由目标秒数自动累计。对白字数只统计引号内汉字，判定还需结合动作、声桥和地月传播延迟。</x:v>
      </x:c>
      <x:c r="Q3" s="91" t="str">
        <x:v>说明：保留原镜号；新增镜以A后缀插入；新起止时间由目标秒数自动累计。对白字数只统计引号内汉字，判定还需结合动作、声桥和地月传播延迟。</x:v>
      </x:c>
      <x:c r="R3" s="91" t="str">
        <x:v>说明：保留原镜号；新增镜以A后缀插入；新起止时间由目标秒数自动累计。对白字数只统计引号内汉字，判定还需结合动作、声桥和地月传播延迟。</x:v>
      </x:c>
      <x:c r="S3" s="91" t="str">
        <x:v>说明：保留原镜号；新增镜以A后缀插入；新起止时间由目标秒数自动累计。对白字数只统计引号内汉字，判定还需结合动作、声桥和地月传播延迟。</x:v>
      </x:c>
      <x:c r="T3" s="91" t="str">
        <x:v>说明：保留原镜号；新增镜以A后缀插入；新起止时间由目标秒数自动累计。对白字数只统计引号内汉字，判定还需结合动作、声桥和地月传播延迟。</x:v>
      </x:c>
    </x:row>
    <x:row r="4" ht="15" hidden="0" customHeight="1">
      <x:c r="A4" s="92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</x:row>
    <x:row r="5" ht="15" hidden="0" customHeight="1">
      <x:c r="A5" s="93" t="str">
        <x:v>场</x:v>
      </x:c>
      <x:c r="B5" s="94" t="str">
        <x:v>镜号</x:v>
      </x:c>
      <x:c r="C5" s="94" t="str">
        <x:v>原时间码</x:v>
      </x:c>
      <x:c r="D5" s="94" t="str">
        <x:v>原秒</x:v>
      </x:c>
      <x:c r="E5" s="94" t="str">
        <x:v>处理</x:v>
      </x:c>
      <x:c r="F5" s="94" t="str">
        <x:v>新秒</x:v>
      </x:c>
      <x:c r="G5" s="94" t="str">
        <x:v>新起始</x:v>
      </x:c>
      <x:c r="H5" s="94" t="str">
        <x:v>新结束</x:v>
      </x:c>
      <x:c r="I5" s="94" t="str">
        <x:v>景别／机位</x:v>
      </x:c>
      <x:c r="J5" s="94" t="str">
        <x:v>画面与动作</x:v>
      </x:c>
      <x:c r="K5" s="94" t="str">
        <x:v>声音／对白</x:v>
      </x:c>
      <x:c r="L5" s="94" t="str">
        <x:v>对白汉字</x:v>
      </x:c>
      <x:c r="M5" s="94" t="str">
        <x:v>动作/延迟余量</x:v>
      </x:c>
      <x:c r="N5" s="94" t="str">
        <x:v>对白可用秒</x:v>
      </x:c>
      <x:c r="O5" s="94" t="str">
        <x:v>所需字速</x:v>
      </x:c>
      <x:c r="P5" s="94" t="str">
        <x:v>建议上限</x:v>
      </x:c>
      <x:c r="Q5" s="94" t="str">
        <x:v>时长判断</x:v>
      </x:c>
      <x:c r="R5" s="94" t="str">
        <x:v>优化执行建议</x:v>
      </x:c>
      <x:c r="S5" s="94" t="str">
        <x:v>事实依据</x:v>
      </x:c>
      <x:c r="T5" s="95" t="str">
        <x:v>原制作控制</x:v>
      </x:c>
    </x:row>
    <x:row r="6" ht="32.400001525878906" hidden="0" customHeight="1">
      <x:c r="A6" s="96" t="n">
        <x:v>1</x:v>
      </x:c>
      <x:c r="B6" s="96" t="str">
        <x:v>001</x:v>
      </x:c>
      <x:c r="C6" s="96" t="str">
        <x:v>00:00–00:12</x:v>
      </x:c>
      <x:c r="D6" s="97" t="n">
        <x:v>12</x:v>
      </x:c>
      <x:c r="E6" s="97" t="str">
        <x:v>压缩</x:v>
      </x:c>
      <x:c r="F6" s="97" t="n">
        <x:v>8</x:v>
      </x:c>
      <x:c r="G6" s="98" t="n">
        <x:f>0</x:f>
        <x:v>0</x:v>
      </x:c>
      <x:c r="H6" s="98" t="n">
        <x:f>G6+F6/86400</x:f>
        <x:v>0.00009259259259259259</x:v>
      </x:c>
      <x:c r="I6" s="99" t="str">
        <x:v>黑场／后期字幕</x:v>
      </x:c>
      <x:c r="J6" s="99" t="str">
        <x:v>黑场依次出现：本片依据截至2026年的公开信息，对中国首次载人登月进行未来纪实推演；人物、日期、呼号及未公开任务细节均为艺术创作，不代表官方方案。</x:v>
      </x:c>
      <x:c r="K6" s="99" t="str">
        <x:v>无配乐；保持安静。</x:v>
      </x:c>
      <x:c r="L6" s="100" t="n">
        <x:v>0</x:v>
      </x:c>
      <x:c r="M6" s="100" t="n">
        <x:v>2</x:v>
      </x:c>
      <x:c r="N6" s="100" t="n">
        <x:f>MAX(0,F6-M6)</x:f>
        <x:v>6</x:v>
      </x:c>
      <x:c r="O6" s="100" t="n">
        <x:f>IF(L6=0,0,IF(N6=0,99,L6/N6))</x:f>
        <x:v>0</x:v>
      </x:c>
      <x:c r="P6" s="100" t="n">
        <x:v>3.8</x:v>
      </x:c>
      <x:c r="Q6" s="96" t="str">
        <x:f>IF(F6=0,"已删除",IF(L6=0,"无对白",IF(N6=0,"需跨镜",IF(O6&lt;=P6,"可执行",IF(O6&lt;=P6+0.4,"临界","需压词/跨镜")))))</x:f>
        <x:v>无对白</x:v>
      </x:c>
      <x:c r="R6" s="99" t="str">
        <x:v>压缩片头声明并叠加冷开场任务画面；保留‘未来推演、非官方方案’两项核心信息。</x:v>
      </x:c>
      <x:c r="S6" s="99" t="str">
        <x:v>F11、F4、F5、F8</x:v>
      </x:c>
      <x:c r="T6" s="99" t="str">
        <x:v>字幕后期制作；给足完整阅读时间。</x:v>
      </x:c>
    </x:row>
    <x:row r="7" ht="21.600000381469727" hidden="0" customHeight="1">
      <x:c r="A7" s="96" t="n">
        <x:v>1</x:v>
      </x:c>
      <x:c r="B7" s="96" t="str">
        <x:v>002</x:v>
      </x:c>
      <x:c r="C7" s="96" t="str">
        <x:v>00:12–00:17</x:v>
      </x:c>
      <x:c r="D7" s="97" t="n">
        <x:v>5</x:v>
      </x:c>
      <x:c r="E7" s="97" t="str">
        <x:v>压缩</x:v>
      </x:c>
      <x:c r="F7" s="97" t="n">
        <x:v>4</x:v>
      </x:c>
      <x:c r="G7" s="98" t="n">
        <x:f>H6</x:f>
        <x:v>0.00009259259259259259</x:v>
      </x:c>
      <x:c r="H7" s="98" t="n">
        <x:f>G7+F7/86400</x:f>
        <x:v>0.0001388888888888889</x:v>
      </x:c>
      <x:c r="I7" s="99" t="str">
        <x:v>黑场转深空／后期字幕</x:v>
      </x:c>
      <x:c r="J7" s="99" t="str">
        <x:v>字幕：2029年4月6日，月球轨道。画面转为月球弧面与黑色深空。</x:v>
      </x:c>
      <x:c r="K7" s="99" t="str">
        <x:v>远处设备低频底噪渐入。</x:v>
      </x:c>
      <x:c r="L7" s="100" t="n">
        <x:v>0</x:v>
      </x:c>
      <x:c r="M7" s="100" t="n">
        <x:v>2</x:v>
      </x:c>
      <x:c r="N7" s="100" t="n">
        <x:f>MAX(0,F7-M7)</x:f>
        <x:v>2</x:v>
      </x:c>
      <x:c r="O7" s="100" t="n">
        <x:f>IF(L7=0,0,IF(N7=0,99,L7/N7))</x:f>
        <x:v>0</x:v>
      </x:c>
      <x:c r="P7" s="100" t="n">
        <x:v>3.8</x:v>
      </x:c>
      <x:c r="Q7" s="96" t="str">
        <x:f>IF(F7=0,"已删除",IF(L7=0,"无对白",IF(N7=0,"需跨镜",IF(O7&lt;=P7,"可执行",IF(O7&lt;=P7+0.4,"临界","需压词/跨镜")))))</x:f>
        <x:v>无对白</x:v>
      </x:c>
      <x:c r="R7" s="99" t="str">
        <x:v>日期改为2029-04-20（月轨对接）；外景不设真空环境底噪，只允许舱内声桥。</x:v>
      </x:c>
      <x:c r="S7" s="99" t="str">
        <x:v>F11、F4、F5、F8</x:v>
      </x:c>
      <x:c r="T7" s="99" t="str">
        <x:v>日期属于本片艺术时间线。</x:v>
      </x:c>
    </x:row>
    <x:row r="8" ht="21.600000381469727" hidden="0" customHeight="1">
      <x:c r="A8" s="96" t="n">
        <x:v>1</x:v>
      </x:c>
      <x:c r="B8" s="96" t="str">
        <x:v>003</x:v>
      </x:c>
      <x:c r="C8" s="96" t="str">
        <x:v>00:17–00:27</x:v>
      </x:c>
      <x:c r="D8" s="97" t="n">
        <x:v>10</x:v>
      </x:c>
      <x:c r="E8" s="97" t="str">
        <x:v>保留</x:v>
      </x:c>
      <x:c r="F8" s="97" t="n">
        <x:v>10</x:v>
      </x:c>
      <x:c r="G8" s="98" t="n">
        <x:f>H7</x:f>
        <x:v>0.0001388888888888889</x:v>
      </x:c>
      <x:c r="H8" s="98" t="n">
        <x:f>G8+F8/86400</x:f>
        <x:v>0.0002546296296296296</x:v>
      </x:c>
      <x:c r="I8" s="99" t="str">
        <x:v>媒体区直播中景</x:v>
      </x:c>
      <x:c r="J8" s="99" t="str">
        <x:v>林知夏站在固定媒体位，身后玻璃与大屏可见北京飞控中心工作状态。</x:v>
      </x:c>
      <x:c r="K8" s="99" t="str">
        <x:v>林知夏：‘观众朋友大家好，我是特派记者林知夏。距离揽月与梦舟对接还有两分钟。’</x:v>
      </x:c>
      <x:c r="L8" s="100" t="n">
        <x:v>30</x:v>
      </x:c>
      <x:c r="M8" s="100" t="n">
        <x:v>2</x:v>
      </x:c>
      <x:c r="N8" s="100" t="n">
        <x:f>MAX(0,F8-M8)</x:f>
        <x:v>8</x:v>
      </x:c>
      <x:c r="O8" s="100" t="n">
        <x:f>IF(L8=0,0,IF(N8=0,99,L8/N8))</x:f>
        <x:v>3.75</x:v>
      </x:c>
      <x:c r="P8" s="100" t="n">
        <x:v>3.2</x:v>
      </x:c>
      <x:c r="Q8" s="96" t="str">
        <x:f>IF(F8=0,"已删除",IF(L8=0,"无对白",IF(N8=0,"需跨镜",IF(O8&lt;=P8,"可执行",IF(O8&lt;=P8+0.4,"临界","需压词/跨镜")))))</x:f>
        <x:v>需压词/跨镜</x:v>
      </x:c>
      <x:c r="R8" s="99" t="str">
        <x:v>保留直播进口；删‘我是特派记者’后的多余停顿，语速控制在3.2字/秒左右。</x:v>
      </x:c>
      <x:c r="S8" s="99" t="str">
        <x:v>F11、F4、F5、F8</x:v>
      </x:c>
      <x:c r="T8" s="99" t="str">
        <x:v>记者不进入飞控工作大厅；台词保留起句和收句余量。</x:v>
      </x:c>
    </x:row>
    <x:row r="9" ht="32.400001525878906" hidden="0" customHeight="1">
      <x:c r="A9" s="96" t="n">
        <x:v>1</x:v>
      </x:c>
      <x:c r="B9" s="96" t="str">
        <x:v>004</x:v>
      </x:c>
      <x:c r="C9" s="96" t="str">
        <x:v>00:27–00:39</x:v>
      </x:c>
      <x:c r="D9" s="97" t="n">
        <x:v>12</x:v>
      </x:c>
      <x:c r="E9" s="97" t="str">
        <x:v>压缩</x:v>
      </x:c>
      <x:c r="F9" s="97" t="n">
        <x:v>9</x:v>
      </x:c>
      <x:c r="G9" s="98" t="n">
        <x:f>H8</x:f>
        <x:v>0.0002546296296296296</x:v>
      </x:c>
      <x:c r="H9" s="98" t="n">
        <x:f>G9+F9/86400</x:f>
        <x:v>0.0003587962962962963</x:v>
      </x:c>
      <x:c r="I9" s="99" t="str">
        <x:v>月轨双器远景／视觉重建</x:v>
      </x:c>
      <x:c r="J9" s="99" t="str">
        <x:v>月球弧面占画面下方，梦舟与揽月沿同一轨道方向飞行；远处地球是有清晰直径的蓝白色圆盘。画面角落标注：基于实时遥测的视觉重建。</x:v>
      </x:c>
      <x:c r="K9" s="99" t="str">
        <x:v>林知夏画外：‘四天前，无人状态的揽月先期升空；三天前，梦舟载三名航天员启程。两器分别完成地月转移和近月制动，正在这里会合。’</x:v>
      </x:c>
      <x:c r="L9" s="100" t="n">
        <x:v>48</x:v>
      </x:c>
      <x:c r="M9" s="100" t="n">
        <x:v>1</x:v>
      </x:c>
      <x:c r="N9" s="100" t="n">
        <x:f>MAX(0,F9-M9)</x:f>
        <x:v>8</x:v>
      </x:c>
      <x:c r="O9" s="100" t="n">
        <x:f>IF(L9=0,0,IF(N9=0,99,L9/N9))</x:f>
        <x:v>6</x:v>
      </x:c>
      <x:c r="P9" s="100" t="n">
        <x:v>3.2</x:v>
      </x:c>
      <x:c r="Q9" s="96" t="str">
        <x:f>IF(F9=0,"已删除",IF(L9=0,"无对白",IF(N9=0,"需跨镜",IF(O9&lt;=P9,"可执行",IF(O9&lt;=P9+0.4,"临界","需压词/跨镜")))))</x:f>
        <x:v>需压词/跨镜</x:v>
      </x:c>
      <x:c r="R9" s="99" t="str">
        <x:v>旁白压成一句并跨镜003-005：交代揽月先期入轨、梦舟载三人抵达即可。</x:v>
      </x:c>
      <x:c r="S9" s="99" t="str">
        <x:v>F11、F4、F5、F8</x:v>
      </x:c>
      <x:c r="T9" s="99" t="str">
        <x:v>不伪装成物理外拍机位；地球不能表现为小蓝点。</x:v>
      </x:c>
    </x:row>
    <x:row r="10" ht="21.600000381469727" hidden="0" customHeight="1">
      <x:c r="A10" s="96" t="n">
        <x:v>1</x:v>
      </x:c>
      <x:c r="B10" s="96" t="str">
        <x:v>005</x:v>
      </x:c>
      <x:c r="C10" s="96" t="str">
        <x:v>00:39–00:48</x:v>
      </x:c>
      <x:c r="D10" s="97" t="n">
        <x:v>9</x:v>
      </x:c>
      <x:c r="E10" s="97" t="str">
        <x:v>压缩</x:v>
      </x:c>
      <x:c r="F10" s="97" t="n">
        <x:v>8</x:v>
      </x:c>
      <x:c r="G10" s="98" t="n">
        <x:f>H9</x:f>
        <x:v>0.0003587962962962963</x:v>
      </x:c>
      <x:c r="H10" s="98" t="n">
        <x:f>G10+F10/86400</x:f>
        <x:v>0.00045138888888888887</x:v>
      </x:c>
      <x:c r="I10" s="99" t="str">
        <x:v>梦舟舱内后向广角</x:v>
      </x:c>
      <x:c r="J10" s="99" t="str">
        <x:v>三名航天员全部固定在梦舟三把座椅上；杨凛居中统筹，刘定槎监看相对导航，陈砚核对揽月遥测和转移清单。</x:v>
      </x:c>
      <x:c r="K10" s="99" t="str">
        <x:v>杨凛：‘最终接近准备。’ 刘定槎：‘相对导航一致。’ 陈砚：‘揽月无人状态正常。’</x:v>
      </x:c>
      <x:c r="L10" s="100" t="n">
        <x:v>20</x:v>
      </x:c>
      <x:c r="M10" s="100" t="n">
        <x:v>1</x:v>
      </x:c>
      <x:c r="N10" s="100" t="n">
        <x:f>MAX(0,F10-M10)</x:f>
        <x:v>7</x:v>
      </x:c>
      <x:c r="O10" s="100" t="n">
        <x:f>IF(L10=0,0,IF(N10=0,99,L10/N10))</x:f>
        <x:v>2.857142857142857</x:v>
      </x:c>
      <x:c r="P10" s="100" t="n">
        <x:v>3.8</x:v>
      </x:c>
      <x:c r="Q10" s="96" t="str">
        <x:f>IF(F10=0,"已删除",IF(L10=0,"无对白",IF(N10=0,"需跨镜",IF(O10&lt;=P10,"可执行",IF(O10&lt;=P10+0.4,"临界","需压词/跨镜")))))</x:f>
        <x:v>可执行</x:v>
      </x:c>
      <x:c r="R10" s="99" t="str">
        <x:v>三人岗位建立有效；把三句口令做成不同节奏，避免角色同声同气。</x:v>
      </x:c>
      <x:c r="S10" s="99" t="str">
        <x:v>F11、F4、F5、F8</x:v>
      </x:c>
      <x:c r="T10" s="99" t="str">
        <x:v>第一次建立三座满员的视觉母题；揽月此时无人。</x:v>
      </x:c>
    </x:row>
    <x:row r="11" ht="21.600000381469727" hidden="0" customHeight="1">
      <x:c r="A11" s="96" t="n">
        <x:v>1</x:v>
      </x:c>
      <x:c r="B11" s="96" t="str">
        <x:v>006</x:v>
      </x:c>
      <x:c r="C11" s="96" t="str">
        <x:v>00:48–00:56</x:v>
      </x:c>
      <x:c r="D11" s="97" t="n">
        <x:v>8</x:v>
      </x:c>
      <x:c r="E11" s="97" t="str">
        <x:v>压缩</x:v>
      </x:c>
      <x:c r="F11" s="97" t="n">
        <x:v>7</x:v>
      </x:c>
      <x:c r="G11" s="98" t="n">
        <x:f>H10</x:f>
        <x:v>0.00045138888888888887</x:v>
      </x:c>
      <x:c r="H11" s="98" t="n">
        <x:f>G11+F11/86400</x:f>
        <x:v>0.0005324074074074074</x:v>
      </x:c>
      <x:c r="I11" s="99" t="str">
        <x:v>飞控大厅广角</x:v>
      </x:c>
      <x:c r="J11" s="99" t="str">
        <x:v>主屏显示双目标相对轨迹；飞行主任、轨道、制导导航控制和航天员系统席位安静工作。</x:v>
      </x:c>
      <x:c r="K11" s="99" t="str">
        <x:v>北京：‘双器进入最终接近准备，各系统报状态。’ 席位按顺序简短回报。</x:v>
      </x:c>
      <x:c r="L11" s="100" t="n">
        <x:v>16</x:v>
      </x:c>
      <x:c r="M11" s="100" t="n">
        <x:v>1</x:v>
      </x:c>
      <x:c r="N11" s="100" t="n">
        <x:f>MAX(0,F11-M11)</x:f>
        <x:v>6</x:v>
      </x:c>
      <x:c r="O11" s="100" t="n">
        <x:f>IF(L11=0,0,IF(N11=0,99,L11/N11))</x:f>
        <x:v>2.6666666666666665</x:v>
      </x:c>
      <x:c r="P11" s="100" t="n">
        <x:v>3.8</x:v>
      </x:c>
      <x:c r="Q11" s="96" t="str">
        <x:f>IF(F11=0,"已删除",IF(L11=0,"无对白",IF(N11=0,"需跨镜",IF(O11&lt;=P11,"可执行",IF(O11&lt;=P11+0.4,"临界","需压词/跨镜")))))</x:f>
        <x:v>可执行</x:v>
      </x:c>
      <x:c r="R11" s="99" t="str">
        <x:v>席位回报只留关键两席，避免与镜008重复报正常。</x:v>
      </x:c>
      <x:c r="S11" s="99" t="str">
        <x:v>F11、F4、F5、F8</x:v>
      </x:c>
      <x:c r="T11" s="99" t="str">
        <x:v>只保留关键状态闭合。</x:v>
      </x:c>
    </x:row>
    <x:row r="12" ht="21.600000381469727" hidden="0" customHeight="1">
      <x:c r="A12" s="96" t="n">
        <x:v>1</x:v>
      </x:c>
      <x:c r="B12" s="96" t="str">
        <x:v>007</x:v>
      </x:c>
      <x:c r="C12" s="96" t="str">
        <x:v>00:56–01:02</x:v>
      </x:c>
      <x:c r="D12" s="97" t="n">
        <x:v>6</x:v>
      </x:c>
      <x:c r="E12" s="97" t="str">
        <x:v>压缩</x:v>
      </x:c>
      <x:c r="F12" s="97" t="n">
        <x:v>4</x:v>
      </x:c>
      <x:c r="G12" s="98" t="n">
        <x:f>H11</x:f>
        <x:v>0.0005324074074074074</x:v>
      </x:c>
      <x:c r="H12" s="98" t="n">
        <x:f>G12+F12/86400</x:f>
        <x:v>0.0005787037037037038</x:v>
      </x:c>
      <x:c r="I12" s="99" t="str">
        <x:v>佳木斯深空站外景</x:v>
      </x:c>
      <x:c r="J12" s="99" t="str">
        <x:v>66米天线缓慢跟踪；任务屏显示梦舟、揽月两条轨迹和链路状态。</x:v>
      </x:c>
      <x:c r="K12" s="99" t="str">
        <x:v>林海：‘双目标遥测稳定，测距连续。’</x:v>
      </x:c>
      <x:c r="L12" s="100" t="n">
        <x:v>11</x:v>
      </x:c>
      <x:c r="M12" s="100" t="n">
        <x:v>1</x:v>
      </x:c>
      <x:c r="N12" s="100" t="n">
        <x:f>MAX(0,F12-M12)</x:f>
        <x:v>3</x:v>
      </x:c>
      <x:c r="O12" s="100" t="n">
        <x:f>IF(L12=0,0,IF(N12=0,99,L12/N12))</x:f>
        <x:v>3.6666666666666665</x:v>
      </x:c>
      <x:c r="P12" s="100" t="n">
        <x:v>3.8</x:v>
      </x:c>
      <x:c r="Q12" s="96" t="str">
        <x:f>IF(F12=0,"已删除",IF(L12=0,"无对白",IF(N12=0,"需跨镜",IF(O12&lt;=P12,"可执行",IF(O12&lt;=P12+0.4,"临界","需压词/跨镜")))))</x:f>
        <x:v>可执行</x:v>
      </x:c>
      <x:c r="R12" s="99" t="str">
        <x:v>保留射频测控基线；66米射电天线不得表现为激光地面站。</x:v>
      </x:c>
      <x:c r="S12" s="99" t="str">
        <x:v>F11、F4、F5、F8</x:v>
      </x:c>
      <x:c r="T12" s="99" t="str">
        <x:v>近月主链路由深空地面站接力。</x:v>
      </x:c>
    </x:row>
    <x:row r="13" ht="21.600000381469727" hidden="0" customHeight="1">
      <x:c r="A13" s="96" t="n">
        <x:v>2</x:v>
      </x:c>
      <x:c r="B13" s="96" t="str">
        <x:v>008</x:v>
      </x:c>
      <x:c r="C13" s="96" t="str">
        <x:v>01:02–01:10</x:v>
      </x:c>
      <x:c r="D13" s="97" t="n">
        <x:v>8</x:v>
      </x:c>
      <x:c r="E13" s="97" t="str">
        <x:v>压缩</x:v>
      </x:c>
      <x:c r="F13" s="97" t="n">
        <x:v>7</x:v>
      </x:c>
      <x:c r="G13" s="98" t="n">
        <x:f>H12</x:f>
        <x:v>0.0005787037037037038</x:v>
      </x:c>
      <x:c r="H13" s="98" t="n">
        <x:f>G13+F13/86400</x:f>
        <x:v>0.0006597222222222224</x:v>
      </x:c>
      <x:c r="I13" s="99" t="str">
        <x:v>梦舟舱内三人中景</x:v>
      </x:c>
      <x:c r="J13" s="99" t="str">
        <x:v>三名航天员保持约束状态；刘定槎读出闭合速度，陈砚监看揽月状态，杨凛确认接近序列。</x:v>
      </x:c>
      <x:c r="K13" s="99" t="str">
        <x:v>刘定槎：‘闭合速度稳定。’ 陈砚：‘揽月姿态正常。’ 杨凛：‘继续接近。’</x:v>
      </x:c>
      <x:c r="L13" s="100" t="n">
        <x:v>16</x:v>
      </x:c>
      <x:c r="M13" s="100" t="n">
        <x:v>1</x:v>
      </x:c>
      <x:c r="N13" s="100" t="n">
        <x:f>MAX(0,F13-M13)</x:f>
        <x:v>6</x:v>
      </x:c>
      <x:c r="O13" s="100" t="n">
        <x:f>IF(L13=0,0,IF(N13=0,99,L13/N13))</x:f>
        <x:v>2.6666666666666665</x:v>
      </x:c>
      <x:c r="P13" s="100" t="n">
        <x:v>3.8</x:v>
      </x:c>
      <x:c r="Q13" s="96" t="str">
        <x:f>IF(F13=0,"已删除",IF(L13=0,"无对白",IF(N13=0,"需跨镜",IF(O13&lt;=P13,"可执行",IF(O13&lt;=P13+0.4,"临界","需压词/跨镜")))))</x:f>
        <x:v>可执行</x:v>
      </x:c>
      <x:c r="R13" s="99" t="str">
        <x:v>压缩头尾和重复确认；保留“三名航天员保持约束状态；刘定槎读出闭合速度，陈砚监看”这一任务功能。</x:v>
      </x:c>
      <x:c r="S13" s="99" t="str">
        <x:v>F11、F4、F5、F8</x:v>
      </x:c>
      <x:c r="T13" s="99" t="str">
        <x:v>三名乘员均在梦舟；不虚构揽月内有人。</x:v>
      </x:c>
    </x:row>
    <x:row r="14" ht="21.600000381469727" hidden="0" customHeight="1">
      <x:c r="A14" s="96" t="n">
        <x:v>2</x:v>
      </x:c>
      <x:c r="B14" s="96" t="str">
        <x:v>009</x:v>
      </x:c>
      <x:c r="C14" s="96" t="str">
        <x:v>01:10–01:17</x:v>
      </x:c>
      <x:c r="D14" s="97" t="n">
        <x:v>7</x:v>
      </x:c>
      <x:c r="E14" s="97" t="str">
        <x:v>压缩</x:v>
      </x:c>
      <x:c r="F14" s="97" t="n">
        <x:v>6</x:v>
      </x:c>
      <x:c r="G14" s="98" t="n">
        <x:f>H13</x:f>
        <x:v>0.0006597222222222224</x:v>
      </x:c>
      <x:c r="H14" s="98" t="n">
        <x:f>G14+F14/86400</x:f>
        <x:v>0.0007291666666666668</x:v>
      </x:c>
      <x:c r="I14" s="99" t="str">
        <x:v>双器侧向／视觉重建</x:v>
      </x:c>
      <x:c r="J14" s="99" t="str">
        <x:v>两器沿对接轴线缓慢闭合，姿控喷气短促且克制；角落标注：基于实时遥测的视觉重建。</x:v>
      </x:c>
      <x:c r="K14" s="99" t="str">
        <x:v>外景静音；只保留无线电。</x:v>
      </x:c>
      <x:c r="L14" s="100" t="n">
        <x:v>0</x:v>
      </x:c>
      <x:c r="M14" s="100" t="n">
        <x:v>2</x:v>
      </x:c>
      <x:c r="N14" s="100" t="n">
        <x:f>MAX(0,F14-M14)</x:f>
        <x:v>4</x:v>
      </x:c>
      <x:c r="O14" s="100" t="n">
        <x:f>IF(L14=0,0,IF(N14=0,99,L14/N14))</x:f>
        <x:v>0</x:v>
      </x:c>
      <x:c r="P14" s="100" t="n">
        <x:v>3.8</x:v>
      </x:c>
      <x:c r="Q14" s="96" t="str">
        <x:f>IF(F14=0,"已删除",IF(L14=0,"无对白",IF(N14=0,"需跨镜",IF(O14&lt;=P14,"可执行",IF(O14&lt;=P14+0.4,"临界","需压词/跨镜")))))</x:f>
        <x:v>无对白</x:v>
      </x:c>
      <x:c r="R14" s="99" t="str">
        <x:v>压缩头尾和重复确认；保留“两器沿对接轴线缓慢闭合，姿控喷气短促且克制；角落标注”这一任务功能。</x:v>
      </x:c>
      <x:c r="S14" s="99" t="str">
        <x:v>F11、F4、F5、F8</x:v>
      </x:c>
      <x:c r="T14" s="99" t="str">
        <x:v>不指定未公开的主动／被动对接分工。</x:v>
      </x:c>
    </x:row>
    <x:row r="15" ht="15" hidden="0" customHeight="1">
      <x:c r="A15" s="96" t="n">
        <x:v>2</x:v>
      </x:c>
      <x:c r="B15" s="96" t="str">
        <x:v>010</x:v>
      </x:c>
      <x:c r="C15" s="96" t="str">
        <x:v>01:17–01:24</x:v>
      </x:c>
      <x:c r="D15" s="97" t="n">
        <x:v>7</x:v>
      </x:c>
      <x:c r="E15" s="97" t="str">
        <x:v>保留</x:v>
      </x:c>
      <x:c r="F15" s="97" t="n">
        <x:v>7</x:v>
      </x:c>
      <x:c r="G15" s="98" t="n">
        <x:f>H14</x:f>
        <x:v>0.0007291666666666668</x:v>
      </x:c>
      <x:c r="H15" s="98" t="n">
        <x:f>G15+F15/86400</x:f>
        <x:v>0.0008101851851851853</x:v>
      </x:c>
      <x:c r="I15" s="99" t="str">
        <x:v>对接口监视相机</x:v>
      </x:c>
      <x:c r="J15" s="99" t="str">
        <x:v>目标十字线在二十米停泊点稳定，闭合速度降为零。</x:v>
      </x:c>
      <x:c r="K15" s="99" t="str">
        <x:v>刘定槎：‘二十米停泊。’ 北京：‘状态闭合，允许继续。’</x:v>
      </x:c>
      <x:c r="L15" s="100" t="n">
        <x:v>13</x:v>
      </x:c>
      <x:c r="M15" s="100" t="n">
        <x:v>2.6</x:v>
      </x:c>
      <x:c r="N15" s="100" t="n">
        <x:f>MAX(0,F15-M15)</x:f>
        <x:v>4.4</x:v>
      </x:c>
      <x:c r="O15" s="100" t="n">
        <x:f>IF(L15=0,0,IF(N15=0,99,L15/N15))</x:f>
        <x:v>2.954545454545454</x:v>
      </x:c>
      <x:c r="P15" s="100" t="n">
        <x:v>3.8</x:v>
      </x:c>
      <x:c r="Q15" s="96" t="str">
        <x:f>IF(F15=0,"已删除",IF(L15=0,"无对白",IF(N15=0,"需跨镜",IF(O15&lt;=P15,"可执行",IF(O15&lt;=P15+0.4,"临界","需压词/跨镜")))))</x:f>
        <x:v>可执行</x:v>
      </x:c>
      <x:c r="R15" s="99" t="str">
        <x:v>保留20米停泊和地面授权；地月回复之间留约1.3秒传播间隔。</x:v>
      </x:c>
      <x:c r="S15" s="99" t="str">
        <x:v>F11、F4、F5、F8</x:v>
      </x:c>
      <x:c r="T15" s="99" t="str">
        <x:v>任务证据视角；不让记者或专家覆盖。</x:v>
      </x:c>
    </x:row>
    <x:row r="16" ht="21.600000381469727" hidden="0" customHeight="1">
      <x:c r="A16" s="96" t="n">
        <x:v>2</x:v>
      </x:c>
      <x:c r="B16" s="96" t="str">
        <x:v>011</x:v>
      </x:c>
      <x:c r="C16" s="96" t="str">
        <x:v>01:24–01:31</x:v>
      </x:c>
      <x:c r="D16" s="97" t="n">
        <x:v>7</x:v>
      </x:c>
      <x:c r="E16" s="97" t="str">
        <x:v>压缩</x:v>
      </x:c>
      <x:c r="F16" s="97" t="n">
        <x:v>5</x:v>
      </x:c>
      <x:c r="G16" s="98" t="n">
        <x:f>H15</x:f>
        <x:v>0.0008101851851851853</x:v>
      </x:c>
      <x:c r="H16" s="98" t="n">
        <x:f>G16+F16/86400</x:f>
        <x:v>0.0008680555555555556</x:v>
      </x:c>
      <x:c r="I16" s="99" t="str">
        <x:v>飞控屏幕近景</x:v>
      </x:c>
      <x:c r="J16" s="99" t="str">
        <x:v>轨道、姿态和链路状态依次转绿；飞行主任手势确认。</x:v>
      </x:c>
      <x:c r="K16" s="99" t="str">
        <x:v>北京：‘进入最终接近。’</x:v>
      </x:c>
      <x:c r="L16" s="100" t="n">
        <x:v>6</x:v>
      </x:c>
      <x:c r="M16" s="100" t="n">
        <x:v>1</x:v>
      </x:c>
      <x:c r="N16" s="100" t="n">
        <x:f>MAX(0,F16-M16)</x:f>
        <x:v>4</x:v>
      </x:c>
      <x:c r="O16" s="100" t="n">
        <x:f>IF(L16=0,0,IF(N16=0,99,L16/N16))</x:f>
        <x:v>1.5</x:v>
      </x:c>
      <x:c r="P16" s="100" t="n">
        <x:v>3.8</x:v>
      </x:c>
      <x:c r="Q16" s="96" t="str">
        <x:f>IF(F16=0,"已删除",IF(L16=0,"无对白",IF(N16=0,"需跨镜",IF(O16&lt;=P16,"可执行",IF(O16&lt;=P16+0.4,"临界","需压词/跨镜")))))</x:f>
        <x:v>可执行</x:v>
      </x:c>
      <x:c r="R16" s="99" t="str">
        <x:v>压缩头尾和重复确认；保留“轨道、姿态和链路状态依次转绿；飞行主任手势确认。”这一任务功能。</x:v>
      </x:c>
      <x:c r="S16" s="99" t="str">
        <x:v>F11、F4、F5、F8</x:v>
      </x:c>
      <x:c r="T16" s="99" t="str">
        <x:v>保留授权动作和短暂停顿。</x:v>
      </x:c>
    </x:row>
    <x:row r="17" ht="21.600000381469727" hidden="0" customHeight="1">
      <x:c r="A17" s="96" t="n">
        <x:v>2</x:v>
      </x:c>
      <x:c r="B17" s="96" t="str">
        <x:v>012</x:v>
      </x:c>
      <x:c r="C17" s="96" t="str">
        <x:v>01:31–01:38</x:v>
      </x:c>
      <x:c r="D17" s="97" t="n">
        <x:v>7</x:v>
      </x:c>
      <x:c r="E17" s="97" t="str">
        <x:v>保留</x:v>
      </x:c>
      <x:c r="F17" s="97" t="n">
        <x:v>7</x:v>
      </x:c>
      <x:c r="G17" s="98" t="n">
        <x:f>H16</x:f>
        <x:v>0.0008680555555555556</x:v>
      </x:c>
      <x:c r="H17" s="98" t="n">
        <x:f>G17+F17/86400</x:f>
        <x:v>0.0009490740740740742</x:v>
      </x:c>
      <x:c r="I17" s="99" t="str">
        <x:v>梦舟舱内交叉近景</x:v>
      </x:c>
      <x:c r="J17" s="99" t="str">
        <x:v>杨凛看向中央状态页，刘定槎盯住相对导航，陈砚保持对揽月系统监视。</x:v>
      </x:c>
      <x:c r="K17" s="99" t="str">
        <x:v>杨凛：‘十米……五米……接触准备。’</x:v>
      </x:c>
      <x:c r="L17" s="100" t="n">
        <x:v>8</x:v>
      </x:c>
      <x:c r="M17" s="100" t="n">
        <x:v>1</x:v>
      </x:c>
      <x:c r="N17" s="100" t="n">
        <x:f>MAX(0,F17-M17)</x:f>
        <x:v>6</x:v>
      </x:c>
      <x:c r="O17" s="100" t="n">
        <x:f>IF(L17=0,0,IF(N17=0,99,L17/N17))</x:f>
        <x:v>1.3333333333333333</x:v>
      </x:c>
      <x:c r="P17" s="100" t="n">
        <x:v>3.8</x:v>
      </x:c>
      <x:c r="Q17" s="96" t="str">
        <x:f>IF(F17=0,"已删除",IF(L17=0,"无对白",IF(N17=0,"需跨镜",IF(O17&lt;=P17,"可执行",IF(O17&lt;=P17+0.4,"临界","需压词/跨镜")))))</x:f>
        <x:v>可执行</x:v>
      </x:c>
      <x:c r="R17" s="99" t="str">
        <x:v>保留任务倒数；省略号转为明确口令停顿，不作为情绪表演。</x:v>
      </x:c>
      <x:c r="S17" s="99" t="str">
        <x:v>F11、F4、F5、F8</x:v>
      </x:c>
      <x:c r="T17" s="99" t="str">
        <x:v>通话保留约1.3秒单程延迟的自然节奏。</x:v>
      </x:c>
    </x:row>
    <x:row r="18" ht="21.600000381469727" hidden="0" customHeight="1">
      <x:c r="A18" s="96" t="n">
        <x:v>2</x:v>
      </x:c>
      <x:c r="B18" s="96" t="str">
        <x:v>013</x:v>
      </x:c>
      <x:c r="C18" s="96" t="str">
        <x:v>01:38–01:46</x:v>
      </x:c>
      <x:c r="D18" s="97" t="n">
        <x:v>8</x:v>
      </x:c>
      <x:c r="E18" s="97" t="str">
        <x:v>压缩</x:v>
      </x:c>
      <x:c r="F18" s="97" t="n">
        <x:v>7</x:v>
      </x:c>
      <x:c r="G18" s="98" t="n">
        <x:f>H17</x:f>
        <x:v>0.0009490740740740742</x:v>
      </x:c>
      <x:c r="H18" s="98" t="n">
        <x:f>G18+F18/86400</x:f>
        <x:v>0.0010300925925925926</x:v>
      </x:c>
      <x:c r="I18" s="99" t="str">
        <x:v>正轴／视觉重建</x:v>
      </x:c>
      <x:c r="J18" s="99" t="str">
        <x:v>对接环在画面中心逐渐重合，双器相对运动接近静止；角落保留视觉重建标识。</x:v>
      </x:c>
      <x:c r="K18" s="99" t="str">
        <x:v>外景静音；无线电倒数继续。</x:v>
      </x:c>
      <x:c r="L18" s="100" t="n">
        <x:v>0</x:v>
      </x:c>
      <x:c r="M18" s="100" t="n">
        <x:v>2</x:v>
      </x:c>
      <x:c r="N18" s="100" t="n">
        <x:f>MAX(0,F18-M18)</x:f>
        <x:v>5</x:v>
      </x:c>
      <x:c r="O18" s="100" t="n">
        <x:f>IF(L18=0,0,IF(N18=0,99,L18/N18))</x:f>
        <x:v>0</x:v>
      </x:c>
      <x:c r="P18" s="100" t="n">
        <x:v>3.8</x:v>
      </x:c>
      <x:c r="Q18" s="96" t="str">
        <x:f>IF(F18=0,"已删除",IF(L18=0,"无对白",IF(N18=0,"需跨镜",IF(O18&lt;=P18,"可执行",IF(O18&lt;=P18+0.4,"临界","需压词/跨镜")))))</x:f>
        <x:v>无对白</x:v>
      </x:c>
      <x:c r="R18" s="99" t="str">
        <x:v>压缩头尾和重复确认；保留“对接环在画面中心逐渐重合，双器相对运动接近静止；角落”这一任务功能。</x:v>
      </x:c>
      <x:c r="S18" s="99" t="str">
        <x:v>F11、F4、F5、F8</x:v>
      </x:c>
      <x:c r="T18" s="99" t="str">
        <x:v>第三视角只补充空间尺度。</x:v>
      </x:c>
    </x:row>
    <x:row r="19" ht="15" hidden="0" customHeight="1">
      <x:c r="A19" s="96" t="n">
        <x:v>2</x:v>
      </x:c>
      <x:c r="B19" s="96" t="str">
        <x:v>014</x:v>
      </x:c>
      <x:c r="C19" s="96" t="str">
        <x:v>01:46–01:54</x:v>
      </x:c>
      <x:c r="D19" s="97" t="n">
        <x:v>8</x:v>
      </x:c>
      <x:c r="E19" s="97" t="str">
        <x:v>保留</x:v>
      </x:c>
      <x:c r="F19" s="97" t="n">
        <x:v>8</x:v>
      </x:c>
      <x:c r="G19" s="98" t="n">
        <x:f>H18</x:f>
        <x:v>0.0010300925925925926</x:v>
      </x:c>
      <x:c r="H19" s="98" t="n">
        <x:f>G19+F19/86400</x:f>
        <x:v>0.0011226851851851853</x:v>
      </x:c>
      <x:c r="I19" s="99" t="str">
        <x:v>对接机构与舱内交叉</x:v>
      </x:c>
      <x:c r="J19" s="99" t="str">
        <x:v>对接环接触、缓冲、拉紧；梦舟舱内出现轻微结构振动。</x:v>
      </x:c>
      <x:c r="K19" s="99" t="str">
        <x:v>杨凛：‘接触捕获。’ 刘定槎：‘梦舟状态正常。’</x:v>
      </x:c>
      <x:c r="L19" s="100" t="n">
        <x:v>10</x:v>
      </x:c>
      <x:c r="M19" s="100" t="n">
        <x:v>1</x:v>
      </x:c>
      <x:c r="N19" s="100" t="n">
        <x:f>MAX(0,F19-M19)</x:f>
        <x:v>7</x:v>
      </x:c>
      <x:c r="O19" s="100" t="n">
        <x:f>IF(L19=0,0,IF(N19=0,99,L19/N19))</x:f>
        <x:v>1.4285714285714286</x:v>
      </x:c>
      <x:c r="P19" s="100" t="n">
        <x:v>3.8</x:v>
      </x:c>
      <x:c r="Q19" s="96" t="str">
        <x:f>IF(F19=0,"已删除",IF(L19=0,"无对白",IF(N19=0,"需跨镜",IF(O19&lt;=P19,"可执行",IF(O19&lt;=P19+0.4,"临界","需压词/跨镜")))))</x:f>
        <x:v>可执行</x:v>
      </x:c>
      <x:c r="R19" s="99" t="str">
        <x:v>保留该镜的任务证据或空间关系；对白与动作按既有专业边界执行。</x:v>
      </x:c>
      <x:c r="S19" s="99" t="str">
        <x:v>F11、F4、F5、F8</x:v>
      </x:c>
      <x:c r="T19" s="99" t="str">
        <x:v>结构声只在舱内成立。</x:v>
      </x:c>
    </x:row>
    <x:row r="20" ht="15" hidden="0" customHeight="1">
      <x:c r="A20" s="96" t="n">
        <x:v>2</x:v>
      </x:c>
      <x:c r="B20" s="96" t="str">
        <x:v>015</x:v>
      </x:c>
      <x:c r="C20" s="96" t="str">
        <x:v>01:54–02:02</x:v>
      </x:c>
      <x:c r="D20" s="97" t="n">
        <x:v>8</x:v>
      </x:c>
      <x:c r="E20" s="97" t="str">
        <x:v>保留</x:v>
      </x:c>
      <x:c r="F20" s="97" t="n">
        <x:v>8</x:v>
      </x:c>
      <x:c r="G20" s="98" t="n">
        <x:f>H19</x:f>
        <x:v>0.0011226851851851853</x:v>
      </x:c>
      <x:c r="H20" s="98" t="n">
        <x:f>G20+F20/86400</x:f>
        <x:v>0.001215277777777778</x:v>
      </x:c>
      <x:c r="I20" s="99" t="str">
        <x:v>北京飞控广角</x:v>
      </x:c>
      <x:c r="J20" s="99" t="str">
        <x:v>硬连接、姿态、密封和压力检查依次完成，大厅短暂克制鼓掌。</x:v>
      </x:c>
      <x:c r="K20" s="99" t="str">
        <x:v>北京：‘硬连接完成，双器组合体状态正常。’</x:v>
      </x:c>
      <x:c r="L20" s="100" t="n">
        <x:v>14</x:v>
      </x:c>
      <x:c r="M20" s="100" t="n">
        <x:v>1</x:v>
      </x:c>
      <x:c r="N20" s="100" t="n">
        <x:f>MAX(0,F20-M20)</x:f>
        <x:v>7</x:v>
      </x:c>
      <x:c r="O20" s="100" t="n">
        <x:f>IF(L20=0,0,IF(N20=0,99,L20/N20))</x:f>
        <x:v>2</x:v>
      </x:c>
      <x:c r="P20" s="100" t="n">
        <x:v>3.8</x:v>
      </x:c>
      <x:c r="Q20" s="96" t="str">
        <x:f>IF(F20=0,"已删除",IF(L20=0,"无对白",IF(N20=0,"需跨镜",IF(O20&lt;=P20,"可执行",IF(O20&lt;=P20+0.4,"临界","需压词/跨镜")))))</x:f>
        <x:v>可执行</x:v>
      </x:c>
      <x:c r="R20" s="99" t="str">
        <x:v>硬连接、密封、压力检查以图标顺序呈现；对白只保留一次闭合确认。</x:v>
      </x:c>
      <x:c r="S20" s="99" t="str">
        <x:v>F11、F4、F5、F8</x:v>
      </x:c>
      <x:c r="T20" s="99" t="str">
        <x:v>对接成功后仍完成密封检查。</x:v>
      </x:c>
    </x:row>
    <x:row r="21" ht="21.600000381469727" hidden="0" customHeight="1">
      <x:c r="A21" s="96" t="n">
        <x:v>3</x:v>
      </x:c>
      <x:c r="B21" s="96" t="str">
        <x:v>016</x:v>
      </x:c>
      <x:c r="C21" s="96" t="str">
        <x:v>02:02–02:08</x:v>
      </x:c>
      <x:c r="D21" s="97" t="n">
        <x:v>6</x:v>
      </x:c>
      <x:c r="E21" s="97" t="str">
        <x:v>保留</x:v>
      </x:c>
      <x:c r="F21" s="97" t="n">
        <x:v>6</x:v>
      </x:c>
      <x:c r="G21" s="98" t="n">
        <x:f>H20</x:f>
        <x:v>0.001215277777777778</x:v>
      </x:c>
      <x:c r="H21" s="98" t="n">
        <x:f>G21+F21/86400</x:f>
        <x:v>0.0012847222222222225</x:v>
      </x:c>
      <x:c r="I21" s="99" t="str">
        <x:v>对接通道轴向固定</x:v>
      </x:c>
      <x:c r="J21" s="99" t="str">
        <x:v>压差归零后两侧舱门依次开启，任务数据盒、救生包和个人转移袋沿固定索先行通过。</x:v>
      </x:c>
      <x:c r="K21" s="99" t="str">
        <x:v>刘定槎：‘通道状态正常，开始任务物品转移。’</x:v>
      </x:c>
      <x:c r="L21" s="100" t="n">
        <x:v>14</x:v>
      </x:c>
      <x:c r="M21" s="100" t="n">
        <x:v>1</x:v>
      </x:c>
      <x:c r="N21" s="100" t="n">
        <x:f>MAX(0,F21-M21)</x:f>
        <x:v>5</x:v>
      </x:c>
      <x:c r="O21" s="100" t="n">
        <x:f>IF(L21=0,0,IF(N21=0,99,L21/N21))</x:f>
        <x:v>2.8</x:v>
      </x:c>
      <x:c r="P21" s="100" t="n">
        <x:v>3.8</x:v>
      </x:c>
      <x:c r="Q21" s="96" t="str">
        <x:f>IF(F21=0,"已删除",IF(L21=0,"无对白",IF(N21=0,"需跨镜",IF(O21&lt;=P21,"可执行",IF(O21&lt;=P21+0.4,"临界","需压词/跨镜")))))</x:f>
        <x:v>可执行</x:v>
      </x:c>
      <x:c r="R21" s="99" t="str">
        <x:v>保留该镜的任务证据或空间关系；对白与动作按既有专业边界执行。</x:v>
      </x:c>
      <x:c r="S21" s="99" t="str">
        <x:v>F11、F4、F5、F8</x:v>
      </x:c>
      <x:c r="T21" s="99" t="str">
        <x:v>先物品、后人员。</x:v>
      </x:c>
    </x:row>
    <x:row r="22" ht="21.600000381469727" hidden="0" customHeight="1">
      <x:c r="A22" s="96" t="n">
        <x:v>3</x:v>
      </x:c>
      <x:c r="B22" s="96" t="str">
        <x:v>017</x:v>
      </x:c>
      <x:c r="C22" s="96" t="str">
        <x:v>02:08–02:14</x:v>
      </x:c>
      <x:c r="D22" s="97" t="n">
        <x:v>6</x:v>
      </x:c>
      <x:c r="E22" s="97" t="str">
        <x:v>保留</x:v>
      </x:c>
      <x:c r="F22" s="97" t="n">
        <x:v>6</x:v>
      </x:c>
      <x:c r="G22" s="98" t="n">
        <x:f>H21</x:f>
        <x:v>0.0012847222222222225</x:v>
      </x:c>
      <x:c r="H22" s="98" t="n">
        <x:f>G22+F22/86400</x:f>
        <x:v>0.001354166666666667</x:v>
      </x:c>
      <x:c r="I22" s="99" t="str">
        <x:v>梦舟返回舱三人中景</x:v>
      </x:c>
      <x:c r="J22" s="99" t="str">
        <x:v>杨凛、陈砚解除座椅约束，刘定槎仍在工作位；三把座椅关系清楚。</x:v>
      </x:c>
      <x:c r="K22" s="99" t="str">
        <x:v>杨凛：‘梦舟交给你。’ 刘定槎：‘环月待机和再交会我负责。’</x:v>
      </x:c>
      <x:c r="L22" s="100" t="n">
        <x:v>16</x:v>
      </x:c>
      <x:c r="M22" s="100" t="n">
        <x:v>1</x:v>
      </x:c>
      <x:c r="N22" s="100" t="n">
        <x:f>MAX(0,F22-M22)</x:f>
        <x:v>5</x:v>
      </x:c>
      <x:c r="O22" s="100" t="n">
        <x:f>IF(L22=0,0,IF(N22=0,99,L22/N22))</x:f>
        <x:v>3.2</x:v>
      </x:c>
      <x:c r="P22" s="100" t="n">
        <x:v>3.8</x:v>
      </x:c>
      <x:c r="Q22" s="96" t="str">
        <x:f>IF(F22=0,"已删除",IF(L22=0,"无对白",IF(N22=0,"需跨镜",IF(O22&lt;=P22,"可执行",IF(O22&lt;=P22+0.4,"临界","需压词/跨镜")))))</x:f>
        <x:v>可执行</x:v>
      </x:c>
      <x:c r="R22" s="99" t="str">
        <x:v>保留‘梦舟交给你’，刘定槎回应改成任务承诺而非说明岗位。</x:v>
      </x:c>
      <x:c r="S22" s="99" t="str">
        <x:v>F11、F4、F5、F8</x:v>
      </x:c>
      <x:c r="T22" s="99" t="str">
        <x:v>对话克制，不使用煽情告别。</x:v>
      </x:c>
    </x:row>
    <x:row r="23" ht="15" hidden="0" customHeight="1">
      <x:c r="A23" s="96" t="n">
        <x:v>3</x:v>
      </x:c>
      <x:c r="B23" s="96" t="str">
        <x:v>018</x:v>
      </x:c>
      <x:c r="C23" s="96" t="str">
        <x:v>02:14–02:21</x:v>
      </x:c>
      <x:c r="D23" s="97" t="n">
        <x:v>7</x:v>
      </x:c>
      <x:c r="E23" s="97" t="str">
        <x:v>保留</x:v>
      </x:c>
      <x:c r="F23" s="97" t="n">
        <x:v>7</x:v>
      </x:c>
      <x:c r="G23" s="98" t="n">
        <x:f>H22</x:f>
        <x:v>0.001354166666666667</x:v>
      </x:c>
      <x:c r="H23" s="98" t="n">
        <x:f>G23+F23/86400</x:f>
        <x:v>0.0014351851851851854</x:v>
      </x:c>
      <x:c r="I23" s="99" t="str">
        <x:v>通道固定机位</x:v>
      </x:c>
      <x:c r="J23" s="99" t="str">
        <x:v>杨凛、陈砚依次进入揽月，刘定槎执行人数清点并关闭转移清单。</x:v>
      </x:c>
      <x:c r="K23" s="99" t="str">
        <x:v>刘定槎：‘揽月两人，梦舟一人，人数确认。’</x:v>
      </x:c>
      <x:c r="L23" s="100" t="n">
        <x:v>12</x:v>
      </x:c>
      <x:c r="M23" s="100" t="n">
        <x:v>1</x:v>
      </x:c>
      <x:c r="N23" s="100" t="n">
        <x:f>MAX(0,F23-M23)</x:f>
        <x:v>6</x:v>
      </x:c>
      <x:c r="O23" s="100" t="n">
        <x:f>IF(L23=0,0,IF(N23=0,99,L23/N23))</x:f>
        <x:v>2</x:v>
      </x:c>
      <x:c r="P23" s="100" t="n">
        <x:v>3.8</x:v>
      </x:c>
      <x:c r="Q23" s="96" t="str">
        <x:f>IF(F23=0,"已删除",IF(L23=0,"无对白",IF(N23=0,"需跨镜",IF(O23&lt;=P23,"可执行",IF(O23&lt;=P23+0.4,"临界","需压词/跨镜")))))</x:f>
        <x:v>可执行</x:v>
      </x:c>
      <x:c r="R23" s="99" t="str">
        <x:v>保留该镜的任务证据或空间关系；对白与动作按既有专业边界执行。</x:v>
      </x:c>
      <x:c r="S23" s="99" t="str">
        <x:v>F11、F4、F5、F8</x:v>
      </x:c>
      <x:c r="T23" s="99" t="str">
        <x:v>人员关系正式完成切换。</x:v>
      </x:c>
    </x:row>
    <x:row r="24" ht="21.600000381469727" hidden="0" customHeight="1">
      <x:c r="A24" s="96" t="n">
        <x:v>3</x:v>
      </x:c>
      <x:c r="B24" s="96" t="str">
        <x:v>019</x:v>
      </x:c>
      <x:c r="C24" s="96" t="str">
        <x:v>02:21–02:27</x:v>
      </x:c>
      <x:c r="D24" s="97" t="n">
        <x:v>6</x:v>
      </x:c>
      <x:c r="E24" s="97" t="str">
        <x:v>保留</x:v>
      </x:c>
      <x:c r="F24" s="97" t="n">
        <x:v>6</x:v>
      </x:c>
      <x:c r="G24" s="98" t="n">
        <x:f>H23</x:f>
        <x:v>0.0014351851851851854</x:v>
      </x:c>
      <x:c r="H24" s="98" t="n">
        <x:f>G24+F24/86400</x:f>
        <x:v>0.0015046296296296298</x:v>
      </x:c>
      <x:c r="I24" s="99" t="str">
        <x:v>梦舟返回舱后向广角</x:v>
      </x:c>
      <x:c r="J24" s="99" t="str">
        <x:v>刘定槎独自坐回工作位，左右两张座椅空置并锁定；他抬眼确认两器组合体状态。</x:v>
      </x:c>
      <x:c r="K24" s="99" t="str">
        <x:v>只有设备声和一次轻短呼吸。</x:v>
      </x:c>
      <x:c r="L24" s="100" t="n">
        <x:v>0</x:v>
      </x:c>
      <x:c r="M24" s="100" t="n">
        <x:v>2</x:v>
      </x:c>
      <x:c r="N24" s="100" t="n">
        <x:f>MAX(0,F24-M24)</x:f>
        <x:v>4</x:v>
      </x:c>
      <x:c r="O24" s="100" t="n">
        <x:f>IF(L24=0,0,IF(N24=0,99,L24/N24))</x:f>
        <x:v>0</x:v>
      </x:c>
      <x:c r="P24" s="100" t="n">
        <x:v>3.8</x:v>
      </x:c>
      <x:c r="Q24" s="96" t="str">
        <x:f>IF(F24=0,"已删除",IF(L24=0,"无对白",IF(N24=0,"需跨镜",IF(O24&lt;=P24,"可执行",IF(O24&lt;=P24+0.4,"临界","需压词/跨镜")))))</x:f>
        <x:v>无对白</x:v>
      </x:c>
      <x:c r="R24" s="99" t="str">
        <x:v>保留两张空座长镜，给刘定槎一次无对白确认动作。</x:v>
      </x:c>
      <x:c r="S24" s="99" t="str">
        <x:v>F11、F4、F5、F8</x:v>
      </x:c>
      <x:c r="T24" s="99" t="str">
        <x:v>第二次建立两张空座的视觉母题。</x:v>
      </x:c>
    </x:row>
    <x:row r="25" ht="32.400001525878906" hidden="0" customHeight="1">
      <x:c r="A25" s="96" t="n">
        <x:v>3</x:v>
      </x:c>
      <x:c r="B25" s="96" t="str">
        <x:v>020</x:v>
      </x:c>
      <x:c r="C25" s="96" t="str">
        <x:v>02:27–02:45</x:v>
      </x:c>
      <x:c r="D25" s="97" t="n">
        <x:v>18</x:v>
      </x:c>
      <x:c r="E25" s="97" t="str">
        <x:v>压缩</x:v>
      </x:c>
      <x:c r="F25" s="97" t="n">
        <x:v>12</x:v>
      </x:c>
      <x:c r="G25" s="98" t="n">
        <x:f>H24</x:f>
        <x:v>0.0015046296296296298</x:v>
      </x:c>
      <x:c r="H25" s="98" t="n">
        <x:f>G25+F25/86400</x:f>
        <x:v>0.0016435185185185188</x:v>
      </x:c>
      <x:c r="I25" s="99" t="str">
        <x:v>媒体区双人中景</x:v>
      </x:c>
      <x:c r="J25" s="99" t="str">
        <x:v>林知夏与何文澜站在任务大屏前，屏上标注：48小时准备期。</x:v>
      </x:c>
      <x:c r="K25" s="99" t="str">
        <x:v>林知夏：‘两名航天员接下来要休整两天吗？’ 何文澜：‘不只是休息。他们还要调整睡眠节律，检查登月服和生命保障系统，完成着陆演练，并复核工具和应急程序。’</x:v>
      </x:c>
      <x:c r="L25" s="100" t="n">
        <x:v>57</x:v>
      </x:c>
      <x:c r="M25" s="100" t="n">
        <x:v>2</x:v>
      </x:c>
      <x:c r="N25" s="100" t="n">
        <x:f>MAX(0,F25-M25)</x:f>
        <x:v>10</x:v>
      </x:c>
      <x:c r="O25" s="100" t="n">
        <x:f>IF(L25=0,0,IF(N25=0,99,L25/N25))</x:f>
        <x:v>5.7</x:v>
      </x:c>
      <x:c r="P25" s="100" t="n">
        <x:v>3.2</x:v>
      </x:c>
      <x:c r="Q25" s="96" t="str">
        <x:f>IF(F25=0,"已删除",IF(L25=0,"无对白",IF(N25=0,"需跨镜",IF(O25&lt;=P25,"可执行",IF(O25&lt;=P25+0.4,"临界","需压词/跨镜")))))</x:f>
        <x:v>需压词/跨镜</x:v>
      </x:c>
      <x:c r="R25" s="99" t="str">
        <x:v>问题压为‘两天都在休息吗？’；回答只留作息、登月服和应急复核三项，清单其余交给画面。</x:v>
      </x:c>
      <x:c r="S25" s="99" t="str">
        <x:v>F11、F4、F5、F8</x:v>
      </x:c>
      <x:c r="T25" s="99" t="str">
        <x:v>采访允许自然停顿和眼神反应；不覆盖任务关键动作。</x:v>
      </x:c>
    </x:row>
    <x:row r="26" ht="15" hidden="0" customHeight="1">
      <x:c r="A26" s="96" t="n">
        <x:v>3</x:v>
      </x:c>
      <x:c r="B26" s="96" t="str">
        <x:v>021</x:v>
      </x:c>
      <x:c r="C26" s="96" t="str">
        <x:v>02:45–02:53</x:v>
      </x:c>
      <x:c r="D26" s="97" t="n">
        <x:v>8</x:v>
      </x:c>
      <x:c r="E26" s="97" t="str">
        <x:v>压缩</x:v>
      </x:c>
      <x:c r="F26" s="97" t="n">
        <x:v>7</x:v>
      </x:c>
      <x:c r="G26" s="98" t="n">
        <x:f>H25</x:f>
        <x:v>0.0016435185185185188</x:v>
      </x:c>
      <x:c r="H26" s="98" t="n">
        <x:f>G26+F26/86400</x:f>
        <x:v>0.0017245370370370372</x:v>
      </x:c>
      <x:c r="I26" s="99" t="str">
        <x:v>揽月舱内准备蒙太奇</x:v>
      </x:c>
      <x:c r="J26" s="99" t="str">
        <x:v>两人固定物品、检查登月服接口、核对下降清单并轮换休息。</x:v>
      </x:c>
      <x:c r="K26" s="99" t="str">
        <x:v>何文澜画外：‘真正连续的睡眠窗口，只是这48小时中的一部分。’</x:v>
      </x:c>
      <x:c r="L26" s="100" t="n">
        <x:v>19</x:v>
      </x:c>
      <x:c r="M26" s="100" t="n">
        <x:v>1</x:v>
      </x:c>
      <x:c r="N26" s="100" t="n">
        <x:f>MAX(0,F26-M26)</x:f>
        <x:v>6</x:v>
      </x:c>
      <x:c r="O26" s="100" t="n">
        <x:f>IF(L26=0,0,IF(N26=0,99,L26/N26))</x:f>
        <x:v>3.1666666666666665</x:v>
      </x:c>
      <x:c r="P26" s="100" t="n">
        <x:v>3.2</x:v>
      </x:c>
      <x:c r="Q26" s="96" t="str">
        <x:f>IF(F26=0,"已删除",IF(L26=0,"无对白",IF(N26=0,"需跨镜",IF(O26&lt;=P26,"可执行",IF(O26&lt;=P26+0.4,"临界","需压词/跨镜")))))</x:f>
        <x:v>可执行</x:v>
      </x:c>
      <x:c r="R26" s="99" t="str">
        <x:v>画外只补一句‘连续睡眠只是其中一段’，与镜020合计实读。</x:v>
      </x:c>
      <x:c r="S26" s="99" t="str">
        <x:v>F11、F4、F5、F8</x:v>
      </x:c>
      <x:c r="T26" s="99" t="str">
        <x:v>不虚构未公开舱压和预呼吸参数。</x:v>
      </x:c>
    </x:row>
    <x:row r="27" ht="21.600000381469727" hidden="0" customHeight="1">
      <x:c r="A27" s="96" t="n">
        <x:v>3</x:v>
      </x:c>
      <x:c r="B27" s="96" t="str">
        <x:v>022</x:v>
      </x:c>
      <x:c r="C27" s="96" t="str">
        <x:v>02:53–03:00</x:v>
      </x:c>
      <x:c r="D27" s="97" t="n">
        <x:v>7</x:v>
      </x:c>
      <x:c r="E27" s="97" t="str">
        <x:v>删除</x:v>
      </x:c>
      <x:c r="F27" s="97" t="n">
        <x:v>0</x:v>
      </x:c>
      <x:c r="G27" s="98" t="n">
        <x:f>H26</x:f>
        <x:v>0.0017245370370370372</x:v>
      </x:c>
      <x:c r="H27" s="98" t="n">
        <x:f>G27+F27/86400</x:f>
        <x:v>0.0017245370370370372</x:v>
      </x:c>
      <x:c r="I27" s="99" t="str">
        <x:v>媒体区收束</x:v>
      </x:c>
      <x:c r="J27" s="99" t="str">
        <x:v>林知夏转向镜头，身后画面停在组合体环月飞行。</x:v>
      </x:c>
      <x:c r="K27" s="99" t="str">
        <x:v>林知夏：‘本段直播到这里。两天后，我们将见证揽月脱离梦舟并开始下降。’</x:v>
      </x:c>
      <x:c r="L27" s="100" t="n">
        <x:v>26</x:v>
      </x:c>
      <x:c r="M27" s="100" t="n">
        <x:v>0</x:v>
      </x:c>
      <x:c r="N27" s="100" t="n">
        <x:f>MAX(0,F27-M27)</x:f>
        <x:v>0</x:v>
      </x:c>
      <x:c r="O27" s="100" t="n">
        <x:f>IF(L27=0,0,IF(N27=0,99,L27/N27))</x:f>
        <x:v>99</x:v>
      </x:c>
      <x:c r="P27" s="100" t="n">
        <x:v>3.2</x:v>
      </x:c>
      <x:c r="Q27" s="96" t="str">
        <x:f>IF(F27=0,"已删除",IF(L27=0,"无对白",IF(N27=0,"需跨镜",IF(O27&lt;=P27,"可执行",IF(O27&lt;=P27+0.4,"临界","需压词/跨镜")))))</x:f>
        <x:v>已删除</x:v>
      </x:c>
      <x:c r="R27" s="99" t="str">
        <x:v>删除独立直播出口；‘两天后进入下降’并入镜023日期字幕，避免重复收束。</x:v>
      </x:c>
      <x:c r="S27" s="99" t="str">
        <x:v>F11、F4、F5、F8</x:v>
      </x:c>
      <x:c r="T27" s="99" t="str">
        <x:v>形成明确直播出口。</x:v>
      </x:c>
    </x:row>
    <x:row r="28" ht="21.600000381469727" hidden="0" customHeight="1">
      <x:c r="A28" s="96" t="n">
        <x:v>4</x:v>
      </x:c>
      <x:c r="B28" s="96" t="str">
        <x:v>023</x:v>
      </x:c>
      <x:c r="C28" s="96" t="str">
        <x:v>03:00–03:12</x:v>
      </x:c>
      <x:c r="D28" s="97" t="n">
        <x:v>12</x:v>
      </x:c>
      <x:c r="E28" s="97" t="str">
        <x:v>压缩</x:v>
      </x:c>
      <x:c r="F28" s="97" t="n">
        <x:v>10</x:v>
      </x:c>
      <x:c r="G28" s="98" t="n">
        <x:f>H27</x:f>
        <x:v>0.0017245370370370372</x:v>
      </x:c>
      <x:c r="H28" s="98" t="n">
        <x:f>G28+F28/86400</x:f>
        <x:v>0.001840277777777778</x:v>
      </x:c>
      <x:c r="I28" s="99" t="str">
        <x:v>月轨组合体远景／后期字幕</x:v>
      </x:c>
      <x:c r="J28" s="99" t="str">
        <x:v>梦舟—揽月组合体从月球明暗交界上方掠过。字幕：2029年4月8日；对接后48小时；揽月下降准备完成。</x:v>
      </x:c>
      <x:c r="K28" s="99" t="str">
        <x:v>仅任务设备底噪渐入；无配乐。</x:v>
      </x:c>
      <x:c r="L28" s="100" t="n">
        <x:v>0</x:v>
      </x:c>
      <x:c r="M28" s="100" t="n">
        <x:v>2</x:v>
      </x:c>
      <x:c r="N28" s="100" t="n">
        <x:f>MAX(0,F28-M28)</x:f>
        <x:v>8</x:v>
      </x:c>
      <x:c r="O28" s="100" t="n">
        <x:f>IF(L28=0,0,IF(N28=0,99,L28/N28))</x:f>
        <x:v>0</x:v>
      </x:c>
      <x:c r="P28" s="100" t="n">
        <x:v>3.8</x:v>
      </x:c>
      <x:c r="Q28" s="96" t="str">
        <x:f>IF(F28=0,"已删除",IF(L28=0,"无对白",IF(N28=0,"需跨镜",IF(O28&lt;=P28,"可执行",IF(O28&lt;=P28+0.4,"临界","需压词/跨镜")))))</x:f>
        <x:v>无对白</x:v>
      </x:c>
      <x:c r="R28" s="99" t="str">
        <x:v>日期改为2029-04-22；字幕同时承担48小时跳时和第二段直播进口。</x:v>
      </x:c>
      <x:c r="S28" s="99" t="str">
        <x:v>F11、F4、F5、F8</x:v>
      </x:c>
      <x:c r="T28" s="99" t="str">
        <x:v>明确时间跨越，不标注现场直播；外景属于视觉重建。</x:v>
      </x:c>
    </x:row>
    <x:row r="29" ht="21.600000381469727" hidden="0" customHeight="1">
      <x:c r="A29" s="96" t="n">
        <x:v>5</x:v>
      </x:c>
      <x:c r="B29" s="96" t="str">
        <x:v>024</x:v>
      </x:c>
      <x:c r="C29" s="96" t="str">
        <x:v>03:12–03:20</x:v>
      </x:c>
      <x:c r="D29" s="97" t="n">
        <x:v>8</x:v>
      </x:c>
      <x:c r="E29" s="97" t="str">
        <x:v>压缩</x:v>
      </x:c>
      <x:c r="F29" s="97" t="n">
        <x:v>7</x:v>
      </x:c>
      <x:c r="G29" s="98" t="n">
        <x:f>H28</x:f>
        <x:v>0.001840277777777778</x:v>
      </x:c>
      <x:c r="H29" s="98" t="n">
        <x:f>G29+F29/86400</x:f>
        <x:v>0.0019212962962962964</x:v>
      </x:c>
      <x:c r="I29" s="99" t="str">
        <x:v>揽月舱内双人中景</x:v>
      </x:c>
      <x:c r="J29" s="99" t="str">
        <x:v>杨凛和陈砚穿舱内压力服固定，关闭下降前最后几项清单。</x:v>
      </x:c>
      <x:c r="K29" s="99" t="str">
        <x:v>杨凛：‘揽月下降构型确认。’ 陈砚：‘人员、样品箱和舱内物品固定。’</x:v>
      </x:c>
      <x:c r="L29" s="100" t="n">
        <x:v>20</x:v>
      </x:c>
      <x:c r="M29" s="100" t="n">
        <x:v>1</x:v>
      </x:c>
      <x:c r="N29" s="100" t="n">
        <x:f>MAX(0,F29-M29)</x:f>
        <x:v>6</x:v>
      </x:c>
      <x:c r="O29" s="100" t="n">
        <x:f>IF(L29=0,0,IF(N29=0,99,L29/N29))</x:f>
        <x:v>3.3333333333333335</x:v>
      </x:c>
      <x:c r="P29" s="100" t="n">
        <x:v>3.8</x:v>
      </x:c>
      <x:c r="Q29" s="96" t="str">
        <x:f>IF(F29=0,"已删除",IF(L29=0,"无对白",IF(N29=0,"需跨镜",IF(O29&lt;=P29,"可执行",IF(O29&lt;=P29+0.4,"临界","需压词/跨镜")))))</x:f>
        <x:v>可执行</x:v>
      </x:c>
      <x:c r="R29" s="99" t="str">
        <x:v>‘样品箱’明确为空样品容器，避免下降前已存在月球样品的误读。</x:v>
      </x:c>
      <x:c r="S29" s="99" t="str">
        <x:v>F11、F4、F5、F8</x:v>
      </x:c>
      <x:c r="T29" s="99" t="str">
        <x:v>舱内不出现宽阔走动空间。</x:v>
      </x:c>
    </x:row>
    <x:row r="30" ht="21.600000381469727" hidden="0" customHeight="1">
      <x:c r="A30" s="96" t="n">
        <x:v>5</x:v>
      </x:c>
      <x:c r="B30" s="96" t="str">
        <x:v>025</x:v>
      </x:c>
      <x:c r="C30" s="96" t="str">
        <x:v>03:20–03:27</x:v>
      </x:c>
      <x:c r="D30" s="97" t="n">
        <x:v>7</x:v>
      </x:c>
      <x:c r="E30" s="97" t="str">
        <x:v>压缩</x:v>
      </x:c>
      <x:c r="F30" s="97" t="n">
        <x:v>6</x:v>
      </x:c>
      <x:c r="G30" s="98" t="n">
        <x:f>H29</x:f>
        <x:v>0.0019212962962962964</x:v>
      </x:c>
      <x:c r="H30" s="98" t="n">
        <x:f>G30+F30/86400</x:f>
        <x:v>0.001990740740740741</x:v>
      </x:c>
      <x:c r="I30" s="99" t="str">
        <x:v>梦舟工作位</x:v>
      </x:c>
      <x:c r="J30" s="99" t="str">
        <x:v>刘定槎独自在中央工作位，左右两张空座椅保持锁定；他交叉核对揽月遥测和梦舟待机轨道。</x:v>
      </x:c>
      <x:c r="K30" s="99" t="str">
        <x:v>刘定槎：‘梦舟待机轨道有效，再交会窗口保留。’</x:v>
      </x:c>
      <x:c r="L30" s="100" t="n">
        <x:v>15</x:v>
      </x:c>
      <x:c r="M30" s="100" t="n">
        <x:v>1</x:v>
      </x:c>
      <x:c r="N30" s="100" t="n">
        <x:f>MAX(0,F30-M30)</x:f>
        <x:v>5</x:v>
      </x:c>
      <x:c r="O30" s="100" t="n">
        <x:f>IF(L30=0,0,IF(N30=0,99,L30/N30))</x:f>
        <x:v>3</x:v>
      </x:c>
      <x:c r="P30" s="100" t="n">
        <x:v>3.8</x:v>
      </x:c>
      <x:c r="Q30" s="96" t="str">
        <x:f>IF(F30=0,"已删除",IF(L30=0,"无对白",IF(N30=0,"需跨镜",IF(O30&lt;=P30,"可执行",IF(O30&lt;=P30+0.4,"临界","需压词/跨镜")))))</x:f>
        <x:v>可执行</x:v>
      </x:c>
      <x:c r="R30" s="99" t="str">
        <x:v>压缩头尾和重复确认；保留“刘定槎独自在中央工作位，左右两张空座椅保持锁定；他交”这一任务功能。</x:v>
      </x:c>
      <x:c r="S30" s="99" t="str">
        <x:v>F11、F4、F5、F8</x:v>
      </x:c>
      <x:c r="T30" s="99" t="str">
        <x:v>延续两张空座母题。</x:v>
      </x:c>
    </x:row>
    <x:row r="31" ht="21.600000381469727" hidden="0" customHeight="1">
      <x:c r="A31" s="96" t="n">
        <x:v>5</x:v>
      </x:c>
      <x:c r="B31" s="96" t="str">
        <x:v>026</x:v>
      </x:c>
      <x:c r="C31" s="96" t="str">
        <x:v>03:27–03:35</x:v>
      </x:c>
      <x:c r="D31" s="97" t="n">
        <x:v>8</x:v>
      </x:c>
      <x:c r="E31" s="97" t="str">
        <x:v>压缩</x:v>
      </x:c>
      <x:c r="F31" s="97" t="n">
        <x:v>7</x:v>
      </x:c>
      <x:c r="G31" s="98" t="n">
        <x:f>H30</x:f>
        <x:v>0.001990740740740741</x:v>
      </x:c>
      <x:c r="H31" s="98" t="n">
        <x:f>G31+F31/86400</x:f>
        <x:v>0.0020717592592592593</x:v>
      </x:c>
      <x:c r="I31" s="99" t="str">
        <x:v>飞控大厅多席位</x:v>
      </x:c>
      <x:c r="J31" s="99" t="str">
        <x:v>飞行主任依次接收轨道、揽月系统、通信、航天员系统和应急返回状态。</x:v>
      </x:c>
      <x:c r="K31" s="99" t="str">
        <x:v>北京：‘各系统状态闭合，授权揽月分离。’</x:v>
      </x:c>
      <x:c r="L31" s="100" t="n">
        <x:v>13</x:v>
      </x:c>
      <x:c r="M31" s="100" t="n">
        <x:v>2.6</x:v>
      </x:c>
      <x:c r="N31" s="100" t="n">
        <x:f>MAX(0,F31-M31)</x:f>
        <x:v>4.4</x:v>
      </x:c>
      <x:c r="O31" s="100" t="n">
        <x:f>IF(L31=0,0,IF(N31=0,99,L31/N31))</x:f>
        <x:v>2.954545454545454</x:v>
      </x:c>
      <x:c r="P31" s="100" t="n">
        <x:v>3.8</x:v>
      </x:c>
      <x:c r="Q31" s="96" t="str">
        <x:f>IF(F31=0,"已删除",IF(L31=0,"无对白",IF(N31=0,"需跨镜",IF(O31&lt;=P31,"可执行",IF(O31&lt;=P31+0.4,"临界","需压词/跨镜")))))</x:f>
        <x:v>可执行</x:v>
      </x:c>
      <x:c r="R31" s="99" t="str">
        <x:v>压缩头尾和重复确认；保留“飞行主任依次接收轨道、揽月系统、通信、航天员系统和应”这一任务功能。</x:v>
      </x:c>
      <x:c r="S31" s="99" t="str">
        <x:v>F11、F4、F5、F8</x:v>
      </x:c>
      <x:c r="T31" s="99" t="str">
        <x:v>重复确认压缩为一次关键闭合。</x:v>
      </x:c>
    </x:row>
    <x:row r="32" ht="21.600000381469727" hidden="0" customHeight="1">
      <x:c r="A32" s="96" t="n">
        <x:v>5</x:v>
      </x:c>
      <x:c r="B32" s="96" t="str">
        <x:v>027</x:v>
      </x:c>
      <x:c r="C32" s="96" t="str">
        <x:v>03:35–03:47</x:v>
      </x:c>
      <x:c r="D32" s="97" t="n">
        <x:v>12</x:v>
      </x:c>
      <x:c r="E32" s="97" t="str">
        <x:v>压缩</x:v>
      </x:c>
      <x:c r="F32" s="97" t="n">
        <x:v>9</x:v>
      </x:c>
      <x:c r="G32" s="98" t="n">
        <x:f>H31</x:f>
        <x:v>0.0020717592592592593</x:v>
      </x:c>
      <x:c r="H32" s="98" t="n">
        <x:f>G32+F32/86400</x:f>
        <x:v>0.0021759259259259258</x:v>
      </x:c>
      <x:c r="I32" s="99" t="str">
        <x:v>媒体区直播中景</x:v>
      </x:c>
      <x:c r="J32" s="99" t="str">
        <x:v>林知夏面向镜头，身后大屏显示双器组合体与下降轨迹。</x:v>
      </x:c>
      <x:c r="K32" s="99" t="str">
        <x:v>林知夏：‘揽月已经完成两天准备。两名航天员将下降月面，刘定槎继续留守梦舟。接下来，要把一条高速环月轨道逐步收敛成安全接地点。’</x:v>
      </x:c>
      <x:c r="L32" s="100" t="n">
        <x:v>52</x:v>
      </x:c>
      <x:c r="M32" s="100" t="n">
        <x:v>2</x:v>
      </x:c>
      <x:c r="N32" s="100" t="n">
        <x:f>MAX(0,F32-M32)</x:f>
        <x:v>7</x:v>
      </x:c>
      <x:c r="O32" s="100" t="n">
        <x:f>IF(L32=0,0,IF(N32=0,99,L32/N32))</x:f>
        <x:v>7.428571428571429</x:v>
      </x:c>
      <x:c r="P32" s="100" t="n">
        <x:v>3.2</x:v>
      </x:c>
      <x:c r="Q32" s="96" t="str">
        <x:f>IF(F32=0,"已删除",IF(L32=0,"无对白",IF(N32=0,"需跨镜",IF(O32&lt;=P32,"可执行",IF(O32&lt;=P32+0.4,"临界","需压词/跨镜")))))</x:f>
        <x:v>需压词/跨镜</x:v>
      </x:c>
      <x:c r="R32" s="99" t="str">
        <x:v>旁白压为三人分工和下降目标；跨镜026-029，不要求9秒内读完全部原句。</x:v>
      </x:c>
      <x:c r="S32" s="99" t="str">
        <x:v>F11、F4、F5、F8</x:v>
      </x:c>
      <x:c r="T32" s="99" t="str">
        <x:v>台词以自然播报速度完成；记者只做事件前解释。</x:v>
      </x:c>
    </x:row>
    <x:row r="33" ht="15" hidden="0" customHeight="1">
      <x:c r="A33" s="96" t="n">
        <x:v>5</x:v>
      </x:c>
      <x:c r="B33" s="96" t="str">
        <x:v>028</x:v>
      </x:c>
      <x:c r="C33" s="96" t="str">
        <x:v>03:47–03:54</x:v>
      </x:c>
      <x:c r="D33" s="97" t="n">
        <x:v>7</x:v>
      </x:c>
      <x:c r="E33" s="97" t="str">
        <x:v>保留</x:v>
      </x:c>
      <x:c r="F33" s="97" t="n">
        <x:v>7</x:v>
      </x:c>
      <x:c r="G33" s="98" t="n">
        <x:f>H32</x:f>
        <x:v>0.0021759259259259258</x:v>
      </x:c>
      <x:c r="H33" s="98" t="n">
        <x:f>G33+F33/86400</x:f>
        <x:v>0.0022569444444444442</x:v>
      </x:c>
      <x:c r="I33" s="99" t="str">
        <x:v>对接口监视相机</x:v>
      </x:c>
      <x:c r="J33" s="99" t="str">
        <x:v>锁紧解除，视场中的对接目标沿安全轴线缓慢退出。</x:v>
      </x:c>
      <x:c r="K33" s="99" t="str">
        <x:v>杨凛：‘执行分离。’ 刘定槎：‘分离确认。’</x:v>
      </x:c>
      <x:c r="L33" s="100" t="n">
        <x:v>8</x:v>
      </x:c>
      <x:c r="M33" s="100" t="n">
        <x:v>1</x:v>
      </x:c>
      <x:c r="N33" s="100" t="n">
        <x:f>MAX(0,F33-M33)</x:f>
        <x:v>6</x:v>
      </x:c>
      <x:c r="O33" s="100" t="n">
        <x:f>IF(L33=0,0,IF(N33=0,99,L33/N33))</x:f>
        <x:v>1.3333333333333333</x:v>
      </x:c>
      <x:c r="P33" s="100" t="n">
        <x:v>3.8</x:v>
      </x:c>
      <x:c r="Q33" s="96" t="str">
        <x:f>IF(F33=0,"已删除",IF(L33=0,"无对白",IF(N33=0,"需跨镜",IF(O33&lt;=P33,"可执行",IF(O33&lt;=P33+0.4,"临界","需压词/跨镜")))))</x:f>
        <x:v>可执行</x:v>
      </x:c>
      <x:c r="R33" s="99" t="str">
        <x:v>保留该镜的任务证据或空间关系；对白与动作按既有专业边界执行。</x:v>
      </x:c>
      <x:c r="S33" s="99" t="str">
        <x:v>F11、F4、F5、F8</x:v>
      </x:c>
      <x:c r="T33" s="99" t="str">
        <x:v>任务证据视角。</x:v>
      </x:c>
    </x:row>
    <x:row r="34" ht="21.600000381469727" hidden="0" customHeight="1">
      <x:c r="A34" s="96" t="n">
        <x:v>5</x:v>
      </x:c>
      <x:c r="B34" s="96" t="str">
        <x:v>029</x:v>
      </x:c>
      <x:c r="C34" s="96" t="str">
        <x:v>03:54–04:04</x:v>
      </x:c>
      <x:c r="D34" s="97" t="n">
        <x:v>10</x:v>
      </x:c>
      <x:c r="E34" s="97" t="str">
        <x:v>压缩</x:v>
      </x:c>
      <x:c r="F34" s="97" t="n">
        <x:v>7</x:v>
      </x:c>
      <x:c r="G34" s="98" t="n">
        <x:f>H33</x:f>
        <x:v>0.0022569444444444442</x:v>
      </x:c>
      <x:c r="H34" s="98" t="n">
        <x:f>G34+F34/86400</x:f>
        <x:v>0.0023379629629629627</x:v>
      </x:c>
      <x:c r="I34" s="99" t="str">
        <x:v>月轨双器全景／视觉重建</x:v>
      </x:c>
      <x:c r="J34" s="99" t="str">
        <x:v>揽月与梦舟拉开距离，画面角落标注：基于实时遥测的视觉重建。</x:v>
      </x:c>
      <x:c r="K34" s="99" t="str">
        <x:v>外景静音；只保留双方无线电。</x:v>
      </x:c>
      <x:c r="L34" s="100" t="n">
        <x:v>0</x:v>
      </x:c>
      <x:c r="M34" s="100" t="n">
        <x:v>2</x:v>
      </x:c>
      <x:c r="N34" s="100" t="n">
        <x:f>MAX(0,F34-M34)</x:f>
        <x:v>5</x:v>
      </x:c>
      <x:c r="O34" s="100" t="n">
        <x:f>IF(L34=0,0,IF(N34=0,99,L34/N34))</x:f>
        <x:v>0</x:v>
      </x:c>
      <x:c r="P34" s="100" t="n">
        <x:v>3.8</x:v>
      </x:c>
      <x:c r="Q34" s="96" t="str">
        <x:f>IF(F34=0,"已删除",IF(L34=0,"无对白",IF(N34=0,"需跨镜",IF(O34&lt;=P34,"可执行",IF(O34&lt;=P34+0.4,"临界","需压词/跨镜")))))</x:f>
        <x:v>无对白</x:v>
      </x:c>
      <x:c r="R34" s="99" t="str">
        <x:v>压缩头尾和重复确认；保留“揽月与梦舟拉开距离，画面角落标注：基于实时遥测的视觉”这一任务功能。</x:v>
      </x:c>
      <x:c r="S34" s="99" t="str">
        <x:v>F11、F4、F5、F8</x:v>
      </x:c>
      <x:c r="T34" s="99" t="str">
        <x:v>本片第一次以第三视角明确展示两器分离的空间尺度。</x:v>
      </x:c>
    </x:row>
    <x:row r="35" ht="15" hidden="0" customHeight="1">
      <x:c r="A35" s="96" t="n">
        <x:v>5</x:v>
      </x:c>
      <x:c r="B35" s="96" t="str">
        <x:v>030</x:v>
      </x:c>
      <x:c r="C35" s="96" t="str">
        <x:v>04:04–04:09</x:v>
      </x:c>
      <x:c r="D35" s="97" t="n">
        <x:v>5</x:v>
      </x:c>
      <x:c r="E35" s="97" t="str">
        <x:v>保留</x:v>
      </x:c>
      <x:c r="F35" s="97" t="n">
        <x:v>5</x:v>
      </x:c>
      <x:c r="G35" s="98" t="n">
        <x:f>H34</x:f>
        <x:v>0.0023379629629629627</x:v>
      </x:c>
      <x:c r="H35" s="98" t="n">
        <x:f>G35+F35/86400</x:f>
        <x:v>0.002395833333333333</x:v>
      </x:c>
      <x:c r="I35" s="99" t="str">
        <x:v>梦舟与揽月舱内交叉</x:v>
      </x:c>
      <x:c r="J35" s="99" t="str">
        <x:v>刘定槎确认安全距离；杨凛和陈砚确认下降序列已接通。</x:v>
      </x:c>
      <x:c r="K35" s="99" t="str">
        <x:v>北京：‘相对距离安全。’ 杨凛：‘揽月进入下降准备。’</x:v>
      </x:c>
      <x:c r="L35" s="100" t="n">
        <x:v>14</x:v>
      </x:c>
      <x:c r="M35" s="100" t="n">
        <x:v>2.6</x:v>
      </x:c>
      <x:c r="N35" s="100" t="n">
        <x:f>MAX(0,F35-M35)</x:f>
        <x:v>2.4</x:v>
      </x:c>
      <x:c r="O35" s="100" t="n">
        <x:f>IF(L35=0,0,IF(N35=0,99,L35/N35))</x:f>
        <x:v>5.833333333333334</x:v>
      </x:c>
      <x:c r="P35" s="100" t="n">
        <x:v>3.8</x:v>
      </x:c>
      <x:c r="Q35" s="96" t="str">
        <x:f>IF(F35=0,"已删除",IF(L35=0,"无对白",IF(N35=0,"需跨镜",IF(O35&lt;=P35,"可执行",IF(O35&lt;=P35+0.4,"临界","需压词/跨镜")))))</x:f>
        <x:v>需压词/跨镜</x:v>
      </x:c>
      <x:c r="R35" s="99" t="str">
        <x:v>保留该镜的任务证据或空间关系；对白与动作按既有专业边界执行。</x:v>
      </x:c>
      <x:c r="S35" s="99" t="str">
        <x:v>F11、F4、F5、F8</x:v>
      </x:c>
      <x:c r="T35" s="99" t="str">
        <x:v>保留双器状态闭合。</x:v>
      </x:c>
    </x:row>
    <x:row r="36" ht="21.600000381469727" hidden="0" customHeight="1">
      <x:c r="A36" s="96" t="n">
        <x:v>5</x:v>
      </x:c>
      <x:c r="B36" s="96" t="str">
        <x:v>031</x:v>
      </x:c>
      <x:c r="C36" s="96" t="str">
        <x:v>04:09–04:14</x:v>
      </x:c>
      <x:c r="D36" s="97" t="n">
        <x:v>5</x:v>
      </x:c>
      <x:c r="E36" s="97" t="str">
        <x:v>压缩</x:v>
      </x:c>
      <x:c r="F36" s="97" t="n">
        <x:v>4</x:v>
      </x:c>
      <x:c r="G36" s="98" t="n">
        <x:f>H35</x:f>
        <x:v>0.002395833333333333</x:v>
      </x:c>
      <x:c r="H36" s="98" t="n">
        <x:f>G36+F36/86400</x:f>
        <x:v>0.0024421296296296296</x:v>
      </x:c>
      <x:c r="I36" s="99" t="str">
        <x:v>月轨远景／视觉重建</x:v>
      </x:c>
      <x:c r="J36" s="99" t="str">
        <x:v>揽月进入下降轨道，梦舟转入环月待机；地球仍是可分辨的蓝白色圆盘。</x:v>
      </x:c>
      <x:c r="K36" s="99" t="str">
        <x:v>设备底噪和无线电自然衔接。</x:v>
      </x:c>
      <x:c r="L36" s="100" t="n">
        <x:v>0</x:v>
      </x:c>
      <x:c r="M36" s="100" t="n">
        <x:v>2</x:v>
      </x:c>
      <x:c r="N36" s="100" t="n">
        <x:f>MAX(0,F36-M36)</x:f>
        <x:v>2</x:v>
      </x:c>
      <x:c r="O36" s="100" t="n">
        <x:f>IF(L36=0,0,IF(N36=0,99,L36/N36))</x:f>
        <x:v>0</x:v>
      </x:c>
      <x:c r="P36" s="100" t="n">
        <x:v>3.8</x:v>
      </x:c>
      <x:c r="Q36" s="96" t="str">
        <x:f>IF(F36=0,"已删除",IF(L36=0,"无对白",IF(N36=0,"需跨镜",IF(O36&lt;=P36,"可执行",IF(O36&lt;=P36+0.4,"临界","需压词/跨镜")))))</x:f>
        <x:v>无对白</x:v>
      </x:c>
      <x:c r="R36" s="99" t="str">
        <x:v>视觉重建外景静音；底噪标注为揽月舱内声桥。</x:v>
      </x:c>
      <x:c r="S36" s="99" t="str">
        <x:v>F11、F4、F5、F8</x:v>
      </x:c>
      <x:c r="T36" s="99" t="str">
        <x:v>不出现鹊桥或天链作为主链路。</x:v>
      </x:c>
    </x:row>
    <x:row r="37" ht="21.600000381469727" hidden="0" customHeight="1">
      <x:c r="A37" s="96" t="n">
        <x:v>6</x:v>
      </x:c>
      <x:c r="B37" s="96" t="str">
        <x:v>032</x:v>
      </x:c>
      <x:c r="C37" s="96" t="str">
        <x:v>04:14–04:22</x:v>
      </x:c>
      <x:c r="D37" s="97" t="n">
        <x:v>8</x:v>
      </x:c>
      <x:c r="E37" s="97" t="str">
        <x:v>压缩</x:v>
      </x:c>
      <x:c r="F37" s="97" t="n">
        <x:v>7</x:v>
      </x:c>
      <x:c r="G37" s="98" t="n">
        <x:f>H36</x:f>
        <x:v>0.0024421296296296296</x:v>
      </x:c>
      <x:c r="H37" s="98" t="n">
        <x:f>G37+F37/86400</x:f>
        <x:v>0.002523148148148148</x:v>
      </x:c>
      <x:c r="I37" s="99" t="str">
        <x:v>揽月外部固定机位</x:v>
      </x:c>
      <x:c r="J37" s="99" t="str">
        <x:v>月面地形在画面下方缓慢移动，推进舱完成主要制动并按推演方案分离，揽月调整为动力下降姿态。</x:v>
      </x:c>
      <x:c r="K37" s="99" t="str">
        <x:v>杨凛：‘推进舱任务完成，分离确认。’</x:v>
      </x:c>
      <x:c r="L37" s="100" t="n">
        <x:v>11</x:v>
      </x:c>
      <x:c r="M37" s="100" t="n">
        <x:v>1</x:v>
      </x:c>
      <x:c r="N37" s="100" t="n">
        <x:f>MAX(0,F37-M37)</x:f>
        <x:v>6</x:v>
      </x:c>
      <x:c r="O37" s="100" t="n">
        <x:f>IF(L37=0,0,IF(N37=0,99,L37/N37))</x:f>
        <x:v>1.8333333333333333</x:v>
      </x:c>
      <x:c r="P37" s="100" t="n">
        <x:v>3.8</x:v>
      </x:c>
      <x:c r="Q37" s="96" t="str">
        <x:f>IF(F37=0,"已删除",IF(L37=0,"无对白",IF(N37=0,"需跨镜",IF(O37&lt;=P37,"可执行",IF(O37&lt;=P37+0.4,"临界","需压词/跨镜")))))</x:f>
        <x:v>可执行</x:v>
      </x:c>
      <x:c r="R37" s="99" t="str">
        <x:v>压缩头尾和重复确认；保留“月面地形在画面下方缓慢移动，推进舱完成主要制动并按推”这一任务功能。</x:v>
      </x:c>
      <x:c r="S37" s="99" t="str">
        <x:v>F11、F1、F5、F6、F2、F3、F8</x:v>
      </x:c>
      <x:c r="T37" s="99" t="str">
        <x:v>任务证据视角；具体分离时机属于艺术推演。</x:v>
      </x:c>
    </x:row>
    <x:row r="38" ht="21.600000381469727" hidden="0" customHeight="1">
      <x:c r="A38" s="96" t="n">
        <x:v>6</x:v>
      </x:c>
      <x:c r="B38" s="96" t="str">
        <x:v>033</x:v>
      </x:c>
      <x:c r="C38" s="96" t="str">
        <x:v>04:22–04:31</x:v>
      </x:c>
      <x:c r="D38" s="97" t="n">
        <x:v>9</x:v>
      </x:c>
      <x:c r="E38" s="97" t="str">
        <x:v>压缩</x:v>
      </x:c>
      <x:c r="F38" s="97" t="n">
        <x:v>7</x:v>
      </x:c>
      <x:c r="G38" s="98" t="n">
        <x:f>H37</x:f>
        <x:v>0.002523148148148148</x:v>
      </x:c>
      <x:c r="H38" s="98" t="n">
        <x:f>G38+F38/86400</x:f>
        <x:v>0.0026041666666666665</x:v>
      </x:c>
      <x:c r="I38" s="99" t="str">
        <x:v>高空侧后全景／视觉重建</x:v>
      </x:c>
      <x:c r="J38" s="99" t="str">
        <x:v>揽月以发动机轴线指向月面的姿态下降，月面曲率与长阴影建立高度；标注：基于实时遥测的视觉重建。</x:v>
      </x:c>
      <x:c r="K38" s="99" t="str">
        <x:v>外景静音；无线电保持低声连续。</x:v>
      </x:c>
      <x:c r="L38" s="100" t="n">
        <x:v>0</x:v>
      </x:c>
      <x:c r="M38" s="100" t="n">
        <x:v>2</x:v>
      </x:c>
      <x:c r="N38" s="100" t="n">
        <x:f>MAX(0,F38-M38)</x:f>
        <x:v>5</x:v>
      </x:c>
      <x:c r="O38" s="100" t="n">
        <x:f>IF(L38=0,0,IF(N38=0,99,L38/N38))</x:f>
        <x:v>0</x:v>
      </x:c>
      <x:c r="P38" s="100" t="n">
        <x:v>3.8</x:v>
      </x:c>
      <x:c r="Q38" s="96" t="str">
        <x:f>IF(F38=0,"已删除",IF(L38=0,"无对白",IF(N38=0,"需跨镜",IF(O38&lt;=P38,"可执行",IF(O38&lt;=P38+0.4,"临界","需压词/跨镜")))))</x:f>
        <x:v>无对白</x:v>
      </x:c>
      <x:c r="R38" s="99" t="str">
        <x:v>压缩头尾和重复确认；保留“揽月以发动机轴线指向月面的姿态下降，月面曲率与长阴影”这一任务功能。</x:v>
      </x:c>
      <x:c r="S38" s="99" t="str">
        <x:v>F11、F1、F5、F6、F2、F3、F8</x:v>
      </x:c>
      <x:c r="T38" s="99" t="str">
        <x:v>不使用追逐飞船的虚构摄影机运动。</x:v>
      </x:c>
    </x:row>
    <x:row r="39" ht="21.600000381469727" hidden="0" customHeight="1">
      <x:c r="A39" s="96" t="n">
        <x:v>6</x:v>
      </x:c>
      <x:c r="B39" s="96" t="str">
        <x:v>034</x:v>
      </x:c>
      <x:c r="C39" s="96" t="str">
        <x:v>04:31–04:39</x:v>
      </x:c>
      <x:c r="D39" s="97" t="n">
        <x:v>8</x:v>
      </x:c>
      <x:c r="E39" s="97" t="str">
        <x:v>压缩</x:v>
      </x:c>
      <x:c r="F39" s="97" t="n">
        <x:v>7</x:v>
      </x:c>
      <x:c r="G39" s="98" t="n">
        <x:f>H38</x:f>
        <x:v>0.0026041666666666665</x:v>
      </x:c>
      <x:c r="H39" s="98" t="n">
        <x:f>G39+F39/86400</x:f>
        <x:v>0.002685185185185185</x:v>
      </x:c>
      <x:c r="I39" s="99" t="str">
        <x:v>飞控轨迹屏</x:v>
      </x:c>
      <x:c r="J39" s="99" t="str">
        <x:v>高度、速度、剩余推进剂、落区边界和通信窗口同步变化。</x:v>
      </x:c>
      <x:c r="K39" s="99" t="str">
        <x:v>北京：‘主减速正常，进入粗避障准备。’ 林海：‘遥测连续。’</x:v>
      </x:c>
      <x:c r="L39" s="100" t="n">
        <x:v>16</x:v>
      </x:c>
      <x:c r="M39" s="100" t="n">
        <x:v>1</x:v>
      </x:c>
      <x:c r="N39" s="100" t="n">
        <x:f>MAX(0,F39-M39)</x:f>
        <x:v>6</x:v>
      </x:c>
      <x:c r="O39" s="100" t="n">
        <x:f>IF(L39=0,0,IF(N39=0,99,L39/N39))</x:f>
        <x:v>2.6666666666666665</x:v>
      </x:c>
      <x:c r="P39" s="100" t="n">
        <x:v>3.8</x:v>
      </x:c>
      <x:c r="Q39" s="96" t="str">
        <x:f>IF(F39=0,"已删除",IF(L39=0,"无对白",IF(N39=0,"需跨镜",IF(O39&lt;=P39,"可执行",IF(O39&lt;=P39+0.4,"临界","需压词/跨镜")))))</x:f>
        <x:v>可执行</x:v>
      </x:c>
      <x:c r="R39" s="99" t="str">
        <x:v>压缩头尾和重复确认；保留“高度、速度、剩余推进剂、落区边界和通信窗口同步变化。”这一任务功能。</x:v>
      </x:c>
      <x:c r="S39" s="99" t="str">
        <x:v>F11、F1、F5、F6、F2、F3、F8</x:v>
      </x:c>
      <x:c r="T39" s="99" t="str">
        <x:v>近月链路以深空地面站接力直达为主。</x:v>
      </x:c>
    </x:row>
    <x:row r="40" ht="32.400001525878906" hidden="0" customHeight="1">
      <x:c r="A40" s="96" t="n">
        <x:v>6</x:v>
      </x:c>
      <x:c r="B40" s="96" t="str">
        <x:v>035</x:v>
      </x:c>
      <x:c r="C40" s="96" t="str">
        <x:v>04:39–04:54</x:v>
      </x:c>
      <x:c r="D40" s="97" t="n">
        <x:v>15</x:v>
      </x:c>
      <x:c r="E40" s="97" t="str">
        <x:v>压缩</x:v>
      </x:c>
      <x:c r="F40" s="97" t="n">
        <x:v>10</x:v>
      </x:c>
      <x:c r="G40" s="98" t="n">
        <x:f>H39</x:f>
        <x:v>0.002685185185185185</x:v>
      </x:c>
      <x:c r="H40" s="98" t="n">
        <x:f>G40+F40/86400</x:f>
        <x:v>0.002800925925925926</x:v>
      </x:c>
      <x:c r="I40" s="99" t="str">
        <x:v>媒体区专家双人／轨迹示意</x:v>
      </x:c>
      <x:c r="J40" s="99" t="str">
        <x:v>林知夏与孙亦川站在实时轨迹示意屏前；孙亦川先面向记者，再转向轨迹图。</x:v>
      </x:c>
      <x:c r="K40" s="99" t="str">
        <x:v>孙亦川：‘这一阶段不只是减速，还要在推进剂、地形和时间窗口之间不断收窄选择。地月通信存在延迟，最后几秒的快速避障必须由器上系统和乘组完成。’</x:v>
      </x:c>
      <x:c r="L40" s="100" t="n">
        <x:v>59</x:v>
      </x:c>
      <x:c r="M40" s="100" t="n">
        <x:v>2</x:v>
      </x:c>
      <x:c r="N40" s="100" t="n">
        <x:f>MAX(0,F40-M40)</x:f>
        <x:v>8</x:v>
      </x:c>
      <x:c r="O40" s="100" t="n">
        <x:f>IF(L40=0,0,IF(N40=0,99,L40/N40))</x:f>
        <x:v>7.375</x:v>
      </x:c>
      <x:c r="P40" s="100" t="n">
        <x:v>3.2</x:v>
      </x:c>
      <x:c r="Q40" s="96" t="str">
        <x:f>IF(F40=0,"已删除",IF(L40=0,"无对白",IF(N40=0,"需跨镜",IF(O40&lt;=P40,"可执行",IF(O40&lt;=P40+0.4,"临界","需压词/跨镜")))))</x:f>
        <x:v>需压词/跨镜</x:v>
      </x:c>
      <x:c r="R40" s="99" t="str">
        <x:v>专家只讲推进剂、地形、时间窗口三者取舍；后半句跨到036A，避免10秒抢读。</x:v>
      </x:c>
      <x:c r="S40" s="99" t="str">
        <x:v>F11、F1、F5、F6、F2、F3、F8</x:v>
      </x:c>
      <x:c r="T40" s="99" t="str">
        <x:v>专家解释只位于下降早段；允许停顿并把后半句跨接到轨迹图。</x:v>
      </x:c>
    </x:row>
    <x:row r="41" ht="21.600000381469727" hidden="0" customHeight="1">
      <x:c r="A41" s="96" t="n">
        <x:v>6</x:v>
      </x:c>
      <x:c r="B41" s="96" t="str">
        <x:v>036</x:v>
      </x:c>
      <x:c r="C41" s="96" t="str">
        <x:v>04:54–05:02</x:v>
      </x:c>
      <x:c r="D41" s="97" t="n">
        <x:v>8</x:v>
      </x:c>
      <x:c r="E41" s="97" t="str">
        <x:v>压缩</x:v>
      </x:c>
      <x:c r="F41" s="97" t="n">
        <x:v>7</x:v>
      </x:c>
      <x:c r="G41" s="98" t="n">
        <x:f>H40</x:f>
        <x:v>0.002800925925925926</x:v>
      </x:c>
      <x:c r="H41" s="98" t="n">
        <x:f>G41+F41/86400</x:f>
        <x:v>0.0028819444444444444</x:v>
      </x:c>
      <x:c r="I41" s="99" t="str">
        <x:v>着陆器下视相机</x:v>
      </x:c>
      <x:c r="J41" s="99" t="str">
        <x:v>视场由斜向地形转为近垂直，撞击坑、坡地和岩块区被分区标记。</x:v>
      </x:c>
      <x:c r="K41" s="99" t="str">
        <x:v>小天：‘粗避障图建立，B区综合风险最低。’</x:v>
      </x:c>
      <x:c r="L41" s="100" t="n">
        <x:v>13</x:v>
      </x:c>
      <x:c r="M41" s="100" t="n">
        <x:v>1</x:v>
      </x:c>
      <x:c r="N41" s="100" t="n">
        <x:f>MAX(0,F41-M41)</x:f>
        <x:v>6</x:v>
      </x:c>
      <x:c r="O41" s="100" t="n">
        <x:f>IF(L41=0,0,IF(N41=0,99,L41/N41))</x:f>
        <x:v>2.1666666666666665</x:v>
      </x:c>
      <x:c r="P41" s="100" t="n">
        <x:v>3.8</x:v>
      </x:c>
      <x:c r="Q41" s="96" t="str">
        <x:f>IF(F41=0,"已删除",IF(L41=0,"无对白",IF(N41=0,"需跨镜",IF(O41&lt;=P41,"可执行",IF(O41&lt;=P41+0.4,"临界","需压词/跨镜")))))</x:f>
        <x:v>可执行</x:v>
      </x:c>
      <x:c r="R41" s="99" t="str">
        <x:v>小天从‘给出唯一答案’改为‘列出B/C排序、置信度与代价’。</x:v>
      </x:c>
      <x:c r="S41" s="99" t="str">
        <x:v>F11、F1、F5、F6、F2、F3、F8</x:v>
      </x:c>
      <x:c r="T41" s="99" t="str">
        <x:v>AI只提供候选区排序。</x:v>
      </x:c>
    </x:row>
    <x:row r="42" ht="21.600000381469727" hidden="0" customHeight="1">
      <x:c r="A42" s="96" t="n">
        <x:v>6</x:v>
      </x:c>
      <x:c r="B42" s="96" t="str">
        <x:v>036A</x:v>
      </x:c>
      <x:c r="C42" s="96" t="str">
        <x:v>—</x:v>
      </x:c>
      <x:c r="D42" s="97" t="n">
        <x:v>0</x:v>
      </x:c>
      <x:c r="E42" s="97" t="str">
        <x:v>新增</x:v>
      </x:c>
      <x:c r="F42" s="97" t="n">
        <x:v>6</x:v>
      </x:c>
      <x:c r="G42" s="98" t="n">
        <x:f>H41</x:f>
        <x:v>0.0028819444444444444</x:v>
      </x:c>
      <x:c r="H42" s="98" t="n">
        <x:f>G42+F42/86400</x:f>
        <x:v>0.002951388888888889</x:v>
      </x:c>
      <x:c r="I42" s="99" t="str">
        <x:v>候选落区图卡／下视相机叠加</x:v>
      </x:c>
      <x:c r="J42" s="99" t="str">
        <x:v>B、C候选区并列显示坡度、岩块密度、阴影识别置信度和预计悬停代价；小天只列方案，不作授权。</x:v>
      </x:c>
      <x:c r="K42" s="99" t="str">
        <x:v>小天：‘B区置信度下降；C区需要增加悬停。’</x:v>
      </x:c>
      <x:c r="L42" s="100" t="n">
        <x:v>13</x:v>
      </x:c>
      <x:c r="M42" s="100" t="n">
        <x:v>1</x:v>
      </x:c>
      <x:c r="N42" s="100" t="n">
        <x:f>MAX(0,F42-M42)</x:f>
        <x:v>5</x:v>
      </x:c>
      <x:c r="O42" s="100" t="n">
        <x:f>IF(L42=0,0,IF(N42=0,99,L42/N42))</x:f>
        <x:v>2.6</x:v>
      </x:c>
      <x:c r="P42" s="100" t="n">
        <x:v>3.8</x:v>
      </x:c>
      <x:c r="Q42" s="96" t="str">
        <x:f>IF(F42=0,"已删除",IF(L42=0,"无对白",IF(N42=0,"需跨镜",IF(O42&lt;=P42,"可执行",IF(O42&lt;=P42+0.4,"临界","需压词/跨镜")))))</x:f>
        <x:v>可执行</x:v>
      </x:c>
      <x:c r="R42" s="99" t="str">
        <x:v>新增候选区代价图卡，为杨凛的最终决策提供可见证据。</x:v>
      </x:c>
      <x:c r="S42" s="99" t="str">
        <x:v>F11、F1、F5、F6、F2、F3、F8</x:v>
      </x:c>
      <x:c r="T42" s="99" t="str">
        <x:v>新增人机决策证据；数据为艺术推演，不显示未经公开的具体阈值。</x:v>
      </x:c>
    </x:row>
    <x:row r="43" ht="21.600000381469727" hidden="0" customHeight="1">
      <x:c r="A43" s="96" t="n">
        <x:v>6</x:v>
      </x:c>
      <x:c r="B43" s="96" t="str">
        <x:v>037</x:v>
      </x:c>
      <x:c r="C43" s="96" t="str">
        <x:v>05:02–05:10</x:v>
      </x:c>
      <x:c r="D43" s="97" t="n">
        <x:v>8</x:v>
      </x:c>
      <x:c r="E43" s="97" t="str">
        <x:v>保留</x:v>
      </x:c>
      <x:c r="F43" s="97" t="n">
        <x:v>8</x:v>
      </x:c>
      <x:c r="G43" s="98" t="n">
        <x:f>H42</x:f>
        <x:v>0.002951388888888889</x:v>
      </x:c>
      <x:c r="H43" s="98" t="n">
        <x:f>G43+F43/86400</x:f>
        <x:v>0.0030439814814814813</x:v>
      </x:c>
      <x:c r="I43" s="99" t="str">
        <x:v>揽月舱内双人近景</x:v>
      </x:c>
      <x:c r="J43" s="99" t="str">
        <x:v>杨凛核对B区，陈砚监控敏感器和着陆后系统。</x:v>
      </x:c>
      <x:c r="K43" s="99" t="str">
        <x:v>杨凛：‘采用B区。’ 陈砚：‘横移走廊清晰。’</x:v>
      </x:c>
      <x:c r="L43" s="100" t="n">
        <x:v>9</x:v>
      </x:c>
      <x:c r="M43" s="100" t="n">
        <x:v>1</x:v>
      </x:c>
      <x:c r="N43" s="100" t="n">
        <x:f>MAX(0,F43-M43)</x:f>
        <x:v>7</x:v>
      </x:c>
      <x:c r="O43" s="100" t="n">
        <x:f>IF(L43=0,0,IF(N43=0,99,L43/N43))</x:f>
        <x:v>1.2857142857142858</x:v>
      </x:c>
      <x:c r="P43" s="100" t="n">
        <x:v>3.8</x:v>
      </x:c>
      <x:c r="Q43" s="96" t="str">
        <x:f>IF(F43=0,"已删除",IF(L43=0,"无对白",IF(N43=0,"需跨镜",IF(O43&lt;=P43,"可执行",IF(O43&lt;=P43+0.4,"临界","需压词/跨镜")))))</x:f>
        <x:v>可执行</x:v>
      </x:c>
      <x:c r="R43" s="99" t="str">
        <x:v>杨凛说明选择理由并承担悬停代价；陈砚只报可执行条件。</x:v>
      </x:c>
      <x:c r="S43" s="99" t="str">
        <x:v>F11、F1、F5、F6、F2、F3、F8</x:v>
      </x:c>
      <x:c r="T43" s="99" t="str">
        <x:v>最终选择归乘组指令长。</x:v>
      </x:c>
    </x:row>
    <x:row r="44" ht="21.600000381469727" hidden="0" customHeight="1">
      <x:c r="A44" s="96" t="n">
        <x:v>6</x:v>
      </x:c>
      <x:c r="B44" s="96" t="str">
        <x:v>038</x:v>
      </x:c>
      <x:c r="C44" s="96" t="str">
        <x:v>05:10–05:17</x:v>
      </x:c>
      <x:c r="D44" s="97" t="n">
        <x:v>7</x:v>
      </x:c>
      <x:c r="E44" s="97" t="str">
        <x:v>压缩</x:v>
      </x:c>
      <x:c r="F44" s="97" t="n">
        <x:v>6</x:v>
      </x:c>
      <x:c r="G44" s="98" t="n">
        <x:f>H43</x:f>
        <x:v>0.0030439814814814813</x:v>
      </x:c>
      <x:c r="H44" s="98" t="n">
        <x:f>G44+F44/86400</x:f>
        <x:v>0.0031134259259259257</x:v>
      </x:c>
      <x:c r="I44" s="99" t="str">
        <x:v>中高度三分之四侧视／视觉重建</x:v>
      </x:c>
      <x:c r="J44" s="99" t="str">
        <x:v>揽月沿短距离横向走廊避开岩块区，机体姿态变化小而明确；角落保留视觉重建标识。</x:v>
      </x:c>
      <x:c r="K44" s="99" t="str">
        <x:v>外景静音；北京只读关键高度和速度。</x:v>
      </x:c>
      <x:c r="L44" s="100" t="n">
        <x:v>0</x:v>
      </x:c>
      <x:c r="M44" s="100" t="n">
        <x:v>2</x:v>
      </x:c>
      <x:c r="N44" s="100" t="n">
        <x:f>MAX(0,F44-M44)</x:f>
        <x:v>4</x:v>
      </x:c>
      <x:c r="O44" s="100" t="n">
        <x:f>IF(L44=0,0,IF(N44=0,99,L44/N44))</x:f>
        <x:v>0</x:v>
      </x:c>
      <x:c r="P44" s="100" t="n">
        <x:v>3.8</x:v>
      </x:c>
      <x:c r="Q44" s="96" t="str">
        <x:f>IF(F44=0,"已删除",IF(L44=0,"无对白",IF(N44=0,"需跨镜",IF(O44&lt;=P44,"可执行",IF(O44&lt;=P44+0.4,"临界","需压词/跨镜")))))</x:f>
        <x:v>无对白</x:v>
      </x:c>
      <x:c r="R44" s="99" t="str">
        <x:v>压缩头尾和重复确认；保留“揽月沿短距离横向走廊避开岩块区，机体姿态变化小而明确”这一任务功能。</x:v>
      </x:c>
      <x:c r="S44" s="99" t="str">
        <x:v>F11、F1、F5、F6、F2、F3、F8</x:v>
      </x:c>
      <x:c r="T44" s="99" t="str">
        <x:v>第三视角用于解释横移，不承担落地证明。</x:v>
      </x:c>
    </x:row>
    <x:row r="45" ht="21.600000381469727" hidden="0" customHeight="1">
      <x:c r="A45" s="96" t="n">
        <x:v>6</x:v>
      </x:c>
      <x:c r="B45" s="96" t="str">
        <x:v>039</x:v>
      </x:c>
      <x:c r="C45" s="96" t="str">
        <x:v>05:17–05:24</x:v>
      </x:c>
      <x:c r="D45" s="97" t="n">
        <x:v>7</x:v>
      </x:c>
      <x:c r="E45" s="97" t="str">
        <x:v>保留</x:v>
      </x:c>
      <x:c r="F45" s="97" t="n">
        <x:v>7</x:v>
      </x:c>
      <x:c r="G45" s="98" t="n">
        <x:f>H44</x:f>
        <x:v>0.0031134259259259257</x:v>
      </x:c>
      <x:c r="H45" s="98" t="n">
        <x:f>G45+F45/86400</x:f>
        <x:v>0.003194444444444444</x:v>
      </x:c>
      <x:c r="I45" s="99" t="str">
        <x:v>着陆器下视相机</x:v>
      </x:c>
      <x:c r="J45" s="99" t="str">
        <x:v>选择区逐渐居中，细避障框缩小到平坦区域；尘埃尚未明显扬起。</x:v>
      </x:c>
      <x:c r="K45" s="99" t="str">
        <x:v>小天：‘细避障完成，落点锁定。’ 杨凛：‘接管最终下降。’</x:v>
      </x:c>
      <x:c r="L45" s="100" t="n">
        <x:v>15</x:v>
      </x:c>
      <x:c r="M45" s="100" t="n">
        <x:v>1</x:v>
      </x:c>
      <x:c r="N45" s="100" t="n">
        <x:f>MAX(0,F45-M45)</x:f>
        <x:v>6</x:v>
      </x:c>
      <x:c r="O45" s="100" t="n">
        <x:f>IF(L45=0,0,IF(N45=0,99,L45/N45))</x:f>
        <x:v>2.5</x:v>
      </x:c>
      <x:c r="P45" s="100" t="n">
        <x:v>3.8</x:v>
      </x:c>
      <x:c r="Q45" s="96" t="str">
        <x:f>IF(F45=0,"已删除",IF(L45=0,"无对白",IF(N45=0,"需跨镜",IF(O45&lt;=P45,"可执行",IF(O45&lt;=P45+0.4,"临界","需压词/跨镜")))))</x:f>
        <x:v>可执行</x:v>
      </x:c>
      <x:c r="R45" s="99" t="str">
        <x:v>小天只确认预测落区，不说‘落点锁定’；杨凛作最终选择并接管。</x:v>
      </x:c>
      <x:c r="S45" s="99" t="str">
        <x:v>F11、F1、F5、F6、F2、F3、F8</x:v>
      </x:c>
      <x:c r="T45" s="99" t="str">
        <x:v>从此处停止记者和专家插话。</x:v>
      </x:c>
    </x:row>
    <x:row r="46" ht="21.600000381469727" hidden="0" customHeight="1">
      <x:c r="A46" s="96" t="n">
        <x:v>6</x:v>
      </x:c>
      <x:c r="B46" s="96" t="str">
        <x:v>040</x:v>
      </x:c>
      <x:c r="C46" s="96" t="str">
        <x:v>05:24–05:30</x:v>
      </x:c>
      <x:c r="D46" s="97" t="n">
        <x:v>6</x:v>
      </x:c>
      <x:c r="E46" s="97" t="str">
        <x:v>压缩</x:v>
      </x:c>
      <x:c r="F46" s="97" t="n">
        <x:v>5</x:v>
      </x:c>
      <x:c r="G46" s="98" t="n">
        <x:f>H45</x:f>
        <x:v>0.003194444444444444</x:v>
      </x:c>
      <x:c r="H46" s="98" t="n">
        <x:f>G46+F46/86400</x:f>
        <x:v>0.0032523148148148147</x:v>
      </x:c>
      <x:c r="I46" s="99" t="str">
        <x:v>北京飞控大厅</x:v>
      </x:c>
      <x:c r="J46" s="99" t="str">
        <x:v>各席位凝视参数，飞行主任保持手势等待；大厅没有庆祝动作。</x:v>
      </x:c>
      <x:c r="K46" s="99" t="str">
        <x:v>北京：‘最终下降，状态正常。’</x:v>
      </x:c>
      <x:c r="L46" s="100" t="n">
        <x:v>8</x:v>
      </x:c>
      <x:c r="M46" s="100" t="n">
        <x:v>1</x:v>
      </x:c>
      <x:c r="N46" s="100" t="n">
        <x:f>MAX(0,F46-M46)</x:f>
        <x:v>4</x:v>
      </x:c>
      <x:c r="O46" s="100" t="n">
        <x:f>IF(L46=0,0,IF(N46=0,99,L46/N46))</x:f>
        <x:v>2</x:v>
      </x:c>
      <x:c r="P46" s="100" t="n">
        <x:v>3.8</x:v>
      </x:c>
      <x:c r="Q46" s="96" t="str">
        <x:f>IF(F46=0,"已删除",IF(L46=0,"无对白",IF(N46=0,"需跨镜",IF(O46&lt;=P46,"可执行",IF(O46&lt;=P46+0.4,"临界","需压词/跨镜")))))</x:f>
        <x:v>可执行</x:v>
      </x:c>
      <x:c r="R46" s="99" t="str">
        <x:v>删‘状态正常’式复述，改为北京确认乘组已接管最终下降。</x:v>
      </x:c>
      <x:c r="S46" s="99" t="str">
        <x:v>F11、F1、F5、F6、F2、F3、F8</x:v>
      </x:c>
      <x:c r="T46" s="99" t="str">
        <x:v>以沉默和设备声建立压力。</x:v>
      </x:c>
    </x:row>
    <x:row r="47" ht="21.600000381469727" hidden="0" customHeight="1">
      <x:c r="A47" s="96" t="n">
        <x:v>6</x:v>
      </x:c>
      <x:c r="B47" s="96" t="str">
        <x:v>041</x:v>
      </x:c>
      <x:c r="C47" s="96" t="str">
        <x:v>05:30–05:37</x:v>
      </x:c>
      <x:c r="D47" s="97" t="n">
        <x:v>7</x:v>
      </x:c>
      <x:c r="E47" s="97" t="str">
        <x:v>压缩</x:v>
      </x:c>
      <x:c r="F47" s="97" t="n">
        <x:v>6</x:v>
      </x:c>
      <x:c r="G47" s="98" t="n">
        <x:f>H46</x:f>
        <x:v>0.0032523148148148147</x:v>
      </x:c>
      <x:c r="H47" s="98" t="n">
        <x:f>G47+F47/86400</x:f>
        <x:v>0.003321759259259259</x:v>
      </x:c>
      <x:c r="I47" s="99" t="str">
        <x:v>低空远景／视觉重建</x:v>
      </x:c>
      <x:c r="J47" s="99" t="str">
        <x:v>揽月距月面数十米，喷流扩散区和机体尺度清楚；画面稳定克制，标注视觉重建。</x:v>
      </x:c>
      <x:c r="K47" s="99" t="str">
        <x:v>外景静音；只保留高度口令。</x:v>
      </x:c>
      <x:c r="L47" s="100" t="n">
        <x:v>0</x:v>
      </x:c>
      <x:c r="M47" s="100" t="n">
        <x:v>2</x:v>
      </x:c>
      <x:c r="N47" s="100" t="n">
        <x:f>MAX(0,F47-M47)</x:f>
        <x:v>4</x:v>
      </x:c>
      <x:c r="O47" s="100" t="n">
        <x:f>IF(L47=0,0,IF(N47=0,99,L47/N47))</x:f>
        <x:v>0</x:v>
      </x:c>
      <x:c r="P47" s="100" t="n">
        <x:v>3.8</x:v>
      </x:c>
      <x:c r="Q47" s="96" t="str">
        <x:f>IF(F47=0,"已删除",IF(L47=0,"无对白",IF(N47=0,"需跨镜",IF(O47&lt;=P47,"可执行",IF(O47&lt;=P47+0.4,"临界","需压词/跨镜")))))</x:f>
        <x:v>无对白</x:v>
      </x:c>
      <x:c r="R47" s="99" t="str">
        <x:v>压缩头尾和重复确认；保留“揽月距月面数十米，喷流扩散区和机体尺度清楚；画面稳定”这一任务功能。</x:v>
      </x:c>
      <x:c r="S47" s="99" t="str">
        <x:v>F11、F1、F5、F6、F2、F3、F8</x:v>
      </x:c>
      <x:c r="T47" s="99" t="str">
        <x:v>最后一次重建镜头，随后回到证据视角。</x:v>
      </x:c>
    </x:row>
    <x:row r="48" ht="21.600000381469727" hidden="0" customHeight="1">
      <x:c r="A48" s="96" t="n">
        <x:v>6</x:v>
      </x:c>
      <x:c r="B48" s="96" t="str">
        <x:v>042</x:v>
      </x:c>
      <x:c r="C48" s="96" t="str">
        <x:v>05:37–05:44</x:v>
      </x:c>
      <x:c r="D48" s="97" t="n">
        <x:v>7</x:v>
      </x:c>
      <x:c r="E48" s="97" t="str">
        <x:v>保留</x:v>
      </x:c>
      <x:c r="F48" s="97" t="n">
        <x:v>8</x:v>
      </x:c>
      <x:c r="G48" s="98" t="n">
        <x:f>H47</x:f>
        <x:v>0.003321759259259259</x:v>
      </x:c>
      <x:c r="H48" s="98" t="n">
        <x:f>G48+F48/86400</x:f>
        <x:v>0.0034143518518518516</x:v>
      </x:c>
      <x:c r="I48" s="99" t="str">
        <x:v>着陆器下视与着陆腿相机</x:v>
      </x:c>
      <x:c r="J48" s="99" t="str">
        <x:v>尘埃向外扩散，落点纹理快速放大，着陆腿接近月面。</x:v>
      </x:c>
      <x:c r="K48" s="99" t="str">
        <x:v>陈砚：‘十米……五米。’ 杨凛：‘准备接触。’</x:v>
      </x:c>
      <x:c r="L48" s="100" t="n">
        <x:v>8</x:v>
      </x:c>
      <x:c r="M48" s="100" t="n">
        <x:v>1</x:v>
      </x:c>
      <x:c r="N48" s="100" t="n">
        <x:f>MAX(0,F48-M48)</x:f>
        <x:v>7</x:v>
      </x:c>
      <x:c r="O48" s="100" t="n">
        <x:f>IF(L48=0,0,IF(N48=0,99,L48/N48))</x:f>
        <x:v>1.1428571428571428</x:v>
      </x:c>
      <x:c r="P48" s="100" t="n">
        <x:v>3.8</x:v>
      </x:c>
      <x:c r="Q48" s="96" t="str">
        <x:f>IF(F48=0,"已删除",IF(L48=0,"无对白",IF(N48=0,"需跨镜",IF(O48&lt;=P48,"可执行",IF(O48&lt;=P48+0.4,"临界","需压词/跨镜")))))</x:f>
        <x:v>可执行</x:v>
      </x:c>
      <x:c r="R48" s="99" t="str">
        <x:v>增加1秒给最后高度口令与接触准备，避免倒数抢读。</x:v>
      </x:c>
      <x:c r="S48" s="99" t="str">
        <x:v>F11、F1、F5、F6、F2、F3、F8</x:v>
      </x:c>
      <x:c r="T48" s="99" t="str">
        <x:v>不可逆节点以任务相机收束。</x:v>
      </x:c>
    </x:row>
    <x:row r="49" ht="21.600000381469727" hidden="0" customHeight="1">
      <x:c r="A49" s="96" t="n">
        <x:v>7</x:v>
      </x:c>
      <x:c r="B49" s="96" t="str">
        <x:v>043</x:v>
      </x:c>
      <x:c r="C49" s="96" t="str">
        <x:v>05:44–05:53</x:v>
      </x:c>
      <x:c r="D49" s="97" t="n">
        <x:v>9</x:v>
      </x:c>
      <x:c r="E49" s="97" t="str">
        <x:v>保留</x:v>
      </x:c>
      <x:c r="F49" s="97" t="n">
        <x:v>9</x:v>
      </x:c>
      <x:c r="G49" s="98" t="n">
        <x:f>H48</x:f>
        <x:v>0.0034143518518518516</x:v>
      </x:c>
      <x:c r="H49" s="98" t="n">
        <x:f>G49+F49/86400</x:f>
        <x:v>0.003518518518518518</x:v>
      </x:c>
      <x:c r="I49" s="99" t="str">
        <x:v>着陆腿相机／舱内交叉</x:v>
      </x:c>
      <x:c r="J49" s="99" t="str">
        <x:v>一条着陆腿接触月面，舱内减速度和接触灯同步出现，画面轻微振动后稳定。</x:v>
      </x:c>
      <x:c r="K49" s="99" t="str">
        <x:v>杨凛：‘接触。发动机关闭。’ 陈砚：‘着陆支撑稳定。’</x:v>
      </x:c>
      <x:c r="L49" s="100" t="n">
        <x:v>13</x:v>
      </x:c>
      <x:c r="M49" s="100" t="n">
        <x:v>3</x:v>
      </x:c>
      <x:c r="N49" s="100" t="n">
        <x:f>MAX(0,F49-M49)</x:f>
        <x:v>6</x:v>
      </x:c>
      <x:c r="O49" s="100" t="n">
        <x:f>IF(L49=0,0,IF(N49=0,99,L49/N49))</x:f>
        <x:v>2.1666666666666665</x:v>
      </x:c>
      <x:c r="P49" s="100" t="n">
        <x:v>3.8</x:v>
      </x:c>
      <x:c r="Q49" s="96" t="str">
        <x:f>IF(F49=0,"已删除",IF(L49=0,"无对白",IF(N49=0,"需跨镜",IF(O49&lt;=P49,"可执行",IF(O49&lt;=P49+0.4,"临界","需压词/跨镜")))))</x:f>
        <x:v>可执行</x:v>
      </x:c>
      <x:c r="R49" s="99" t="str">
        <x:v>着陆证据镜保留完整；不压动作与发动机关闭确认。</x:v>
      </x:c>
      <x:c r="S49" s="99" t="str">
        <x:v>F11、F1、F5、F6</x:v>
      </x:c>
      <x:c r="T49" s="99" t="str">
        <x:v>落地以任务证据视角完成。</x:v>
      </x:c>
    </x:row>
    <x:row r="50" ht="21.600000381469727" hidden="0" customHeight="1">
      <x:c r="A50" s="96" t="n">
        <x:v>7</x:v>
      </x:c>
      <x:c r="B50" s="96" t="str">
        <x:v>044</x:v>
      </x:c>
      <x:c r="C50" s="96" t="str">
        <x:v>05:53–06:01</x:v>
      </x:c>
      <x:c r="D50" s="97" t="n">
        <x:v>8</x:v>
      </x:c>
      <x:c r="E50" s="97" t="str">
        <x:v>压缩</x:v>
      </x:c>
      <x:c r="F50" s="97" t="n">
        <x:v>7</x:v>
      </x:c>
      <x:c r="G50" s="98" t="n">
        <x:f>H49</x:f>
        <x:v>0.003518518518518518</x:v>
      </x:c>
      <x:c r="H50" s="98" t="n">
        <x:f>G50+F50/86400</x:f>
        <x:v>0.0035995370370370365</x:v>
      </x:c>
      <x:c r="I50" s="99" t="str">
        <x:v>揽月舱内双人中景</x:v>
      </x:c>
      <x:c r="J50" s="99" t="str">
        <x:v>两名航天员保持约束，依次核对姿态、舱压、电源、通信和着陆器结构状态。</x:v>
      </x:c>
      <x:c r="K50" s="99" t="str">
        <x:v>杨凛：‘揽月已着陆，乘组状态正常。’</x:v>
      </x:c>
      <x:c r="L50" s="100" t="n">
        <x:v>11</x:v>
      </x:c>
      <x:c r="M50" s="100" t="n">
        <x:v>1</x:v>
      </x:c>
      <x:c r="N50" s="100" t="n">
        <x:f>MAX(0,F50-M50)</x:f>
        <x:v>6</x:v>
      </x:c>
      <x:c r="O50" s="100" t="n">
        <x:f>IF(L50=0,0,IF(N50=0,99,L50/N50))</x:f>
        <x:v>1.8333333333333333</x:v>
      </x:c>
      <x:c r="P50" s="100" t="n">
        <x:v>3.8</x:v>
      </x:c>
      <x:c r="Q50" s="96" t="str">
        <x:f>IF(F50=0,"已删除",IF(L50=0,"无对白",IF(N50=0,"需跨镜",IF(O50&lt;=P50,"可执行",IF(O50&lt;=P50+0.4,"临界","需压词/跨镜")))))</x:f>
        <x:v>可执行</x:v>
      </x:c>
      <x:c r="R50" s="99" t="str">
        <x:v>压缩头尾和重复确认；保留“两名航天员保持约束，依次核对姿态、舱压、电源、通信和”这一任务功能。</x:v>
      </x:c>
      <x:c r="S50" s="99" t="str">
        <x:v>F11、F1、F5、F6</x:v>
      </x:c>
      <x:c r="T50" s="99" t="str">
        <x:v>落地后先检查，不立即解开约束。</x:v>
      </x:c>
    </x:row>
    <x:row r="51" ht="21.600000381469727" hidden="0" customHeight="1">
      <x:c r="A51" s="96" t="n">
        <x:v>7</x:v>
      </x:c>
      <x:c r="B51" s="96" t="str">
        <x:v>045</x:v>
      </x:c>
      <x:c r="C51" s="96" t="str">
        <x:v>06:01–06:09</x:v>
      </x:c>
      <x:c r="D51" s="97" t="n">
        <x:v>8</x:v>
      </x:c>
      <x:c r="E51" s="97" t="str">
        <x:v>压缩</x:v>
      </x:c>
      <x:c r="F51" s="97" t="n">
        <x:v>5</x:v>
      </x:c>
      <x:c r="G51" s="98" t="n">
        <x:f>H50</x:f>
        <x:v>0.0035995370370370365</x:v>
      </x:c>
      <x:c r="H51" s="98" t="n">
        <x:f>G51+F51/86400</x:f>
        <x:v>0.003657407407407407</x:v>
      </x:c>
      <x:c r="I51" s="99" t="str">
        <x:v>北京飞控广角</x:v>
      </x:c>
      <x:c r="J51" s="99" t="str">
        <x:v>飞行主任收到系统闭合后宣布结果，大厅鼓掌；少数席位继续工作。</x:v>
      </x:c>
      <x:c r="K51" s="99" t="str">
        <x:v>北京：‘确认安全着陆。’</x:v>
      </x:c>
      <x:c r="L51" s="100" t="n">
        <x:v>6</x:v>
      </x:c>
      <x:c r="M51" s="100" t="n">
        <x:v>1</x:v>
      </x:c>
      <x:c r="N51" s="100" t="n">
        <x:f>MAX(0,F51-M51)</x:f>
        <x:v>4</x:v>
      </x:c>
      <x:c r="O51" s="100" t="n">
        <x:f>IF(L51=0,0,IF(N51=0,99,L51/N51))</x:f>
        <x:v>1.5</x:v>
      </x:c>
      <x:c r="P51" s="100" t="n">
        <x:v>3.8</x:v>
      </x:c>
      <x:c r="Q51" s="96" t="str">
        <x:f>IF(F51=0,"已删除",IF(L51=0,"无对白",IF(N51=0,"需跨镜",IF(O51&lt;=P51,"可执行",IF(O51&lt;=P51+0.4,"临界","需压词/跨镜")))))</x:f>
        <x:v>可执行</x:v>
      </x:c>
      <x:c r="R51" s="99" t="str">
        <x:v>飞控只做一次安全着陆确认，不再复述乘组状态。</x:v>
      </x:c>
      <x:c r="S51" s="99" t="str">
        <x:v>F11、F1、F5、F6</x:v>
      </x:c>
      <x:c r="T51" s="99" t="str">
        <x:v>掌声只在北京飞控内部成立。</x:v>
      </x:c>
    </x:row>
    <x:row r="52" ht="21.600000381469727" hidden="0" customHeight="1">
      <x:c r="A52" s="96" t="n">
        <x:v>7</x:v>
      </x:c>
      <x:c r="B52" s="96" t="str">
        <x:v>046</x:v>
      </x:c>
      <x:c r="C52" s="96" t="str">
        <x:v>06:09–06:17</x:v>
      </x:c>
      <x:c r="D52" s="97" t="n">
        <x:v>8</x:v>
      </x:c>
      <x:c r="E52" s="97" t="str">
        <x:v>保留</x:v>
      </x:c>
      <x:c r="F52" s="97" t="n">
        <x:v>8</x:v>
      </x:c>
      <x:c r="G52" s="98" t="n">
        <x:f>H51</x:f>
        <x:v>0.003657407407407407</x:v>
      </x:c>
      <x:c r="H52" s="98" t="n">
        <x:f>G52+F52/86400</x:f>
        <x:v>0.0037499999999999994</x:v>
      </x:c>
      <x:c r="I52" s="99" t="str">
        <x:v>着陆区完整全景／视觉重建</x:v>
      </x:c>
      <x:c r="J52" s="99" t="str">
        <x:v>尘埃沉降后，完整揽月立于月面，地形坡度、足垫和长阴影清晰；标注：基于实时遥测的视觉重建。</x:v>
      </x:c>
      <x:c r="K52" s="99" t="str">
        <x:v>外景完全静音，只保留远端无线电。</x:v>
      </x:c>
      <x:c r="L52" s="100" t="n">
        <x:v>0</x:v>
      </x:c>
      <x:c r="M52" s="100" t="n">
        <x:v>2</x:v>
      </x:c>
      <x:c r="N52" s="100" t="n">
        <x:f>MAX(0,F52-M52)</x:f>
        <x:v>6</x:v>
      </x:c>
      <x:c r="O52" s="100" t="n">
        <x:f>IF(L52=0,0,IF(N52=0,99,L52/N52))</x:f>
        <x:v>0</x:v>
      </x:c>
      <x:c r="P52" s="100" t="n">
        <x:v>3.8</x:v>
      </x:c>
      <x:c r="Q52" s="96" t="str">
        <x:f>IF(F52=0,"已删除",IF(L52=0,"无对白",IF(N52=0,"需跨镜",IF(O52&lt;=P52,"可执行",IF(O52&lt;=P52+0.4,"临界","需压词/跨镜")))))</x:f>
        <x:v>无对白</x:v>
      </x:c>
      <x:c r="R52" s="99" t="str">
        <x:v>保留该镜的任务证据或空间关系；对白与动作按既有专业边界执行。</x:v>
      </x:c>
      <x:c r="S52" s="99" t="str">
        <x:v>F11、F1、F5、F6</x:v>
      </x:c>
      <x:c r="T52" s="99" t="str">
        <x:v>用于交代地形与尺度，不伪装成已部署月面相机。</x:v>
      </x:c>
    </x:row>
    <x:row r="53" ht="21.600000381469727" hidden="0" customHeight="1">
      <x:c r="A53" s="96" t="n">
        <x:v>7</x:v>
      </x:c>
      <x:c r="B53" s="96" t="str">
        <x:v>047</x:v>
      </x:c>
      <x:c r="C53" s="96" t="str">
        <x:v>06:17–06:27</x:v>
      </x:c>
      <x:c r="D53" s="97" t="n">
        <x:v>10</x:v>
      </x:c>
      <x:c r="E53" s="97" t="str">
        <x:v>压缩</x:v>
      </x:c>
      <x:c r="F53" s="97" t="n">
        <x:v>8</x:v>
      </x:c>
      <x:c r="G53" s="98" t="n">
        <x:f>H52</x:f>
        <x:v>0.0037499999999999994</x:v>
      </x:c>
      <x:c r="H53" s="98" t="n">
        <x:f>G53+F53/86400</x:f>
        <x:v>0.003842592592592592</x:v>
      </x:c>
      <x:c r="I53" s="99" t="str">
        <x:v>媒体区直播中景</x:v>
      </x:c>
      <x:c r="J53" s="99" t="str">
        <x:v>林知夏面对镜头，身后大屏定格揽月着陆状态。</x:v>
      </x:c>
      <x:c r="K53" s="99" t="str">
        <x:v>林知夏：‘揽月已经安全着陆，但舱门不会马上打开。两名航天员还要完成约六小时的恢复和出舱准备。’</x:v>
      </x:c>
      <x:c r="L53" s="100" t="n">
        <x:v>38</x:v>
      </x:c>
      <x:c r="M53" s="100" t="n">
        <x:v>2</x:v>
      </x:c>
      <x:c r="N53" s="100" t="n">
        <x:f>MAX(0,F53-M53)</x:f>
        <x:v>6</x:v>
      </x:c>
      <x:c r="O53" s="100" t="n">
        <x:f>IF(L53=0,0,IF(N53=0,99,L53/N53))</x:f>
        <x:v>6.333333333333333</x:v>
      </x:c>
      <x:c r="P53" s="100" t="n">
        <x:v>3.2</x:v>
      </x:c>
      <x:c r="Q53" s="96" t="str">
        <x:f>IF(F53=0,"已删除",IF(L53=0,"无对白",IF(N53=0,"需跨镜",IF(O53&lt;=P53,"可执行",IF(O53&lt;=P53+0.4,"临界","需压词/跨镜")))))</x:f>
        <x:v>需压词/跨镜</x:v>
      </x:c>
      <x:c r="R53" s="99" t="str">
        <x:v>旁白跨镜046-047：只交代舱门不会立即打开和六小时整备。</x:v>
      </x:c>
      <x:c r="S53" s="99" t="str">
        <x:v>F11、F1、F5、F6</x:v>
      </x:c>
      <x:c r="T53" s="99" t="str">
        <x:v>记者只在落地确认后进入。</x:v>
      </x:c>
    </x:row>
    <x:row r="54" ht="21.600000381469727" hidden="0" customHeight="1">
      <x:c r="A54" s="96" t="n">
        <x:v>7</x:v>
      </x:c>
      <x:c r="B54" s="96" t="str">
        <x:v>048</x:v>
      </x:c>
      <x:c r="C54" s="96" t="str">
        <x:v>06:27–06:39</x:v>
      </x:c>
      <x:c r="D54" s="97" t="n">
        <x:v>12</x:v>
      </x:c>
      <x:c r="E54" s="97" t="str">
        <x:v>压缩</x:v>
      </x:c>
      <x:c r="F54" s="97" t="n">
        <x:v>7</x:v>
      </x:c>
      <x:c r="G54" s="98" t="n">
        <x:f>H53</x:f>
        <x:v>0.003842592592592592</x:v>
      </x:c>
      <x:c r="H54" s="98" t="n">
        <x:f>G54+F54/86400</x:f>
        <x:v>0.00392361111111111</x:v>
      </x:c>
      <x:c r="I54" s="99" t="str">
        <x:v>媒体区专家双人</x:v>
      </x:c>
      <x:c r="J54" s="99" t="str">
        <x:v>何文澜在一张阿波罗11号任务时间轴旁解释，林知夏倾听。</x:v>
      </x:c>
      <x:c r="K54" s="99" t="str">
        <x:v>何文澜：‘阿波罗11号大约在着陆六个半小时后首次踏上月面。这个时间量级并不反常。’</x:v>
      </x:c>
      <x:c r="L54" s="100" t="n">
        <x:v>31</x:v>
      </x:c>
      <x:c r="M54" s="100" t="n">
        <x:v>2</x:v>
      </x:c>
      <x:c r="N54" s="100" t="n">
        <x:f>MAX(0,F54-M54)</x:f>
        <x:v>5</x:v>
      </x:c>
      <x:c r="O54" s="100" t="n">
        <x:f>IF(L54=0,0,IF(N54=0,99,L54/N54))</x:f>
        <x:v>6.2</x:v>
      </x:c>
      <x:c r="P54" s="100" t="n">
        <x:v>3.2</x:v>
      </x:c>
      <x:c r="Q54" s="96" t="str">
        <x:f>IF(F54=0,"已删除",IF(L54=0,"无对白",IF(N54=0,"需跨镜",IF(O54&lt;=P54,"可执行",IF(O54&lt;=P54+0.4,"临界","需压词/跨镜")))))</x:f>
        <x:v>需压词/跨镜</x:v>
      </x:c>
      <x:c r="R54" s="99" t="str">
        <x:v>保留阿波罗时间量级作参照，但删‘并不反常’总结腔。</x:v>
      </x:c>
      <x:c r="S54" s="99" t="str">
        <x:v>F11、F1、F5、F6</x:v>
      </x:c>
      <x:c r="T54" s="99" t="str">
        <x:v>历史时间用约数，避免把艺术流程说成唯一标准。</x:v>
      </x:c>
    </x:row>
    <x:row r="55" ht="21.600000381469727" hidden="0" customHeight="1">
      <x:c r="A55" s="96" t="n">
        <x:v>7</x:v>
      </x:c>
      <x:c r="B55" s="96" t="str">
        <x:v>049</x:v>
      </x:c>
      <x:c r="C55" s="96" t="str">
        <x:v>06:39–06:44</x:v>
      </x:c>
      <x:c r="D55" s="97" t="n">
        <x:v>5</x:v>
      </x:c>
      <x:c r="E55" s="97" t="str">
        <x:v>删除</x:v>
      </x:c>
      <x:c r="F55" s="97" t="n">
        <x:v>0</x:v>
      </x:c>
      <x:c r="G55" s="98" t="n">
        <x:f>H54</x:f>
        <x:v>0.00392361111111111</x:v>
      </x:c>
      <x:c r="H55" s="98" t="n">
        <x:f>G55+F55/86400</x:f>
        <x:v>0.00392361111111111</x:v>
      </x:c>
      <x:c r="I55" s="99" t="str">
        <x:v>揽月舱内准备蒙太奇一</x:v>
      </x:c>
      <x:c r="J55" s="99" t="str">
        <x:v>两人解除约束、进食补水、完成身体状态自检，并检查舱内生命保障和通信。</x:v>
      </x:c>
      <x:c r="K55" s="99" t="str">
        <x:v>何文澜画外：‘无人任务也要完成状态检查和载荷初始化。’</x:v>
      </x:c>
      <x:c r="L55" s="100" t="n">
        <x:v>18</x:v>
      </x:c>
      <x:c r="M55" s="100" t="n">
        <x:v>0</x:v>
      </x:c>
      <x:c r="N55" s="100" t="n">
        <x:f>MAX(0,F55-M55)</x:f>
        <x:v>0</x:v>
      </x:c>
      <x:c r="O55" s="100" t="n">
        <x:f>IF(L55=0,0,IF(N55=0,99,L55/N55))</x:f>
        <x:v>99</x:v>
      </x:c>
      <x:c r="P55" s="100" t="n">
        <x:v>3.2</x:v>
      </x:c>
      <x:c r="Q55" s="96" t="str">
        <x:f>IF(F55=0,"已删除",IF(L55=0,"无对白",IF(N55=0,"需跨镜",IF(O55&lt;=P55,"可执行",IF(O55&lt;=P55+0.4,"临界","需压词/跨镜")))))</x:f>
        <x:v>已删除</x:v>
      </x:c>
      <x:c r="R55" s="99" t="str">
        <x:v>删除独立无人任务科普句；其信息并入镜050的整备蒙太奇，不打断着陆余韵。</x:v>
      </x:c>
      <x:c r="S55" s="99" t="str">
        <x:v>F11、F1、F5、F6</x:v>
      </x:c>
      <x:c r="T55" s="99" t="str">
        <x:v>不是把无人探测器简化为“只需落地自检”。</x:v>
      </x:c>
    </x:row>
    <x:row r="56" ht="21.600000381469727" hidden="0" customHeight="1">
      <x:c r="A56" s="96" t="n">
        <x:v>7</x:v>
      </x:c>
      <x:c r="B56" s="96" t="str">
        <x:v>050</x:v>
      </x:c>
      <x:c r="C56" s="96" t="str">
        <x:v>06:44–06:49</x:v>
      </x:c>
      <x:c r="D56" s="97" t="n">
        <x:v>5</x:v>
      </x:c>
      <x:c r="E56" s="97" t="str">
        <x:v>压缩</x:v>
      </x:c>
      <x:c r="F56" s="97" t="n">
        <x:v>4</x:v>
      </x:c>
      <x:c r="G56" s="98" t="n">
        <x:f>H55</x:f>
        <x:v>0.00392361111111111</x:v>
      </x:c>
      <x:c r="H56" s="98" t="n">
        <x:f>G56+F56/86400</x:f>
        <x:v>0.003969907407407406</x:v>
      </x:c>
      <x:c r="I56" s="99" t="str">
        <x:v>揽月舱内准备蒙太奇二／字幕</x:v>
      </x:c>
      <x:c r="J56" s="99" t="str">
        <x:v>两人检查登月服接口、应急工具、舱门和舱外程序。字幕：着陆 T+06:00；出舱准备完成。</x:v>
      </x:c>
      <x:c r="K56" s="99" t="str">
        <x:v>何文澜画外：‘载人任务还增加人员恢复、穿服和舱外程序复核。’</x:v>
      </x:c>
      <x:c r="L56" s="100" t="n">
        <x:v>20</x:v>
      </x:c>
      <x:c r="M56" s="100" t="n">
        <x:v>1</x:v>
      </x:c>
      <x:c r="N56" s="100" t="n">
        <x:f>MAX(0,F56-M56)</x:f>
        <x:v>3</x:v>
      </x:c>
      <x:c r="O56" s="100" t="n">
        <x:f>IF(L56=0,0,IF(N56=0,99,L56/N56))</x:f>
        <x:v>6.666666666666667</x:v>
      </x:c>
      <x:c r="P56" s="100" t="n">
        <x:v>3.2</x:v>
      </x:c>
      <x:c r="Q56" s="96" t="str">
        <x:f>IF(F56=0,"已删除",IF(L56=0,"无对白",IF(N56=0,"需跨镜",IF(O56&lt;=P56,"可执行",IF(O56&lt;=P56+0.4,"临界","需压词/跨镜")))))</x:f>
        <x:v>需压词/跨镜</x:v>
      </x:c>
      <x:c r="R56" s="99" t="str">
        <x:v>合并无人/载人整备信息；字幕标‘着陆T+06:00’，对白只留载人新增步骤。</x:v>
      </x:c>
      <x:c r="S56" s="99" t="str">
        <x:v>F11、F1、F5、F6</x:v>
      </x:c>
      <x:c r="T56" s="99" t="str">
        <x:v>时间码从着陆瞬间起算。</x:v>
      </x:c>
    </x:row>
    <x:row r="57" ht="21.600000381469727" hidden="0" customHeight="1">
      <x:c r="A57" s="96" t="n">
        <x:v>8</x:v>
      </x:c>
      <x:c r="B57" s="96" t="str">
        <x:v>051</x:v>
      </x:c>
      <x:c r="C57" s="96" t="str">
        <x:v>06:49–06:59</x:v>
      </x:c>
      <x:c r="D57" s="97" t="n">
        <x:v>10</x:v>
      </x:c>
      <x:c r="E57" s="97" t="str">
        <x:v>压缩</x:v>
      </x:c>
      <x:c r="F57" s="97" t="n">
        <x:v>5</x:v>
      </x:c>
      <x:c r="G57" s="98" t="n">
        <x:f>H56</x:f>
        <x:v>0.003969907407407406</x:v>
      </x:c>
      <x:c r="H57" s="98" t="n">
        <x:f>G57+F57/86400</x:f>
        <x:v>0.004027777777777777</x:v>
      </x:c>
      <x:c r="I57" s="99" t="str">
        <x:v>媒体区直播近景</x:v>
      </x:c>
      <x:c r="J57" s="99" t="str">
        <x:v>林知夏身后大屏显示揽月舱门状态和五分钟倒计时，媒体区工作人员安静等待。</x:v>
      </x:c>
      <x:c r="K57" s="99" t="str">
        <x:v>林知夏：‘五分钟后，乘组指令长杨凛将首先出舱，代表中国航天员第一次踏上月球。此刻，飞控和乘组正在完成最后确认。’</x:v>
      </x:c>
      <x:c r="L57" s="100" t="n">
        <x:v>45</x:v>
      </x:c>
      <x:c r="M57" s="100" t="n">
        <x:v>2</x:v>
      </x:c>
      <x:c r="N57" s="100" t="n">
        <x:f>MAX(0,F57-M57)</x:f>
        <x:v>3</x:v>
      </x:c>
      <x:c r="O57" s="100" t="n">
        <x:f>IF(L57=0,0,IF(N57=0,99,L57/N57))</x:f>
        <x:v>15</x:v>
      </x:c>
      <x:c r="P57" s="100" t="n">
        <x:v>3.2</x:v>
      </x:c>
      <x:c r="Q57" s="96" t="str">
        <x:f>IF(F57=0,"已删除",IF(L57=0,"无对白",IF(N57=0,"需跨镜",IF(O57&lt;=P57,"可执行",IF(O57&lt;=P57+0.4,"临界","需压词/跨镜")))))</x:f>
        <x:v>需压词/跨镜</x:v>
      </x:c>
      <x:c r="R57" s="99" t="str">
        <x:v>取消‘五分钟后’精确倒式预告；改为‘出舱程序即将开始’，并跨镜050-052。</x:v>
      </x:c>
      <x:c r="S57" s="99" t="str">
        <x:v>F11、F1、F5、F6、F2、F3、F8</x:v>
      </x:c>
      <x:c r="T57" s="99" t="str">
        <x:v>情绪克制但明确；说完后退出关键动作。</x:v>
      </x:c>
    </x:row>
    <x:row r="58" ht="21.600000381469727" hidden="0" customHeight="1">
      <x:c r="A58" s="96" t="n">
        <x:v>8</x:v>
      </x:c>
      <x:c r="B58" s="96" t="str">
        <x:v>052</x:v>
      </x:c>
      <x:c r="C58" s="96" t="str">
        <x:v>06:59–07:07</x:v>
      </x:c>
      <x:c r="D58" s="97" t="n">
        <x:v>8</x:v>
      </x:c>
      <x:c r="E58" s="97" t="str">
        <x:v>压缩</x:v>
      </x:c>
      <x:c r="F58" s="97" t="n">
        <x:v>6</x:v>
      </x:c>
      <x:c r="G58" s="98" t="n">
        <x:f>H57</x:f>
        <x:v>0.004027777777777777</x:v>
      </x:c>
      <x:c r="H58" s="98" t="n">
        <x:f>G58+F58/86400</x:f>
        <x:v>0.004097222222222221</x:v>
      </x:c>
      <x:c r="I58" s="99" t="str">
        <x:v>飞控／梦舟／揽月三方交叉</x:v>
      </x:c>
      <x:c r="J58" s="99" t="str">
        <x:v>北京席位、梦舟刘定槎和揽月两人依次确认通信、生命保障与舱外任务状态。</x:v>
      </x:c>
      <x:c r="K58" s="99" t="str">
        <x:v>北京：‘出舱程序授权。’ 刘定槎：‘梦舟跟踪正常。’ 杨凛：‘揽月收到。’</x:v>
      </x:c>
      <x:c r="L58" s="100" t="n">
        <x:v>16</x:v>
      </x:c>
      <x:c r="M58" s="100" t="n">
        <x:v>2.6</x:v>
      </x:c>
      <x:c r="N58" s="100" t="n">
        <x:f>MAX(0,F58-M58)</x:f>
        <x:v>3.4</x:v>
      </x:c>
      <x:c r="O58" s="100" t="n">
        <x:f>IF(L58=0,0,IF(N58=0,99,L58/N58))</x:f>
        <x:v>4.705882352941177</x:v>
      </x:c>
      <x:c r="P58" s="100" t="n">
        <x:v>3.8</x:v>
      </x:c>
      <x:c r="Q58" s="96" t="str">
        <x:f>IF(F58=0,"已删除",IF(L58=0,"无对白",IF(N58=0,"需跨镜",IF(O58&lt;=P58,"可执行",IF(O58&lt;=P58+0.4,"临界","需压词/跨镜")))))</x:f>
        <x:v>需压词/跨镜</x:v>
      </x:c>
      <x:c r="R58" s="99" t="str">
        <x:v>三方口令保留，但按地月链路留白；不要剪成地面对话式抢答。</x:v>
      </x:c>
      <x:c r="S58" s="99" t="str">
        <x:v>F11、F1、F5、F6、F2、F3、F8</x:v>
      </x:c>
      <x:c r="T58" s="99" t="str">
        <x:v>重复确认压缩为三方一次状态闭合。</x:v>
      </x:c>
    </x:row>
    <x:row r="59" ht="21.600000381469727" hidden="0" customHeight="1">
      <x:c r="A59" s="96" t="n">
        <x:v>8</x:v>
      </x:c>
      <x:c r="B59" s="96" t="str">
        <x:v>053</x:v>
      </x:c>
      <x:c r="C59" s="96" t="str">
        <x:v>07:07–07:15</x:v>
      </x:c>
      <x:c r="D59" s="97" t="n">
        <x:v>8</x:v>
      </x:c>
      <x:c r="E59" s="97" t="str">
        <x:v>保留</x:v>
      </x:c>
      <x:c r="F59" s="97" t="n">
        <x:v>8</x:v>
      </x:c>
      <x:c r="G59" s="98" t="n">
        <x:f>H58</x:f>
        <x:v>0.004097222222222221</x:v>
      </x:c>
      <x:c r="H59" s="98" t="n">
        <x:f>G59+F59/86400</x:f>
        <x:v>0.004189814814814814</x:v>
      </x:c>
      <x:c r="I59" s="99" t="str">
        <x:v>揽月舱内固定机位</x:v>
      </x:c>
      <x:c r="J59" s="99" t="str">
        <x:v>杨凛完成泄压与舱门操作，舱口开启到单人通行宽度；陈砚留在舱内保障位置。</x:v>
      </x:c>
      <x:c r="K59" s="99" t="str">
        <x:v>只有服内通话、阀门和结构声。</x:v>
      </x:c>
      <x:c r="L59" s="100" t="n">
        <x:v>0</x:v>
      </x:c>
      <x:c r="M59" s="100" t="n">
        <x:v>2</x:v>
      </x:c>
      <x:c r="N59" s="100" t="n">
        <x:f>MAX(0,F59-M59)</x:f>
        <x:v>6</x:v>
      </x:c>
      <x:c r="O59" s="100" t="n">
        <x:f>IF(L59=0,0,IF(N59=0,99,L59/N59))</x:f>
        <x:v>0</x:v>
      </x:c>
      <x:c r="P59" s="100" t="n">
        <x:v>3.8</x:v>
      </x:c>
      <x:c r="Q59" s="96" t="str">
        <x:f>IF(F59=0,"已删除",IF(L59=0,"无对白",IF(N59=0,"需跨镜",IF(O59&lt;=P59,"可执行",IF(O59&lt;=P59+0.4,"临界","需压词/跨镜")))))</x:f>
        <x:v>无对白</x:v>
      </x:c>
      <x:c r="R59" s="99" t="str">
        <x:v>保留该镜的任务证据或空间关系；对白与动作按既有专业边界执行。</x:v>
      </x:c>
      <x:c r="S59" s="99" t="str">
        <x:v>F11、F1、F5、F6、F2、F3、F8</x:v>
      </x:c>
      <x:c r="T59" s="99" t="str">
        <x:v>舱口不能同时容纳两人。</x:v>
      </x:c>
    </x:row>
    <x:row r="60" ht="21.600000381469727" hidden="0" customHeight="1">
      <x:c r="A60" s="96" t="n">
        <x:v>8</x:v>
      </x:c>
      <x:c r="B60" s="96" t="str">
        <x:v>054</x:v>
      </x:c>
      <x:c r="C60" s="96" t="str">
        <x:v>07:15–07:24</x:v>
      </x:c>
      <x:c r="D60" s="97" t="n">
        <x:v>9</x:v>
      </x:c>
      <x:c r="E60" s="97" t="str">
        <x:v>保留</x:v>
      </x:c>
      <x:c r="F60" s="97" t="n">
        <x:v>9</x:v>
      </x:c>
      <x:c r="G60" s="98" t="n">
        <x:f>H59</x:f>
        <x:v>0.004189814814814814</x:v>
      </x:c>
      <x:c r="H60" s="98" t="n">
        <x:f>G60+F60/86400</x:f>
        <x:v>0.00429398148148148</x:v>
      </x:c>
      <x:c r="I60" s="99" t="str">
        <x:v>揽月外部固定相机</x:v>
      </x:c>
      <x:c r="J60" s="99" t="str">
        <x:v>杨凛背向外部相机缓慢探出舱口，确认扶手、脚踏和安全绳后转移到扶梯。</x:v>
      </x:c>
      <x:c r="K60" s="99" t="str">
        <x:v>杨凛：‘身体出舱，扶梯状态正常。’</x:v>
      </x:c>
      <x:c r="L60" s="100" t="n">
        <x:v>10</x:v>
      </x:c>
      <x:c r="M60" s="100" t="n">
        <x:v>1</x:v>
      </x:c>
      <x:c r="N60" s="100" t="n">
        <x:f>MAX(0,F60-M60)</x:f>
        <x:v>8</x:v>
      </x:c>
      <x:c r="O60" s="100" t="n">
        <x:f>IF(L60=0,0,IF(N60=0,99,L60/N60))</x:f>
        <x:v>1.25</x:v>
      </x:c>
      <x:c r="P60" s="100" t="n">
        <x:v>3.8</x:v>
      </x:c>
      <x:c r="Q60" s="96" t="str">
        <x:f>IF(F60=0,"已删除",IF(L60=0,"无对白",IF(N60=0,"需跨镜",IF(O60&lt;=P60,"可执行",IF(O60&lt;=P60+0.4,"临界","需压词/跨镜")))))</x:f>
        <x:v>可执行</x:v>
      </x:c>
      <x:c r="R60" s="99" t="str">
        <x:v>保留该镜的任务证据或空间关系；对白与动作按既有专业边界执行。</x:v>
      </x:c>
      <x:c r="S60" s="99" t="str">
        <x:v>F11、F1、F5、F6、F2、F3、F8</x:v>
      </x:c>
      <x:c r="T60" s="99" t="str">
        <x:v>第一名航天员全程由任务相机证明。</x:v>
      </x:c>
    </x:row>
    <x:row r="61" ht="21.600000381469727" hidden="0" customHeight="1">
      <x:c r="A61" s="96" t="n">
        <x:v>8</x:v>
      </x:c>
      <x:c r="B61" s="96" t="str">
        <x:v>055</x:v>
      </x:c>
      <x:c r="C61" s="96" t="str">
        <x:v>07:24–07:32</x:v>
      </x:c>
      <x:c r="D61" s="97" t="n">
        <x:v>8</x:v>
      </x:c>
      <x:c r="E61" s="97" t="str">
        <x:v>保留</x:v>
      </x:c>
      <x:c r="F61" s="97" t="n">
        <x:v>8</x:v>
      </x:c>
      <x:c r="G61" s="98" t="n">
        <x:f>H60</x:f>
        <x:v>0.00429398148148148</x:v>
      </x:c>
      <x:c r="H61" s="98" t="n">
        <x:f>G61+F61/86400</x:f>
        <x:v>0.004386574074074073</x:v>
      </x:c>
      <x:c r="I61" s="99" t="str">
        <x:v>宇航服相机／扶梯</x:v>
      </x:c>
      <x:c r="J61" s="99" t="str">
        <x:v>杨凛向下移动，在最后一级停顿，低头确认足下地形。</x:v>
      </x:c>
      <x:c r="K61" s="99" t="str">
        <x:v>杨凛：‘足下平整，准备落脚。’</x:v>
      </x:c>
      <x:c r="L61" s="100" t="n">
        <x:v>8</x:v>
      </x:c>
      <x:c r="M61" s="100" t="n">
        <x:v>1</x:v>
      </x:c>
      <x:c r="N61" s="100" t="n">
        <x:f>MAX(0,F61-M61)</x:f>
        <x:v>7</x:v>
      </x:c>
      <x:c r="O61" s="100" t="n">
        <x:f>IF(L61=0,0,IF(N61=0,99,L61/N61))</x:f>
        <x:v>1.1428571428571428</x:v>
      </x:c>
      <x:c r="P61" s="100" t="n">
        <x:v>3.8</x:v>
      </x:c>
      <x:c r="Q61" s="96" t="str">
        <x:f>IF(F61=0,"已删除",IF(L61=0,"无对白",IF(N61=0,"需跨镜",IF(O61&lt;=P61,"可执行",IF(O61&lt;=P61+0.4,"临界","需压词/跨镜")))))</x:f>
        <x:v>可执行</x:v>
      </x:c>
      <x:c r="R61" s="99" t="str">
        <x:v>保留该镜的任务证据或空间关系；对白与动作按既有专业边界执行。</x:v>
      </x:c>
      <x:c r="S61" s="99" t="str">
        <x:v>F11、F1、F5、F6、F2、F3、F8</x:v>
      </x:c>
      <x:c r="T61" s="99" t="str">
        <x:v>月面外部没有脚步声。</x:v>
      </x:c>
    </x:row>
    <x:row r="62" ht="21.600000381469727" hidden="0" customHeight="1">
      <x:c r="A62" s="96" t="n">
        <x:v>8</x:v>
      </x:c>
      <x:c r="B62" s="96" t="str">
        <x:v>056</x:v>
      </x:c>
      <x:c r="C62" s="96" t="str">
        <x:v>07:32–07:42</x:v>
      </x:c>
      <x:c r="D62" s="97" t="n">
        <x:v>10</x:v>
      </x:c>
      <x:c r="E62" s="97" t="str">
        <x:v>保留</x:v>
      </x:c>
      <x:c r="F62" s="97" t="n">
        <x:v>12</x:v>
      </x:c>
      <x:c r="G62" s="98" t="n">
        <x:f>H61</x:f>
        <x:v>0.004386574074074073</x:v>
      </x:c>
      <x:c r="H62" s="98" t="n">
        <x:f>G62+F62/86400</x:f>
        <x:v>0.004525462962962962</x:v>
      </x:c>
      <x:c r="I62" s="99" t="str">
        <x:v>揽月外部固定相机／近全景</x:v>
      </x:c>
      <x:c r="J62" s="99" t="str">
        <x:v>杨凛一只脚接触月面，重心缓慢转移，站稳后停顿并抬头。</x:v>
      </x:c>
      <x:c r="K62" s="99" t="str">
        <x:v>杨凛：‘北京，杨凛已踏上月面。状态良好。’ 北京在延迟后：‘北京确认。’</x:v>
      </x:c>
      <x:c r="L62" s="100" t="n">
        <x:v>17</x:v>
      </x:c>
      <x:c r="M62" s="100" t="n">
        <x:v>3</x:v>
      </x:c>
      <x:c r="N62" s="100" t="n">
        <x:f>MAX(0,F62-M62)</x:f>
        <x:v>9</x:v>
      </x:c>
      <x:c r="O62" s="100" t="n">
        <x:f>IF(L62=0,0,IF(N62=0,99,L62/N62))</x:f>
        <x:v>1.8888888888888888</x:v>
      </x:c>
      <x:c r="P62" s="100" t="n">
        <x:v>3.8</x:v>
      </x:c>
      <x:c r="Q62" s="96" t="str">
        <x:f>IF(F62=0,"已删除",IF(L62=0,"无对白",IF(N62=0,"需跨镜",IF(O62&lt;=P62,"可执行",IF(O62&lt;=P62+0.4,"临界","需压词/跨镜")))))</x:f>
        <x:v>可执行</x:v>
      </x:c>
      <x:c r="R62" s="99" t="str">
        <x:v>扩至12秒，完整保留落脚、重心转移、停顿和北京延迟确认；这是人文高潮。</x:v>
      </x:c>
      <x:c r="S62" s="99" t="str">
        <x:v>F11、F1、F5、F6、F2、F3、F8</x:v>
      </x:c>
      <x:c r="T62" s="99" t="str">
        <x:v>不虚构口号；给身体动作和通信延迟留出完整时间。</x:v>
      </x:c>
    </x:row>
    <x:row r="63" ht="21.600000381469727" hidden="0" customHeight="1">
      <x:c r="A63" s="96" t="n">
        <x:v>8</x:v>
      </x:c>
      <x:c r="B63" s="96" t="str">
        <x:v>057</x:v>
      </x:c>
      <x:c r="C63" s="96" t="str">
        <x:v>07:42–07:50</x:v>
      </x:c>
      <x:c r="D63" s="97" t="n">
        <x:v>8</x:v>
      </x:c>
      <x:c r="E63" s="97" t="str">
        <x:v>压缩</x:v>
      </x:c>
      <x:c r="F63" s="97" t="n">
        <x:v>7</x:v>
      </x:c>
      <x:c r="G63" s="98" t="n">
        <x:f>H62</x:f>
        <x:v>0.004525462962962962</x:v>
      </x:c>
      <x:c r="H63" s="98" t="n">
        <x:f>G63+F63/86400</x:f>
        <x:v>0.0046064814814814805</x:v>
      </x:c>
      <x:c r="I63" s="99" t="str">
        <x:v>宇航服相机／月面小范围</x:v>
      </x:c>
      <x:c r="J63" s="99" t="str">
        <x:v>杨凛检查足下承载、转身幅度和安全绳活动范围，随后移至舱梯侧方安全位置。</x:v>
      </x:c>
      <x:c r="K63" s="99" t="str">
        <x:v>杨凛：‘月面承载正常，通道清空。’</x:v>
      </x:c>
      <x:c r="L63" s="100" t="n">
        <x:v>10</x:v>
      </x:c>
      <x:c r="M63" s="100" t="n">
        <x:v>1</x:v>
      </x:c>
      <x:c r="N63" s="100" t="n">
        <x:f>MAX(0,F63-M63)</x:f>
        <x:v>6</x:v>
      </x:c>
      <x:c r="O63" s="100" t="n">
        <x:f>IF(L63=0,0,IF(N63=0,99,L63/N63))</x:f>
        <x:v>1.6666666666666667</x:v>
      </x:c>
      <x:c r="P63" s="100" t="n">
        <x:v>3.8</x:v>
      </x:c>
      <x:c r="Q63" s="96" t="str">
        <x:f>IF(F63=0,"已删除",IF(L63=0,"无对白",IF(N63=0,"需跨镜",IF(O63&lt;=P63,"可执行",IF(O63&lt;=P63+0.4,"临界","需压词/跨镜")))))</x:f>
        <x:v>可执行</x:v>
      </x:c>
      <x:c r="R63" s="99" t="str">
        <x:v>保留安全检查；与第一步情绪余拍分开。</x:v>
      </x:c>
      <x:c r="S63" s="99" t="str">
        <x:v>F11、F1、F5、F6、F2、F3、F8</x:v>
      </x:c>
      <x:c r="T63" s="99" t="str">
        <x:v>专业上先完成安全检查，再允许第二人下梯。</x:v>
      </x:c>
    </x:row>
    <x:row r="64" ht="21.600000381469727" hidden="0" customHeight="1">
      <x:c r="A64" s="96" t="n">
        <x:v>8</x:v>
      </x:c>
      <x:c r="B64" s="96" t="str">
        <x:v>058</x:v>
      </x:c>
      <x:c r="C64" s="96" t="str">
        <x:v>07:50–07:58</x:v>
      </x:c>
      <x:c r="D64" s="97" t="n">
        <x:v>8</x:v>
      </x:c>
      <x:c r="E64" s="97" t="str">
        <x:v>压缩</x:v>
      </x:c>
      <x:c r="F64" s="97" t="n">
        <x:v>7</x:v>
      </x:c>
      <x:c r="G64" s="98" t="n">
        <x:f>H63</x:f>
        <x:v>0.0046064814814814805</x:v>
      </x:c>
      <x:c r="H64" s="98" t="n">
        <x:f>G64+F64/86400</x:f>
        <x:v>0.004687499999999999</x:v>
      </x:c>
      <x:c r="I64" s="99" t="str">
        <x:v>揽月外部固定相机</x:v>
      </x:c>
      <x:c r="J64" s="99" t="str">
        <x:v>陈砚按同一路径单人出舱并下梯；杨凛在安全距离监护。</x:v>
      </x:c>
      <x:c r="K64" s="99" t="str">
        <x:v>陈砚：‘陈砚踏上月面，状态正常。’</x:v>
      </x:c>
      <x:c r="L64" s="100" t="n">
        <x:v>10</x:v>
      </x:c>
      <x:c r="M64" s="100" t="n">
        <x:v>1</x:v>
      </x:c>
      <x:c r="N64" s="100" t="n">
        <x:f>MAX(0,F64-M64)</x:f>
        <x:v>6</x:v>
      </x:c>
      <x:c r="O64" s="100" t="n">
        <x:f>IF(L64=0,0,IF(N64=0,99,L64/N64))</x:f>
        <x:v>1.6666666666666667</x:v>
      </x:c>
      <x:c r="P64" s="100" t="n">
        <x:v>3.8</x:v>
      </x:c>
      <x:c r="Q64" s="96" t="str">
        <x:f>IF(F64=0,"已删除",IF(L64=0,"无对白",IF(N64=0,"需跨镜",IF(O64&lt;=P64,"可执行",IF(O64&lt;=P64+0.4,"临界","需压词/跨镜")))))</x:f>
        <x:v>可执行</x:v>
      </x:c>
      <x:c r="R64" s="99" t="str">
        <x:v>压缩头尾和重复确认；保留“陈砚按同一路径单人出舱并下梯；杨凛在安全距离监护。”这一任务功能。</x:v>
      </x:c>
      <x:c r="S64" s="99" t="str">
        <x:v>F11、F1、F5、F6、F2、F3、F8</x:v>
      </x:c>
      <x:c r="T64" s="99" t="str">
        <x:v>不让两人同时挤在舱口或扶梯。</x:v>
      </x:c>
    </x:row>
    <x:row r="65" ht="21.600000381469727" hidden="0" customHeight="1">
      <x:c r="A65" s="96" t="n">
        <x:v>8</x:v>
      </x:c>
      <x:c r="B65" s="96" t="str">
        <x:v>059</x:v>
      </x:c>
      <x:c r="C65" s="96" t="str">
        <x:v>07:58–08:04</x:v>
      </x:c>
      <x:c r="D65" s="97" t="n">
        <x:v>6</x:v>
      </x:c>
      <x:c r="E65" s="97" t="str">
        <x:v>压缩</x:v>
      </x:c>
      <x:c r="F65" s="97" t="n">
        <x:v>4</x:v>
      </x:c>
      <x:c r="G65" s="98" t="n">
        <x:f>H64</x:f>
        <x:v>0.004687499999999999</x:v>
      </x:c>
      <x:c r="H65" s="98" t="n">
        <x:f>G65+F65/86400</x:f>
        <x:v>0.004733796296296295</x:v>
      </x:c>
      <x:c r="I65" s="99" t="str">
        <x:v>揽月外部固定相机</x:v>
      </x:c>
      <x:c r="J65" s="99" t="str">
        <x:v>两人在落脚区相互检查生命保障外观，随后面向相机短暂挥手。</x:v>
      </x:c>
      <x:c r="K65" s="99" t="str">
        <x:v>杨凛：‘两人舱外状态正常。’ 北京：‘北京确认。’</x:v>
      </x:c>
      <x:c r="L65" s="100" t="n">
        <x:v>12</x:v>
      </x:c>
      <x:c r="M65" s="100" t="n">
        <x:v>2.6</x:v>
      </x:c>
      <x:c r="N65" s="100" t="n">
        <x:f>MAX(0,F65-M65)</x:f>
        <x:v>1.4</x:v>
      </x:c>
      <x:c r="O65" s="100" t="n">
        <x:f>IF(L65=0,0,IF(N65=0,99,L65/N65))</x:f>
        <x:v>8.571428571428571</x:v>
      </x:c>
      <x:c r="P65" s="100" t="n">
        <x:v>3.8</x:v>
      </x:c>
      <x:c r="Q65" s="96" t="str">
        <x:f>IF(F65=0,"已删除",IF(L65=0,"无对白",IF(N65=0,"需跨镜",IF(O65&lt;=P65,"可执行",IF(O65&lt;=P65+0.4,"临界","需压词/跨镜")))))</x:f>
        <x:v>需压词/跨镜</x:v>
      </x:c>
      <x:c r="R65" s="99" t="str">
        <x:v>删除一次‘两人状态正常/北京确认’复述，画面用互检动作完成。</x:v>
      </x:c>
      <x:c r="S65" s="99" t="str">
        <x:v>F11、F1、F5、F6、F2、F3、F8</x:v>
      </x:c>
      <x:c r="T65" s="99" t="str">
        <x:v>挥手发生在安全检查之后。</x:v>
      </x:c>
    </x:row>
    <x:row r="66" ht="21.600000381469727" hidden="0" customHeight="1">
      <x:c r="A66" s="96" t="n">
        <x:v>8</x:v>
      </x:c>
      <x:c r="B66" s="96" t="str">
        <x:v>060</x:v>
      </x:c>
      <x:c r="C66" s="96" t="str">
        <x:v>08:04–08:11</x:v>
      </x:c>
      <x:c r="D66" s="97" t="n">
        <x:v>7</x:v>
      </x:c>
      <x:c r="E66" s="97" t="str">
        <x:v>保留</x:v>
      </x:c>
      <x:c r="F66" s="97" t="n">
        <x:v>7</x:v>
      </x:c>
      <x:c r="G66" s="98" t="n">
        <x:f>H65</x:f>
        <x:v>0.004733796296296295</x:v>
      </x:c>
      <x:c r="H66" s="98" t="n">
        <x:f>G66+F66/86400</x:f>
        <x:v>0.0048148148148148134</x:v>
      </x:c>
      <x:c r="I66" s="99" t="str">
        <x:v>宇航服相机／低机位</x:v>
      </x:c>
      <x:c r="J66" s="99" t="str">
        <x:v>两人从揽月外部取出折叠三脚架和便携月面相机，在着陆器侧前方安全距离固定并对准揽月与工作区。</x:v>
      </x:c>
      <x:c r="K66" s="99" t="str">
        <x:v>陈砚：‘月面相机固定。’ 杨凛：‘图像链路确认。’</x:v>
      </x:c>
      <x:c r="L66" s="100" t="n">
        <x:v>12</x:v>
      </x:c>
      <x:c r="M66" s="100" t="n">
        <x:v>3</x:v>
      </x:c>
      <x:c r="N66" s="100" t="n">
        <x:f>MAX(0,F66-M66)</x:f>
        <x:v>4</x:v>
      </x:c>
      <x:c r="O66" s="100" t="n">
        <x:f>IF(L66=0,0,IF(N66=0,99,L66/N66))</x:f>
        <x:v>3</x:v>
      </x:c>
      <x:c r="P66" s="100" t="n">
        <x:v>3.8</x:v>
      </x:c>
      <x:c r="Q66" s="96" t="str">
        <x:f>IF(F66=0,"已删除",IF(L66=0,"无对白",IF(N66=0,"需跨镜",IF(O66&lt;=P66,"可执行",IF(O66&lt;=P66+0.4,"临界","需压词/跨镜")))))</x:f>
        <x:v>可执行</x:v>
      </x:c>
      <x:c r="R66" s="99" t="str">
        <x:v>保留相机机械部署；校准和链路建立不要硬塞在同一7秒动作里。</x:v>
      </x:c>
      <x:c r="S66" s="99" t="str">
        <x:v>F11、F1、F5、F6、F2、F3、F8</x:v>
      </x:c>
      <x:c r="T66" s="99" t="str">
        <x:v>从下一场起，第三视角可由这台真实任务相机提供。</x:v>
      </x:c>
    </x:row>
    <x:row r="67" ht="21.600000381469727" hidden="0" customHeight="1">
      <x:c r="A67" s="96" t="n">
        <x:v>8</x:v>
      </x:c>
      <x:c r="B67" s="96" t="str">
        <x:v>060A</x:v>
      </x:c>
      <x:c r="C67" s="96" t="str">
        <x:v>—</x:v>
      </x:c>
      <x:c r="D67" s="97" t="n">
        <x:v>0</x:v>
      </x:c>
      <x:c r="E67" s="97" t="str">
        <x:v>新增</x:v>
      </x:c>
      <x:c r="F67" s="97" t="n">
        <x:v>3</x:v>
      </x:c>
      <x:c r="G67" s="98" t="n">
        <x:f>H66</x:f>
        <x:v>0.0048148148148148134</x:v>
      </x:c>
      <x:c r="H67" s="98" t="n">
        <x:f>G67+F67/86400</x:f>
        <x:v>0.004849537037037036</x:v>
      </x:c>
      <x:c r="I67" s="99" t="str">
        <x:v>任务链路图卡／飞控副屏</x:v>
      </x:c>
      <x:c r="J67" s="99" t="str">
        <x:v>后期图卡明确：宇航服与便携相机经本地射频接入揽月，揽月建立月地高速光学下行；关键测控与语音仍由射频承载。</x:v>
      </x:c>
      <x:c r="K67" s="99" t="str">
        <x:v>无新增对白；只保留任务通信底轨。</x:v>
      </x:c>
      <x:c r="L67" s="100" t="n">
        <x:v>0</x:v>
      </x:c>
      <x:c r="M67" s="100" t="n">
        <x:v>2</x:v>
      </x:c>
      <x:c r="N67" s="100" t="n">
        <x:f>MAX(0,F67-M67)</x:f>
        <x:v>1</x:v>
      </x:c>
      <x:c r="O67" s="100" t="n">
        <x:f>IF(L67=0,0,IF(N67=0,99,L67/N67))</x:f>
        <x:v>0</x:v>
      </x:c>
      <x:c r="P67" s="100" t="n">
        <x:v>3.8</x:v>
      </x:c>
      <x:c r="Q67" s="96" t="str">
        <x:f>IF(F67=0,"已删除",IF(L67=0,"无对白",IF(N67=0,"需跨镜",IF(O67&lt;=P67,"可执行",IF(O67&lt;=P67+0.4,"临界","需压词/跨镜")))))</x:f>
        <x:v>无对白</x:v>
      </x:c>
      <x:c r="R67" s="99" t="str">
        <x:v>新增3秒链路图卡，分离‘本地射频接入’与‘月地光学下行’概念。</x:v>
      </x:c>
      <x:c r="S67" s="99" t="str">
        <x:v>F11、F1、F5、F6、F2、F3、F8</x:v>
      </x:c>
      <x:c r="T67" s="99" t="str">
        <x:v>不让便携相机直接向地球发射激光；光链不替代射频安全链。</x:v>
      </x:c>
    </x:row>
    <x:row r="68" ht="21.600000381469727" hidden="0" customHeight="1">
      <x:c r="A68" s="96" t="n">
        <x:v>9</x:v>
      </x:c>
      <x:c r="B68" s="96" t="str">
        <x:v>061</x:v>
      </x:c>
      <x:c r="C68" s="96" t="str">
        <x:v>08:11–08:17</x:v>
      </x:c>
      <x:c r="D68" s="97" t="n">
        <x:v>6</x:v>
      </x:c>
      <x:c r="E68" s="97" t="str">
        <x:v>压缩</x:v>
      </x:c>
      <x:c r="F68" s="97" t="n">
        <x:v>5</x:v>
      </x:c>
      <x:c r="G68" s="98" t="n">
        <x:f>H67</x:f>
        <x:v>0.004849537037037036</x:v>
      </x:c>
      <x:c r="H68" s="98" t="n">
        <x:f>G68+F68/86400</x:f>
        <x:v>0.004907407407407406</x:v>
      </x:c>
      <x:c r="I68" s="99" t="str">
        <x:v>便携月面相机固定全景</x:v>
      </x:c>
      <x:c r="J68" s="99" t="str">
        <x:v>两名航天员、完整揽月和工作区同时入画；陈砚在相机前做链路手势，杨凛转向着陆腿。</x:v>
      </x:c>
      <x:c r="K68" s="99" t="str">
        <x:v>北京：‘月面固定图像清晰。’</x:v>
      </x:c>
      <x:c r="L68" s="100" t="n">
        <x:v>8</x:v>
      </x:c>
      <x:c r="M68" s="100" t="n">
        <x:v>1</x:v>
      </x:c>
      <x:c r="N68" s="100" t="n">
        <x:f>MAX(0,F68-M68)</x:f>
        <x:v>4</x:v>
      </x:c>
      <x:c r="O68" s="100" t="n">
        <x:f>IF(L68=0,0,IF(N68=0,99,L68/N68))</x:f>
        <x:v>2</x:v>
      </x:c>
      <x:c r="P68" s="100" t="n">
        <x:v>3.8</x:v>
      </x:c>
      <x:c r="Q68" s="96" t="str">
        <x:f>IF(F68=0,"已删除",IF(L68=0,"无对白",IF(N68=0,"需跨镜",IF(O68&lt;=P68,"可执行",IF(O68&lt;=P68+0.4,"临界","需压词/跨镜")))))</x:f>
        <x:v>可执行</x:v>
      </x:c>
      <x:c r="R68" s="99" t="str">
        <x:v>固定画面建立后只报‘图像清晰’，不要重复整条链路说明。</x:v>
      </x:c>
      <x:c r="S68" s="99" t="str">
        <x:v>F11、F1、F5、F6、F2、F3、F8</x:v>
      </x:c>
      <x:c r="T68" s="99" t="str">
        <x:v>第一次使用真实部署的第三视角。</x:v>
      </x:c>
    </x:row>
    <x:row r="69" ht="21.600000381469727" hidden="0" customHeight="1">
      <x:c r="A69" s="96" t="n">
        <x:v>9</x:v>
      </x:c>
      <x:c r="B69" s="96" t="str">
        <x:v>061A</x:v>
      </x:c>
      <x:c r="C69" s="96" t="str">
        <x:v>—</x:v>
      </x:c>
      <x:c r="D69" s="97" t="n">
        <x:v>0</x:v>
      </x:c>
      <x:c r="E69" s="97" t="str">
        <x:v>新增</x:v>
      </x:c>
      <x:c r="F69" s="97" t="n">
        <x:v>5</x:v>
      </x:c>
      <x:c r="G69" s="98" t="n">
        <x:f>H68</x:f>
        <x:v>0.004907407407407406</x:v>
      </x:c>
      <x:c r="H69" s="98" t="n">
        <x:f>G69+F69/86400</x:f>
        <x:v>0.004965277777777777</x:v>
      </x:c>
      <x:c r="I69" s="99" t="str">
        <x:v>飞控副屏／月面固定画面交叉</x:v>
      </x:c>
      <x:c r="J69" s="99" t="str">
        <x:v>高清月面画面短暂停帧，射频语音和遥测持续；备用光学地面站接续后，缓存画面补传恢复。</x:v>
      </x:c>
      <x:c r="K69" s="99" t="str">
        <x:v>北京内部口令：‘光链转站，射频正常。’</x:v>
      </x:c>
      <x:c r="L69" s="100" t="n">
        <x:v>8</x:v>
      </x:c>
      <x:c r="M69" s="100" t="n">
        <x:v>1</x:v>
      </x:c>
      <x:c r="N69" s="100" t="n">
        <x:f>MAX(0,F69-M69)</x:f>
        <x:v>4</x:v>
      </x:c>
      <x:c r="O69" s="100" t="n">
        <x:f>IF(L69=0,0,IF(N69=0,99,L69/N69))</x:f>
        <x:v>2</x:v>
      </x:c>
      <x:c r="P69" s="100" t="n">
        <x:v>3.8</x:v>
      </x:c>
      <x:c r="Q69" s="96" t="str">
        <x:f>IF(F69=0,"已删除",IF(L69=0,"无对白",IF(N69=0,"需跨镜",IF(O69&lt;=P69,"可执行",IF(O69&lt;=P69+0.4,"临界","需压词/跨镜")))))</x:f>
        <x:v>可执行</x:v>
      </x:c>
      <x:c r="R69" s="99" t="str">
        <x:v>新增光链转站小波动：高清画面停帧、射频仍正常、缓存补传。</x:v>
      </x:c>
      <x:c r="S69" s="99" t="str">
        <x:v>F11、F1、F5、F6、F2、F3、F8</x:v>
      </x:c>
      <x:c r="T69" s="99" t="str">
        <x:v>唯一一次非灾难性链路波动；不影响关键操作，不宣称激光消除地月时延。</x:v>
      </x:c>
    </x:row>
    <x:row r="70" ht="21.600000381469727" hidden="0" customHeight="1">
      <x:c r="A70" s="96" t="n">
        <x:v>9</x:v>
      </x:c>
      <x:c r="B70" s="96" t="str">
        <x:v>062</x:v>
      </x:c>
      <x:c r="C70" s="96" t="str">
        <x:v>08:17–08:24</x:v>
      </x:c>
      <x:c r="D70" s="97" t="n">
        <x:v>7</x:v>
      </x:c>
      <x:c r="E70" s="97" t="str">
        <x:v>压缩</x:v>
      </x:c>
      <x:c r="F70" s="97" t="n">
        <x:v>6</x:v>
      </x:c>
      <x:c r="G70" s="98" t="n">
        <x:f>H69</x:f>
        <x:v>0.004965277777777777</x:v>
      </x:c>
      <x:c r="H70" s="98" t="n">
        <x:f>G70+F70/86400</x:f>
        <x:v>0.005034722222222221</x:v>
      </x:c>
      <x:c r="I70" s="99" t="str">
        <x:v>宇航服相机／着陆腿侧</x:v>
      </x:c>
      <x:c r="J70" s="99" t="str">
        <x:v>杨凛巡视着陆腿、喷流影响区和舱体外观；陈砚用样品袋完成近舱紧急样品采集。</x:v>
      </x:c>
      <x:c r="K70" s="99" t="str">
        <x:v>两人按检查清单简短回报。</x:v>
      </x:c>
      <x:c r="L70" s="100" t="n">
        <x:v>0</x:v>
      </x:c>
      <x:c r="M70" s="100" t="n">
        <x:v>2</x:v>
      </x:c>
      <x:c r="N70" s="100" t="n">
        <x:f>MAX(0,F70-M70)</x:f>
        <x:v>4</x:v>
      </x:c>
      <x:c r="O70" s="100" t="n">
        <x:f>IF(L70=0,0,IF(N70=0,99,L70/N70))</x:f>
        <x:v>0</x:v>
      </x:c>
      <x:c r="P70" s="100" t="n">
        <x:v>3.8</x:v>
      </x:c>
      <x:c r="Q70" s="96" t="str">
        <x:f>IF(F70=0,"已删除",IF(L70=0,"无对白",IF(N70=0,"需跨镜",IF(O70&lt;=P70,"可执行",IF(O70&lt;=P70+0.4,"临界","需压词/跨镜")))))</x:f>
        <x:v>无对白</x:v>
      </x:c>
      <x:c r="R70" s="99" t="str">
        <x:v>压缩头尾和重复确认；保留“杨凛巡视着陆腿、喷流影响区和舱体外观；陈砚用样品袋完”这一任务功能。</x:v>
      </x:c>
      <x:c r="S70" s="99" t="str">
        <x:v>F11、F1、F5、F6、F2、F3、F8</x:v>
      </x:c>
      <x:c r="T70" s="99" t="str">
        <x:v>先保证安全与最低限度样品，再展开后续任务。</x:v>
      </x:c>
    </x:row>
    <x:row r="71" ht="21.600000381469727" hidden="0" customHeight="1">
      <x:c r="A71" s="96" t="n">
        <x:v>9</x:v>
      </x:c>
      <x:c r="B71" s="96" t="str">
        <x:v>063</x:v>
      </x:c>
      <x:c r="C71" s="96" t="str">
        <x:v>08:24–08:31</x:v>
      </x:c>
      <x:c r="D71" s="97" t="n">
        <x:v>7</x:v>
      </x:c>
      <x:c r="E71" s="97" t="str">
        <x:v>压缩</x:v>
      </x:c>
      <x:c r="F71" s="97" t="n">
        <x:v>6</x:v>
      </x:c>
      <x:c r="G71" s="98" t="n">
        <x:f>H70</x:f>
        <x:v>0.005034722222222221</x:v>
      </x:c>
      <x:c r="H71" s="98" t="n">
        <x:f>G71+F71/86400</x:f>
        <x:v>0.005104166666666665</x:v>
      </x:c>
      <x:c r="I71" s="99" t="str">
        <x:v>便携月面相机中远景</x:v>
      </x:c>
      <x:c r="J71" s="99" t="str">
        <x:v>两人从揽月外部释放月球车与采样箱，随后展开折叠式国旗展示装置。</x:v>
      </x:c>
      <x:c r="K71" s="99" t="str">
        <x:v>只有无线电；外部无机械传播声。</x:v>
      </x:c>
      <x:c r="L71" s="100" t="n">
        <x:v>0</x:v>
      </x:c>
      <x:c r="M71" s="100" t="n">
        <x:v>2</x:v>
      </x:c>
      <x:c r="N71" s="100" t="n">
        <x:f>MAX(0,F71-M71)</x:f>
        <x:v>4</x:v>
      </x:c>
      <x:c r="O71" s="100" t="n">
        <x:f>IF(L71=0,0,IF(N71=0,99,L71/N71))</x:f>
        <x:v>0</x:v>
      </x:c>
      <x:c r="P71" s="100" t="n">
        <x:v>3.8</x:v>
      </x:c>
      <x:c r="Q71" s="96" t="str">
        <x:f>IF(F71=0,"已删除",IF(L71=0,"无对白",IF(N71=0,"需跨镜",IF(O71&lt;=P71,"可执行",IF(O71&lt;=P71+0.4,"临界","需压词/跨镜")))))</x:f>
        <x:v>无对白</x:v>
      </x:c>
      <x:c r="R71" s="99" t="str">
        <x:v>压缩头尾和重复确认；保留“两人从揽月外部释放月球车与采样箱，随后展开折叠式国旗”这一任务功能。</x:v>
      </x:c>
      <x:c r="S71" s="99" t="str">
        <x:v>F11、F1、F5、F6、F2、F3、F8</x:v>
      </x:c>
      <x:c r="T71" s="99" t="str">
        <x:v>国旗装置保持工程化和可操作尺度。</x:v>
      </x:c>
    </x:row>
    <x:row r="72" ht="21.600000381469727" hidden="0" customHeight="1">
      <x:c r="A72" s="96" t="n">
        <x:v>9</x:v>
      </x:c>
      <x:c r="B72" s="96" t="str">
        <x:v>064</x:v>
      </x:c>
      <x:c r="C72" s="96" t="str">
        <x:v>08:31–08:40</x:v>
      </x:c>
      <x:c r="D72" s="97" t="n">
        <x:v>9</x:v>
      </x:c>
      <x:c r="E72" s="97" t="str">
        <x:v>保留</x:v>
      </x:c>
      <x:c r="F72" s="97" t="n">
        <x:v>9</x:v>
      </x:c>
      <x:c r="G72" s="98" t="n">
        <x:f>H71</x:f>
        <x:v>0.005104166666666665</x:v>
      </x:c>
      <x:c r="H72" s="98" t="n">
        <x:f>G72+F72/86400</x:f>
        <x:v>0.005208333333333331</x:v>
      </x:c>
      <x:c r="I72" s="99" t="str">
        <x:v>便携月面相机固定全景</x:v>
      </x:c>
      <x:c r="J72" s="99" t="str">
        <x:v>五星红旗在横杆支撑下完整展开，两名航天员分立两侧，揽月位于后方。</x:v>
      </x:c>
      <x:c r="K72" s="99" t="str">
        <x:v>杨凛：‘国旗展示完成。’ 北京延迟后确认，飞控传来短促掌声。</x:v>
      </x:c>
      <x:c r="L72" s="100" t="n">
        <x:v>6</x:v>
      </x:c>
      <x:c r="M72" s="100" t="n">
        <x:v>3</x:v>
      </x:c>
      <x:c r="N72" s="100" t="n">
        <x:f>MAX(0,F72-M72)</x:f>
        <x:v>6</x:v>
      </x:c>
      <x:c r="O72" s="100" t="n">
        <x:f>IF(L72=0,0,IF(N72=0,99,L72/N72))</x:f>
        <x:v>1</x:v>
      </x:c>
      <x:c r="P72" s="100" t="n">
        <x:v>3.8</x:v>
      </x:c>
      <x:c r="Q72" s="96" t="str">
        <x:f>IF(F72=0,"已删除",IF(L72=0,"无对白",IF(N72=0,"需跨镜",IF(O72&lt;=P72,"可执行",IF(O72&lt;=P72+0.4,"临界","需压词/跨镜")))))</x:f>
        <x:v>可执行</x:v>
      </x:c>
      <x:c r="R72" s="99" t="str">
        <x:v>国旗展开作为视觉停顿保留；地面掌声不覆盖月面通信延迟。</x:v>
      </x:c>
      <x:c r="S72" s="99" t="str">
        <x:v>F11、F1、F5、F6、F2、F3、F8、F12</x:v>
      </x:c>
      <x:c r="T72" s="99" t="str">
        <x:v>月面无风，旗面不自行飘动。</x:v>
      </x:c>
    </x:row>
    <x:row r="73" ht="21.600000381469727" hidden="0" customHeight="1">
      <x:c r="A73" s="96" t="n">
        <x:v>9</x:v>
      </x:c>
      <x:c r="B73" s="96" t="str">
        <x:v>065</x:v>
      </x:c>
      <x:c r="C73" s="96" t="str">
        <x:v>08:40–08:51</x:v>
      </x:c>
      <x:c r="D73" s="97" t="n">
        <x:v>11</x:v>
      </x:c>
      <x:c r="E73" s="97" t="str">
        <x:v>压缩</x:v>
      </x:c>
      <x:c r="F73" s="97" t="n">
        <x:v>7</x:v>
      </x:c>
      <x:c r="G73" s="98" t="n">
        <x:f>H72</x:f>
        <x:v>0.005208333333333331</x:v>
      </x:c>
      <x:c r="H73" s="98" t="n">
        <x:f>G73+F73/86400</x:f>
        <x:v>0.00528935185185185</x:v>
      </x:c>
      <x:c r="I73" s="99" t="str">
        <x:v>媒体区记者近景</x:v>
      </x:c>
      <x:c r="J73" s="99" t="str">
        <x:v>林知夏身后大屏是国旗、航天员和揽月同框画面。</x:v>
      </x:c>
      <x:c r="K73" s="99" t="str">
        <x:v>林知夏：‘中国航天员第一次在月球上留下脚印。眼前这面国旗，沿用了已在月面任务中验证的玄武岩纤维材料路线。’</x:v>
      </x:c>
      <x:c r="L73" s="100" t="n">
        <x:v>44</x:v>
      </x:c>
      <x:c r="M73" s="100" t="n">
        <x:v>2</x:v>
      </x:c>
      <x:c r="N73" s="100" t="n">
        <x:f>MAX(0,F73-M73)</x:f>
        <x:v>5</x:v>
      </x:c>
      <x:c r="O73" s="100" t="n">
        <x:f>IF(L73=0,0,IF(N73=0,99,L73/N73))</x:f>
        <x:v>8.8</x:v>
      </x:c>
      <x:c r="P73" s="100" t="n">
        <x:v>3.2</x:v>
      </x:c>
      <x:c r="Q73" s="96" t="str">
        <x:f>IF(F73=0,"已删除",IF(L73=0,"无对白",IF(N73=0,"需跨镜",IF(O73&lt;=P73,"可执行",IF(O73&lt;=P73+0.4,"临界","需压词/跨镜")))))</x:f>
        <x:v>需压词/跨镜</x:v>
      </x:c>
      <x:c r="R73" s="99" t="str">
        <x:v>只保留玄武岩纤维材料一句；‘第一次留下脚印’已由前场画面证明。</x:v>
      </x:c>
      <x:c r="S73" s="99" t="str">
        <x:v>F11、F1、F5、F6、F2、F3、F8、F12</x:v>
      </x:c>
      <x:c r="T73" s="99" t="str">
        <x:v>载人登月国旗的具体实现仍属于艺术推演；不写成官方已公布方案。</x:v>
      </x:c>
    </x:row>
    <x:row r="74" ht="21.600000381469727" hidden="0" customHeight="1">
      <x:c r="A74" s="96" t="n">
        <x:v>9</x:v>
      </x:c>
      <x:c r="B74" s="96" t="str">
        <x:v>066</x:v>
      </x:c>
      <x:c r="C74" s="96" t="str">
        <x:v>08:51–09:05</x:v>
      </x:c>
      <x:c r="D74" s="97" t="n">
        <x:v>14</x:v>
      </x:c>
      <x:c r="E74" s="97" t="str">
        <x:v>压缩</x:v>
      </x:c>
      <x:c r="F74" s="97" t="n">
        <x:v>6</x:v>
      </x:c>
      <x:c r="G74" s="98" t="n">
        <x:f>H73</x:f>
        <x:v>0.00528935185185185</x:v>
      </x:c>
      <x:c r="H74" s="98" t="n">
        <x:f>G74+F74/86400</x:f>
        <x:v>0.005358796296296294</x:v>
      </x:c>
      <x:c r="I74" s="99" t="str">
        <x:v>媒体区专家双人</x:v>
      </x:c>
      <x:c r="J74" s="99" t="str">
        <x:v>顾青岚指向着陆区地质图，图上显示附近不同颜色的地质单元和短程活动范围。</x:v>
      </x:c>
      <x:c r="K74" s="99" t="str">
        <x:v>顾青岚：‘波得月溪位于月球正面赤道附近，多种地质单元集中。在较短行程内，就能兼顾工程可达性和科学价值。’</x:v>
      </x:c>
      <x:c r="L74" s="100" t="n">
        <x:v>42</x:v>
      </x:c>
      <x:c r="M74" s="100" t="n">
        <x:v>2</x:v>
      </x:c>
      <x:c r="N74" s="100" t="n">
        <x:f>MAX(0,F74-M74)</x:f>
        <x:v>4</x:v>
      </x:c>
      <x:c r="O74" s="100" t="n">
        <x:f>IF(L74=0,0,IF(N74=0,99,L74/N74))</x:f>
        <x:v>10.5</x:v>
      </x:c>
      <x:c r="P74" s="100" t="n">
        <x:v>3.2</x:v>
      </x:c>
      <x:c r="Q74" s="96" t="str">
        <x:f>IF(F74=0,"已删除",IF(L74=0,"无对白",IF(N74=0,"需跨镜",IF(O74&lt;=P74,"可执行",IF(O74&lt;=P74+0.4,"临界","需压词/跨镜")))))</x:f>
        <x:v>需压词/跨镜</x:v>
      </x:c>
      <x:c r="R74" s="99" t="str">
        <x:v>地质价值旁白跨镜066-067；正文压到‘多地质单元、短程可达’。</x:v>
      </x:c>
      <x:c r="S74" s="99" t="str">
        <x:v>F11、F1、F5、F6、F2、F3、F8</x:v>
      </x:c>
      <x:c r="T74" s="99" t="str">
        <x:v>项目坐标是艺术锁定点，不说成官方着陆点。</x:v>
      </x:c>
    </x:row>
    <x:row r="75" ht="21.600000381469727" hidden="0" customHeight="1">
      <x:c r="A75" s="96" t="n">
        <x:v>9</x:v>
      </x:c>
      <x:c r="B75" s="96" t="str">
        <x:v>067</x:v>
      </x:c>
      <x:c r="C75" s="96" t="str">
        <x:v>09:05–09:11</x:v>
      </x:c>
      <x:c r="D75" s="97" t="n">
        <x:v>6</x:v>
      </x:c>
      <x:c r="E75" s="97" t="str">
        <x:v>压缩</x:v>
      </x:c>
      <x:c r="F75" s="97" t="n">
        <x:v>5</x:v>
      </x:c>
      <x:c r="G75" s="98" t="n">
        <x:f>H74</x:f>
        <x:v>0.005358796296296294</x:v>
      </x:c>
      <x:c r="H75" s="98" t="n">
        <x:f>G75+F75/86400</x:f>
        <x:v>0.005416666666666664</x:v>
      </x:c>
      <x:c r="I75" s="99" t="str">
        <x:v>地质图卡／任务路线</x:v>
      </x:c>
      <x:c r="J75" s="99" t="str">
        <x:v>路线依次标出表取样、岩芯钻取和科学载荷部署点。</x:v>
      </x:c>
      <x:c r="K75" s="99" t="str">
        <x:v>顾青岚画外：‘两人将完成表取样、岩芯钻取和科学载荷部署。’</x:v>
      </x:c>
      <x:c r="L75" s="100" t="n">
        <x:v>19</x:v>
      </x:c>
      <x:c r="M75" s="100" t="n">
        <x:v>1</x:v>
      </x:c>
      <x:c r="N75" s="100" t="n">
        <x:f>MAX(0,F75-M75)</x:f>
        <x:v>4</x:v>
      </x:c>
      <x:c r="O75" s="100" t="n">
        <x:f>IF(L75=0,0,IF(N75=0,99,L75/N75))</x:f>
        <x:v>4.75</x:v>
      </x:c>
      <x:c r="P75" s="100" t="n">
        <x:v>3.2</x:v>
      </x:c>
      <x:c r="Q75" s="96" t="str">
        <x:f>IF(F75=0,"已删除",IF(L75=0,"无对白",IF(N75=0,"需跨镜",IF(O75&lt;=P75,"可执行",IF(O75&lt;=P75+0.4,"临界","需压词/跨镜")))))</x:f>
        <x:v>需压词/跨镜</x:v>
      </x:c>
      <x:c r="R75" s="99" t="str">
        <x:v>科学任务清单交给图卡，不再完整口播。</x:v>
      </x:c>
      <x:c r="S75" s="99" t="str">
        <x:v>F11、F1、F5、F6、F2、F3、F8</x:v>
      </x:c>
      <x:c r="T75" s="99" t="str">
        <x:v>图卡文字由后期制作。</x:v>
      </x:c>
    </x:row>
    <x:row r="76" ht="21.600000381469727" hidden="0" customHeight="1">
      <x:c r="A76" s="96" t="n">
        <x:v>9</x:v>
      </x:c>
      <x:c r="B76" s="96" t="str">
        <x:v>068</x:v>
      </x:c>
      <x:c r="C76" s="96" t="str">
        <x:v>09:11–09:16</x:v>
      </x:c>
      <x:c r="D76" s="97" t="n">
        <x:v>5</x:v>
      </x:c>
      <x:c r="E76" s="97" t="str">
        <x:v>压缩</x:v>
      </x:c>
      <x:c r="F76" s="97" t="n">
        <x:v>3</x:v>
      </x:c>
      <x:c r="G76" s="98" t="n">
        <x:f>H75</x:f>
        <x:v>0.005416666666666664</x:v>
      </x:c>
      <x:c r="H76" s="98" t="n">
        <x:f>G76+F76/86400</x:f>
        <x:v>0.005451388888888887</x:v>
      </x:c>
      <x:c r="I76" s="99" t="str">
        <x:v>月球车侧向固定相机</x:v>
      </x:c>
      <x:c r="J76" s="99" t="str">
        <x:v>两名航天员将采样箱固定到月球车，沿预定路线离开着陆器近区。</x:v>
      </x:c>
      <x:c r="K76" s="99" t="str">
        <x:v>杨凛：‘开始主舱外任务。’</x:v>
      </x:c>
      <x:c r="L76" s="100" t="n">
        <x:v>7</x:v>
      </x:c>
      <x:c r="M76" s="100" t="n">
        <x:v>1</x:v>
      </x:c>
      <x:c r="N76" s="100" t="n">
        <x:f>MAX(0,F76-M76)</x:f>
        <x:v>2</x:v>
      </x:c>
      <x:c r="O76" s="100" t="n">
        <x:f>IF(L76=0,0,IF(N76=0,99,L76/N76))</x:f>
        <x:v>3.5</x:v>
      </x:c>
      <x:c r="P76" s="100" t="n">
        <x:v>3.8</x:v>
      </x:c>
      <x:c r="Q76" s="96" t="str">
        <x:f>IF(F76=0,"已删除",IF(L76=0,"无对白",IF(N76=0,"需跨镜",IF(O76&lt;=P76,"可执行",IF(O76&lt;=P76+0.4,"临界","需压词/跨镜")))))</x:f>
        <x:v>可执行</x:v>
      </x:c>
      <x:c r="R76" s="99" t="str">
        <x:v>作为进入长时间EVA的动作点，保留一句开始口令即可。</x:v>
      </x:c>
      <x:c r="S76" s="99" t="str">
        <x:v>F11、F1、F5、F6、F2、F3、F8</x:v>
      </x:c>
      <x:c r="T76" s="99" t="str">
        <x:v>进入约7小时40分的主舱外活动。</x:v>
      </x:c>
    </x:row>
    <x:row r="77" ht="21.600000381469727" hidden="0" customHeight="1">
      <x:c r="A77" s="96" t="n">
        <x:v>10</x:v>
      </x:c>
      <x:c r="B77" s="96" t="str">
        <x:v>069</x:v>
      </x:c>
      <x:c r="C77" s="96" t="str">
        <x:v>09:16–09:24</x:v>
      </x:c>
      <x:c r="D77" s="97" t="n">
        <x:v>8</x:v>
      </x:c>
      <x:c r="E77" s="97" t="str">
        <x:v>压缩</x:v>
      </x:c>
      <x:c r="F77" s="97" t="n">
        <x:v>7</x:v>
      </x:c>
      <x:c r="G77" s="98" t="n">
        <x:f>H76</x:f>
        <x:v>0.005451388888888887</x:v>
      </x:c>
      <x:c r="H77" s="98" t="n">
        <x:f>G77+F77/86400</x:f>
        <x:v>0.005532407407407405</x:v>
      </x:c>
      <x:c r="I77" s="99" t="str">
        <x:v>便携月面相机固定延时／后期时间码</x:v>
      </x:c>
      <x:c r="J77" s="99" t="str">
        <x:v>画面保留揽月、国旗和工作区；两名航天员与月球车多次进出画面。时间码由T+06:20推进到T+08:20。</x:v>
      </x:c>
      <x:c r="K77" s="99" t="str">
        <x:v>无配乐；仅保留压缩前后两段无线电。</x:v>
      </x:c>
      <x:c r="L77" s="100" t="n">
        <x:v>0</x:v>
      </x:c>
      <x:c r="M77" s="100" t="n">
        <x:v>2</x:v>
      </x:c>
      <x:c r="N77" s="100" t="n">
        <x:f>MAX(0,F77-M77)</x:f>
        <x:v>5</x:v>
      </x:c>
      <x:c r="O77" s="100" t="n">
        <x:f>IF(L77=0,0,IF(N77=0,99,L77/N77))</x:f>
        <x:v>0</x:v>
      </x:c>
      <x:c r="P77" s="100" t="n">
        <x:v>3.8</x:v>
      </x:c>
      <x:c r="Q77" s="96" t="str">
        <x:f>IF(F77=0,"已删除",IF(L77=0,"无对白",IF(N77=0,"需跨镜",IF(O77&lt;=P77,"可执行",IF(O77&lt;=P77+0.4,"临界","需压词/跨镜")))))</x:f>
        <x:v>无对白</x:v>
      </x:c>
      <x:c r="R77" s="99" t="str">
        <x:v>压缩头尾和重复确认；保留“画面保留揽月、国旗和工作区；两名航天员与月球车多次进”这一任务功能。</x:v>
      </x:c>
      <x:c r="S77" s="99" t="str">
        <x:v>F11、F1、F5、F6、F2、F3、F8</x:v>
      </x:c>
      <x:c r="T77" s="99" t="str">
        <x:v>时间压缩由后期完成，不把月面外部动作声带入。</x:v>
      </x:c>
    </x:row>
    <x:row r="78" ht="21.600000381469727" hidden="0" customHeight="1">
      <x:c r="A78" s="96" t="n">
        <x:v>10</x:v>
      </x:c>
      <x:c r="B78" s="96" t="str">
        <x:v>070</x:v>
      </x:c>
      <x:c r="C78" s="96" t="str">
        <x:v>09:24–09:32</x:v>
      </x:c>
      <x:c r="D78" s="97" t="n">
        <x:v>8</x:v>
      </x:c>
      <x:c r="E78" s="97" t="str">
        <x:v>压缩</x:v>
      </x:c>
      <x:c r="F78" s="97" t="n">
        <x:v>7</x:v>
      </x:c>
      <x:c r="G78" s="98" t="n">
        <x:f>H77</x:f>
        <x:v>0.005532407407407405</x:v>
      </x:c>
      <x:c r="H78" s="98" t="n">
        <x:f>G78+F78/86400</x:f>
        <x:v>0.005613425925925924</x:v>
      </x:c>
      <x:c r="I78" s="99" t="str">
        <x:v>月球车前向相机</x:v>
      </x:c>
      <x:c r="J78" s="99" t="str">
        <x:v>月球车以低速驶过浅坑与细碎岩块，远处揽月和国旗逐渐缩小。</x:v>
      </x:c>
      <x:c r="K78" s="99" t="str">
        <x:v>服内通话：‘前方坡度可接受，保持低速。’</x:v>
      </x:c>
      <x:c r="L78" s="100" t="n">
        <x:v>11</x:v>
      </x:c>
      <x:c r="M78" s="100" t="n">
        <x:v>1</x:v>
      </x:c>
      <x:c r="N78" s="100" t="n">
        <x:f>MAX(0,F78-M78)</x:f>
        <x:v>6</x:v>
      </x:c>
      <x:c r="O78" s="100" t="n">
        <x:f>IF(L78=0,0,IF(N78=0,99,L78/N78))</x:f>
        <x:v>1.8333333333333333</x:v>
      </x:c>
      <x:c r="P78" s="100" t="n">
        <x:v>3.8</x:v>
      </x:c>
      <x:c r="Q78" s="96" t="str">
        <x:f>IF(F78=0,"已删除",IF(L78=0,"无对白",IF(N78=0,"需跨镜",IF(O78&lt;=P78,"可执行",IF(O78&lt;=P78+0.4,"临界","需压词/跨镜")))))</x:f>
        <x:v>可执行</x:v>
      </x:c>
      <x:c r="R78" s="99" t="str">
        <x:v>压缩头尾和重复确认；保留“月球车以低速驶过浅坑与细碎岩块，远处揽月和国旗逐渐缩”这一任务功能。</x:v>
      </x:c>
      <x:c r="S78" s="99" t="str">
        <x:v>F11、F1、F5、F6、F2、F3、F8</x:v>
      </x:c>
      <x:c r="T78" s="99" t="str">
        <x:v>车辆运动无外部轰鸣和轮胎声。</x:v>
      </x:c>
    </x:row>
    <x:row r="79" ht="21.600000381469727" hidden="0" customHeight="1">
      <x:c r="A79" s="96" t="n">
        <x:v>10</x:v>
      </x:c>
      <x:c r="B79" s="96" t="str">
        <x:v>071</x:v>
      </x:c>
      <x:c r="C79" s="96" t="str">
        <x:v>09:32–09:40</x:v>
      </x:c>
      <x:c r="D79" s="97" t="n">
        <x:v>8</x:v>
      </x:c>
      <x:c r="E79" s="97" t="str">
        <x:v>保留</x:v>
      </x:c>
      <x:c r="F79" s="97" t="n">
        <x:v>8</x:v>
      </x:c>
      <x:c r="G79" s="98" t="n">
        <x:f>H78</x:f>
        <x:v>0.005613425925925924</x:v>
      </x:c>
      <x:c r="H79" s="98" t="n">
        <x:f>G79+F79/86400</x:f>
        <x:v>0.0057060185185185165</x:v>
      </x:c>
      <x:c r="I79" s="99" t="str">
        <x:v>宇航服相机／第一工作点</x:v>
      </x:c>
      <x:c r="J79" s="99" t="str">
        <x:v>陈砚夹取表层样品，杨凛拍摄样品原位、方向标和附近地形。</x:v>
      </x:c>
      <x:c r="K79" s="99" t="str">
        <x:v>陈砚：‘样品原位记录完成，进入封装。’</x:v>
      </x:c>
      <x:c r="L79" s="100" t="n">
        <x:v>12</x:v>
      </x:c>
      <x:c r="M79" s="100" t="n">
        <x:v>1</x:v>
      </x:c>
      <x:c r="N79" s="100" t="n">
        <x:f>MAX(0,F79-M79)</x:f>
        <x:v>7</x:v>
      </x:c>
      <x:c r="O79" s="100" t="n">
        <x:f>IF(L79=0,0,IF(N79=0,99,L79/N79))</x:f>
        <x:v>1.7142857142857142</x:v>
      </x:c>
      <x:c r="P79" s="100" t="n">
        <x:v>3.8</x:v>
      </x:c>
      <x:c r="Q79" s="96" t="str">
        <x:f>IF(F79=0,"已删除",IF(L79=0,"无对白",IF(N79=0,"需跨镜",IF(O79&lt;=P79,"可执行",IF(O79&lt;=P79+0.4,"临界","需压词/跨镜")))))</x:f>
        <x:v>可执行</x:v>
      </x:c>
      <x:c r="R79" s="99" t="str">
        <x:v>把一个样品设为科研主事件：先原位记录，再决定是否追加采集。</x:v>
      </x:c>
      <x:c r="S79" s="99" t="str">
        <x:v>F11、F1、F5、F6、F2、F3、F8</x:v>
      </x:c>
      <x:c r="T79" s="99" t="str">
        <x:v>采样前先记录原位信息。</x:v>
      </x:c>
    </x:row>
    <x:row r="80" ht="21.600000381469727" hidden="0" customHeight="1">
      <x:c r="A80" s="96" t="n">
        <x:v>10</x:v>
      </x:c>
      <x:c r="B80" s="96" t="str">
        <x:v>072</x:v>
      </x:c>
      <x:c r="C80" s="96" t="str">
        <x:v>09:40–09:48</x:v>
      </x:c>
      <x:c r="D80" s="97" t="n">
        <x:v>8</x:v>
      </x:c>
      <x:c r="E80" s="97" t="str">
        <x:v>压缩</x:v>
      </x:c>
      <x:c r="F80" s="97" t="n">
        <x:v>7</x:v>
      </x:c>
      <x:c r="G80" s="98" t="n">
        <x:f>H79</x:f>
        <x:v>0.0057060185185185165</x:v>
      </x:c>
      <x:c r="H80" s="98" t="n">
        <x:f>G80+F80/86400</x:f>
        <x:v>0.005787037037037035</x:v>
      </x:c>
      <x:c r="I80" s="99" t="str">
        <x:v>月球车侧后固定相机</x:v>
      </x:c>
      <x:c r="J80" s="99" t="str">
        <x:v>两人在不同地貌交界处展开工具，背景中车轮轨迹和近坡地层次清楚。</x:v>
      </x:c>
      <x:c r="K80" s="99" t="str">
        <x:v>顾青岚画外：‘短距离跨过不同单元，可以建立更有价值的样品上下文。’</x:v>
      </x:c>
      <x:c r="L80" s="100" t="n">
        <x:v>23</x:v>
      </x:c>
      <x:c r="M80" s="100" t="n">
        <x:v>1</x:v>
      </x:c>
      <x:c r="N80" s="100" t="n">
        <x:f>MAX(0,F80-M80)</x:f>
        <x:v>6</x:v>
      </x:c>
      <x:c r="O80" s="100" t="n">
        <x:f>IF(L80=0,0,IF(N80=0,99,L80/N80))</x:f>
        <x:v>3.8333333333333335</x:v>
      </x:c>
      <x:c r="P80" s="100" t="n">
        <x:v>3.2</x:v>
      </x:c>
      <x:c r="Q80" s="96" t="str">
        <x:f>IF(F80=0,"已删除",IF(L80=0,"无对白",IF(N80=0,"需跨镜",IF(O80&lt;=P80,"可执行",IF(O80&lt;=P80+0.4,"临界","需压词/跨镜")))))</x:f>
        <x:v>需压词/跨镜</x:v>
      </x:c>
      <x:c r="R80" s="99" t="str">
        <x:v>专家画外压成一句，并服务于镜071的科学判断，不作泛科普。</x:v>
      </x:c>
      <x:c r="S80" s="99" t="str">
        <x:v>F11、F1、F5、F6、F2、F3、F8</x:v>
      </x:c>
      <x:c r="T80" s="99" t="str">
        <x:v>第三视角来自月球车固定相机。</x:v>
      </x:c>
    </x:row>
    <x:row r="81" ht="21.600000381469727" hidden="0" customHeight="1">
      <x:c r="A81" s="96" t="n">
        <x:v>10</x:v>
      </x:c>
      <x:c r="B81" s="96" t="str">
        <x:v>073</x:v>
      </x:c>
      <x:c r="C81" s="96" t="str">
        <x:v>09:48–09:57</x:v>
      </x:c>
      <x:c r="D81" s="97" t="n">
        <x:v>9</x:v>
      </x:c>
      <x:c r="E81" s="97" t="str">
        <x:v>压缩</x:v>
      </x:c>
      <x:c r="F81" s="97" t="n">
        <x:v>8</x:v>
      </x:c>
      <x:c r="G81" s="98" t="n">
        <x:f>H80</x:f>
        <x:v>0.005787037037037035</x:v>
      </x:c>
      <x:c r="H81" s="98" t="n">
        <x:f>G81+F81/86400</x:f>
        <x:v>0.005879629629629628</x:v>
      </x:c>
      <x:c r="I81" s="99" t="str">
        <x:v>宇航服相机／岩芯钻取</x:v>
      </x:c>
      <x:c r="J81" s="99" t="str">
        <x:v>杨凛稳定钻机，陈砚监看深度标记并接收岩芯套管。</x:v>
      </x:c>
      <x:c r="K81" s="99" t="str">
        <x:v>陈砚：‘岩芯段完整，准备密封。’</x:v>
      </x:c>
      <x:c r="L81" s="100" t="n">
        <x:v>9</x:v>
      </x:c>
      <x:c r="M81" s="100" t="n">
        <x:v>1</x:v>
      </x:c>
      <x:c r="N81" s="100" t="n">
        <x:f>MAX(0,F81-M81)</x:f>
        <x:v>7</x:v>
      </x:c>
      <x:c r="O81" s="100" t="n">
        <x:f>IF(L81=0,0,IF(N81=0,99,L81/N81))</x:f>
        <x:v>1.2857142857142858</x:v>
      </x:c>
      <x:c r="P81" s="100" t="n">
        <x:v>3.8</x:v>
      </x:c>
      <x:c r="Q81" s="96" t="str">
        <x:f>IF(F81=0,"已删除",IF(L81=0,"无对白",IF(N81=0,"需跨镜",IF(O81&lt;=P81,"可执行",IF(O81&lt;=P81+0.4,"临界","需压词/跨镜")))))</x:f>
        <x:v>可执行</x:v>
      </x:c>
      <x:c r="R81" s="99" t="str">
        <x:v>压缩头尾和重复确认；保留“杨凛稳定钻机，陈砚监看深度标记并接收岩芯套管。”这一任务功能。</x:v>
      </x:c>
      <x:c r="S81" s="99" t="str">
        <x:v>F11、F1、F5、F6、F2、F3、F8</x:v>
      </x:c>
      <x:c r="T81" s="99" t="str">
        <x:v>钻具声只通过服体结构传导和通信拾音体现。</x:v>
      </x:c>
    </x:row>
    <x:row r="82" ht="21.600000381469727" hidden="0" customHeight="1">
      <x:c r="A82" s="96" t="n">
        <x:v>10</x:v>
      </x:c>
      <x:c r="B82" s="96" t="str">
        <x:v>074</x:v>
      </x:c>
      <x:c r="C82" s="96" t="str">
        <x:v>09:57–10:06</x:v>
      </x:c>
      <x:c r="D82" s="97" t="n">
        <x:v>9</x:v>
      </x:c>
      <x:c r="E82" s="97" t="str">
        <x:v>压缩</x:v>
      </x:c>
      <x:c r="F82" s="97" t="n">
        <x:v>8</x:v>
      </x:c>
      <x:c r="G82" s="98" t="n">
        <x:f>H81</x:f>
        <x:v>0.005879629629629628</x:v>
      </x:c>
      <x:c r="H82" s="98" t="n">
        <x:f>G82+F82/86400</x:f>
        <x:v>0.005972222222222221</x:v>
      </x:c>
      <x:c r="I82" s="99" t="str">
        <x:v>宇航服与月球车相机交叉</x:v>
      </x:c>
      <x:c r="J82" s="99" t="str">
        <x:v>两人展开一组科学载荷，调平、连接和自检指示依次完成。</x:v>
      </x:c>
      <x:c r="K82" s="99" t="str">
        <x:v>北京：‘载荷遥测建立。’ 杨凛：‘部署完成。’</x:v>
      </x:c>
      <x:c r="L82" s="100" t="n">
        <x:v>10</x:v>
      </x:c>
      <x:c r="M82" s="100" t="n">
        <x:v>2.6</x:v>
      </x:c>
      <x:c r="N82" s="100" t="n">
        <x:f>MAX(0,F82-M82)</x:f>
        <x:v>5.4</x:v>
      </x:c>
      <x:c r="O82" s="100" t="n">
        <x:f>IF(L82=0,0,IF(N82=0,99,L82/N82))</x:f>
        <x:v>1.8518518518518516</x:v>
      </x:c>
      <x:c r="P82" s="100" t="n">
        <x:v>3.8</x:v>
      </x:c>
      <x:c r="Q82" s="96" t="str">
        <x:f>IF(F82=0,"已删除",IF(L82=0,"无对白",IF(N82=0,"需跨镜",IF(O82&lt;=P82,"可执行",IF(O82&lt;=P82+0.4,"临界","需压词/跨镜")))))</x:f>
        <x:v>可执行</x:v>
      </x:c>
      <x:c r="R82" s="99" t="str">
        <x:v>压缩头尾和重复确认；保留“两人展开一组科学载荷，调平、连接和自检指示依次完成。”这一任务功能。</x:v>
      </x:c>
      <x:c r="S82" s="99" t="str">
        <x:v>F11、F1、F5、F6、F2、F3、F8</x:v>
      </x:c>
      <x:c r="T82" s="99" t="str">
        <x:v>不虚构具体未公开载荷型号。</x:v>
      </x:c>
    </x:row>
    <x:row r="83" ht="21.600000381469727" hidden="0" customHeight="1">
      <x:c r="A83" s="96" t="n">
        <x:v>10</x:v>
      </x:c>
      <x:c r="B83" s="96" t="str">
        <x:v>075</x:v>
      </x:c>
      <x:c r="C83" s="96" t="str">
        <x:v>10:06–10:16</x:v>
      </x:c>
      <x:c r="D83" s="97" t="n">
        <x:v>10</x:v>
      </x:c>
      <x:c r="E83" s="97" t="str">
        <x:v>压缩</x:v>
      </x:c>
      <x:c r="F83" s="97" t="n">
        <x:v>8</x:v>
      </x:c>
      <x:c r="G83" s="98" t="n">
        <x:f>H82</x:f>
        <x:v>0.005972222222222221</x:v>
      </x:c>
      <x:c r="H83" s="98" t="n">
        <x:f>G83+F83/86400</x:f>
        <x:v>0.006064814814814814</x:v>
      </x:c>
      <x:c r="I83" s="99" t="str">
        <x:v>任务相机蒙太奇／后期时间码</x:v>
      </x:c>
      <x:c r="J83" s="99" t="str">
        <x:v>表取样、岩芯封装、载荷检查和月球车返程交叉出现。时间码由T+10:40推进到T+12:50。</x:v>
      </x:c>
      <x:c r="K83" s="99" t="str">
        <x:v>以短句无线电串联：点位完成、样品编号、返回确认。</x:v>
      </x:c>
      <x:c r="L83" s="100" t="n">
        <x:v>0</x:v>
      </x:c>
      <x:c r="M83" s="100" t="n">
        <x:v>2</x:v>
      </x:c>
      <x:c r="N83" s="100" t="n">
        <x:f>MAX(0,F83-M83)</x:f>
        <x:v>6</x:v>
      </x:c>
      <x:c r="O83" s="100" t="n">
        <x:f>IF(L83=0,0,IF(N83=0,99,L83/N83))</x:f>
        <x:v>0</x:v>
      </x:c>
      <x:c r="P83" s="100" t="n">
        <x:v>3.8</x:v>
      </x:c>
      <x:c r="Q83" s="96" t="str">
        <x:f>IF(F83=0,"已删除",IF(L83=0,"无对白",IF(N83=0,"需跨镜",IF(O83&lt;=P83,"可执行",IF(O83&lt;=P83+0.4,"临界","需压词/跨镜")))))</x:f>
        <x:v>无对白</x:v>
      </x:c>
      <x:c r="R83" s="99" t="str">
        <x:v>保留任务时间码和编号回报；其余科研项目以蒙太奇略过。</x:v>
      </x:c>
      <x:c r="S83" s="99" t="str">
        <x:v>F11、F1、F5、F6、F2、F3、F8</x:v>
      </x:c>
      <x:c r="T83" s="99" t="str">
        <x:v>只保留可识别的关键动作链。</x:v>
      </x:c>
    </x:row>
    <x:row r="84" ht="21.600000381469727" hidden="0" customHeight="1">
      <x:c r="A84" s="96" t="n">
        <x:v>10</x:v>
      </x:c>
      <x:c r="B84" s="96" t="str">
        <x:v>076</x:v>
      </x:c>
      <x:c r="C84" s="96" t="str">
        <x:v>10:16–10:26</x:v>
      </x:c>
      <x:c r="D84" s="97" t="n">
        <x:v>10</x:v>
      </x:c>
      <x:c r="E84" s="97" t="str">
        <x:v>压缩</x:v>
      </x:c>
      <x:c r="F84" s="97" t="n">
        <x:v>7</x:v>
      </x:c>
      <x:c r="G84" s="98" t="n">
        <x:f>H83</x:f>
        <x:v>0.006064814814814814</x:v>
      </x:c>
      <x:c r="H84" s="98" t="n">
        <x:f>G84+F84/86400</x:f>
        <x:v>0.006145833333333332</x:v>
      </x:c>
      <x:c r="I84" s="99" t="str">
        <x:v>便携月面相机固定全景／后期时间码</x:v>
      </x:c>
      <x:c r="J84" s="99" t="str">
        <x:v>两人和月球车返回揽月近区，样品箱转移到舱梯旁；最后一次舱外巡视结束。字幕：T+13:40，主舱外活动结束。</x:v>
      </x:c>
      <x:c r="K84" s="99" t="str">
        <x:v>杨凛：‘主任务完成，准备回舱。’ 北京：‘北京确认。’</x:v>
      </x:c>
      <x:c r="L84" s="100" t="n">
        <x:v>13</x:v>
      </x:c>
      <x:c r="M84" s="100" t="n">
        <x:v>2.6</x:v>
      </x:c>
      <x:c r="N84" s="100" t="n">
        <x:f>MAX(0,F84-M84)</x:f>
        <x:v>4.4</x:v>
      </x:c>
      <x:c r="O84" s="100" t="n">
        <x:f>IF(L84=0,0,IF(N84=0,99,L84/N84))</x:f>
        <x:v>2.954545454545454</x:v>
      </x:c>
      <x:c r="P84" s="100" t="n">
        <x:v>3.8</x:v>
      </x:c>
      <x:c r="Q84" s="96" t="str">
        <x:f>IF(F84=0,"已删除",IF(L84=0,"无对白",IF(N84=0,"需跨镜",IF(O84&lt;=P84,"可执行",IF(O84&lt;=P84+0.4,"临界","需压词/跨镜")))))</x:f>
        <x:v>可执行</x:v>
      </x:c>
      <x:c r="R84" s="99" t="str">
        <x:v>‘主任务完成’只出现一次；给样品箱回到着陆器一个结果镜。</x:v>
      </x:c>
      <x:c r="S84" s="99" t="str">
        <x:v>F11、F1、F5、F6、F2、F3、F8</x:v>
      </x:c>
      <x:c r="T84" s="99" t="str">
        <x:v>明确关闭约7小时40分主舱外活动时间线。</x:v>
      </x:c>
    </x:row>
    <x:row r="85" ht="21.600000381469727" hidden="0" customHeight="1">
      <x:c r="A85" s="96" t="n">
        <x:v>11</x:v>
      </x:c>
      <x:c r="B85" s="96" t="str">
        <x:v>077</x:v>
      </x:c>
      <x:c r="C85" s="96" t="str">
        <x:v>10:26–10:34</x:v>
      </x:c>
      <x:c r="D85" s="97" t="n">
        <x:v>8</x:v>
      </x:c>
      <x:c r="E85" s="97" t="str">
        <x:v>压缩</x:v>
      </x:c>
      <x:c r="F85" s="97" t="n">
        <x:v>7</x:v>
      </x:c>
      <x:c r="G85" s="98" t="n">
        <x:f>H84</x:f>
        <x:v>0.006145833333333332</x:v>
      </x:c>
      <x:c r="H85" s="98" t="n">
        <x:f>G85+F85/86400</x:f>
        <x:v>0.006226851851851851</x:v>
      </x:c>
      <x:c r="I85" s="99" t="str">
        <x:v>揽月外部固定相机</x:v>
      </x:c>
      <x:c r="J85" s="99" t="str">
        <x:v>样品箱和工具包沿回收索先进入舱内，陈砚随后单人上梯，杨凛在月面完成最后检查。</x:v>
      </x:c>
      <x:c r="K85" s="99" t="str">
        <x:v>陈砚：‘样品箱入舱并锁定。’</x:v>
      </x:c>
      <x:c r="L85" s="100" t="n">
        <x:v>8</x:v>
      </x:c>
      <x:c r="M85" s="100" t="n">
        <x:v>1</x:v>
      </x:c>
      <x:c r="N85" s="100" t="n">
        <x:f>MAX(0,F85-M85)</x:f>
        <x:v>6</x:v>
      </x:c>
      <x:c r="O85" s="100" t="n">
        <x:f>IF(L85=0,0,IF(N85=0,99,L85/N85))</x:f>
        <x:v>1.3333333333333333</x:v>
      </x:c>
      <x:c r="P85" s="100" t="n">
        <x:v>3.8</x:v>
      </x:c>
      <x:c r="Q85" s="96" t="str">
        <x:f>IF(F85=0,"已删除",IF(L85=0,"无对白",IF(N85=0,"需跨镜",IF(O85&lt;=P85,"可执行",IF(O85&lt;=P85+0.4,"临界","需压词/跨镜")))))</x:f>
        <x:v>可执行</x:v>
      </x:c>
      <x:c r="R85" s="99" t="str">
        <x:v>压缩头尾和重复确认；保留“样品箱和工具包沿回收索先进入舱内，陈砚随后单人上梯，”这一任务功能。</x:v>
      </x:c>
      <x:c r="S85" s="99" t="str">
        <x:v>F11、F1、F5、F6、F2、F3、F8</x:v>
      </x:c>
      <x:c r="T85" s="99" t="str">
        <x:v>先样品与工具、后人员。</x:v>
      </x:c>
    </x:row>
    <x:row r="86" ht="21.600000381469727" hidden="0" customHeight="1">
      <x:c r="A86" s="96" t="n">
        <x:v>11</x:v>
      </x:c>
      <x:c r="B86" s="96" t="str">
        <x:v>078</x:v>
      </x:c>
      <x:c r="C86" s="96" t="str">
        <x:v>10:34–10:42</x:v>
      </x:c>
      <x:c r="D86" s="97" t="n">
        <x:v>8</x:v>
      </x:c>
      <x:c r="E86" s="97" t="str">
        <x:v>压缩</x:v>
      </x:c>
      <x:c r="F86" s="97" t="n">
        <x:v>7</x:v>
      </x:c>
      <x:c r="G86" s="98" t="n">
        <x:f>H85</x:f>
        <x:v>0.006226851851851851</x:v>
      </x:c>
      <x:c r="H86" s="98" t="n">
        <x:f>G86+F86/86400</x:f>
        <x:v>0.006307870370370369</x:v>
      </x:c>
      <x:c r="I86" s="99" t="str">
        <x:v>舱口与舱内固定机位</x:v>
      </x:c>
      <x:c r="J86" s="99" t="str">
        <x:v>杨凛最后进入舱内，舱门关闭；两人完成增压、舱外服清洁隔离和样品固定。</x:v>
      </x:c>
      <x:c r="K86" s="99" t="str">
        <x:v>杨凛：‘舱门关闭。’ 陈砚：‘增压正常。’</x:v>
      </x:c>
      <x:c r="L86" s="100" t="n">
        <x:v>8</x:v>
      </x:c>
      <x:c r="M86" s="100" t="n">
        <x:v>1</x:v>
      </x:c>
      <x:c r="N86" s="100" t="n">
        <x:f>MAX(0,F86-M86)</x:f>
        <x:v>6</x:v>
      </x:c>
      <x:c r="O86" s="100" t="n">
        <x:f>IF(L86=0,0,IF(N86=0,99,L86/N86))</x:f>
        <x:v>1.3333333333333333</x:v>
      </x:c>
      <x:c r="P86" s="100" t="n">
        <x:v>3.8</x:v>
      </x:c>
      <x:c r="Q86" s="96" t="str">
        <x:f>IF(F86=0,"已删除",IF(L86=0,"无对白",IF(N86=0,"需跨镜",IF(O86&lt;=P86,"可执行",IF(O86&lt;=P86+0.4,"临界","需压词/跨镜")))))</x:f>
        <x:v>可执行</x:v>
      </x:c>
      <x:c r="R86" s="99" t="str">
        <x:v>压缩头尾和重复确认；保留“杨凛最后进入舱内，舱门关闭；两人完成增压、舱外服清洁”这一任务功能。</x:v>
      </x:c>
      <x:c r="S86" s="99" t="str">
        <x:v>F11、F1、F5、F6、F2、F3、F8</x:v>
      </x:c>
      <x:c r="T86" s="99" t="str">
        <x:v>月尘处置只保留公开可解释的最低流程。</x:v>
      </x:c>
    </x:row>
    <x:row r="87" ht="21.600000381469727" hidden="0" customHeight="1">
      <x:c r="A87" s="96" t="n">
        <x:v>11</x:v>
      </x:c>
      <x:c r="B87" s="96" t="str">
        <x:v>079</x:v>
      </x:c>
      <x:c r="C87" s="96" t="str">
        <x:v>10:42–10:52</x:v>
      </x:c>
      <x:c r="D87" s="97" t="n">
        <x:v>10</x:v>
      </x:c>
      <x:c r="E87" s="97" t="str">
        <x:v>压缩</x:v>
      </x:c>
      <x:c r="F87" s="97" t="n">
        <x:v>8</x:v>
      </x:c>
      <x:c r="G87" s="98" t="n">
        <x:f>H86</x:f>
        <x:v>0.006307870370370369</x:v>
      </x:c>
      <x:c r="H87" s="98" t="n">
        <x:f>G87+F87/86400</x:f>
        <x:v>0.006400462962962962</x:v>
      </x:c>
      <x:c r="I87" s="99" t="str">
        <x:v>揽月舱内时间压缩／后期字幕</x:v>
      </x:c>
      <x:c r="J87" s="99" t="str">
        <x:v>两人补水进食、医学自检、整理样品、轮换休息并复核起飞程序。字幕由T+14:00推进到T+27:30。</x:v>
      </x:c>
      <x:c r="K87" s="99" t="str">
        <x:v>何文澜画外：‘剩余时间用于人员恢复、样品与舱内状态整理，以及月面起飞和再交会复核。’</x:v>
      </x:c>
      <x:c r="L87" s="100" t="n">
        <x:v>31</x:v>
      </x:c>
      <x:c r="M87" s="100" t="n">
        <x:v>1</x:v>
      </x:c>
      <x:c r="N87" s="100" t="n">
        <x:f>MAX(0,F87-M87)</x:f>
        <x:v>7</x:v>
      </x:c>
      <x:c r="O87" s="100" t="n">
        <x:f>IF(L87=0,0,IF(N87=0,99,L87/N87))</x:f>
        <x:v>4.428571428571429</x:v>
      </x:c>
      <x:c r="P87" s="100" t="n">
        <x:v>3.2</x:v>
      </x:c>
      <x:c r="Q87" s="96" t="str">
        <x:f>IF(F87=0,"已删除",IF(L87=0,"无对白",IF(N87=0,"需跨镜",IF(O87&lt;=P87,"可执行",IF(O87&lt;=P87+0.4,"临界","需压词/跨镜")))))</x:f>
        <x:v>需压词/跨镜</x:v>
      </x:c>
      <x:c r="R87" s="99" t="str">
        <x:v>字幕完成T+14:00至T+27:30跳时；画外压为人员恢复、样品整理、起飞复核三项。</x:v>
      </x:c>
      <x:c r="S87" s="99" t="str">
        <x:v>F11、F1、F5、F6、F2、F3、F8</x:v>
      </x:c>
      <x:c r="T87" s="99" t="str">
        <x:v>把总驻留时间闭合到约28小时。</x:v>
      </x:c>
    </x:row>
    <x:row r="88" ht="21.600000381469727" hidden="0" customHeight="1">
      <x:c r="A88" s="96" t="n">
        <x:v>11</x:v>
      </x:c>
      <x:c r="B88" s="96" t="str">
        <x:v>080</x:v>
      </x:c>
      <x:c r="C88" s="96" t="str">
        <x:v>10:52–11:00</x:v>
      </x:c>
      <x:c r="D88" s="97" t="n">
        <x:v>8</x:v>
      </x:c>
      <x:c r="E88" s="97" t="str">
        <x:v>压缩</x:v>
      </x:c>
      <x:c r="F88" s="97" t="n">
        <x:v>7</x:v>
      </x:c>
      <x:c r="G88" s="98" t="n">
        <x:f>H87</x:f>
        <x:v>0.006400462962962962</x:v>
      </x:c>
      <x:c r="H88" s="98" t="n">
        <x:f>G88+F88/86400</x:f>
        <x:v>0.00648148148148148</x:v>
      </x:c>
      <x:c r="I88" s="99" t="str">
        <x:v>揽月舱内双人中景</x:v>
      </x:c>
      <x:c r="J88" s="99" t="str">
        <x:v>两人穿舱内压力服固定，起飞和再交会页面完成最后检查。</x:v>
      </x:c>
      <x:c r="K88" s="99" t="str">
        <x:v>杨凛：‘起飞构型确认。’ 陈砚：‘样品固定，人员状态正常。’</x:v>
      </x:c>
      <x:c r="L88" s="100" t="n">
        <x:v>16</x:v>
      </x:c>
      <x:c r="M88" s="100" t="n">
        <x:v>1</x:v>
      </x:c>
      <x:c r="N88" s="100" t="n">
        <x:f>MAX(0,F88-M88)</x:f>
        <x:v>6</x:v>
      </x:c>
      <x:c r="O88" s="100" t="n">
        <x:f>IF(L88=0,0,IF(N88=0,99,L88/N88))</x:f>
        <x:v>2.6666666666666665</x:v>
      </x:c>
      <x:c r="P88" s="100" t="n">
        <x:v>3.8</x:v>
      </x:c>
      <x:c r="Q88" s="96" t="str">
        <x:f>IF(F88=0,"已删除",IF(L88=0,"无对白",IF(N88=0,"需跨镜",IF(O88&lt;=P88,"可执行",IF(O88&lt;=P88+0.4,"临界","需压词/跨镜")))))</x:f>
        <x:v>可执行</x:v>
      </x:c>
      <x:c r="R88" s="99" t="str">
        <x:v>压缩头尾和重复确认；保留“两人穿舱内压力服固定，起飞和再交会页面完成最后检查。”这一任务功能。</x:v>
      </x:c>
      <x:c r="S88" s="99" t="str">
        <x:v>F11、F1、F5、F6、F2、F3、F8</x:v>
      </x:c>
      <x:c r="T88" s="99" t="str">
        <x:v>关键动作开始后停止专家解释。</x:v>
      </x:c>
    </x:row>
    <x:row r="89" ht="32.400001525878906" hidden="0" customHeight="1">
      <x:c r="A89" s="96" t="n">
        <x:v>11</x:v>
      </x:c>
      <x:c r="B89" s="96" t="str">
        <x:v>081</x:v>
      </x:c>
      <x:c r="C89" s="96" t="str">
        <x:v>11:00–11:10</x:v>
      </x:c>
      <x:c r="D89" s="97" t="n">
        <x:v>10</x:v>
      </x:c>
      <x:c r="E89" s="97" t="str">
        <x:v>保留</x:v>
      </x:c>
      <x:c r="F89" s="97" t="n">
        <x:v>10</x:v>
      </x:c>
      <x:c r="G89" s="98" t="n">
        <x:f>H88</x:f>
        <x:v>0.00648148148148148</x:v>
      </x:c>
      <x:c r="H89" s="98" t="n">
        <x:f>G89+F89/86400</x:f>
        <x:v>0.006597222222222221</x:v>
      </x:c>
      <x:c r="I89" s="99" t="str">
        <x:v>便携月面相机固定全景</x:v>
      </x:c>
      <x:c r="J89" s="99" t="str">
        <x:v>字幕：着陆T+28:00。揽月上升级点火离开月面，迅速升出画面；相机继续停留，国旗、脚印、车辙和留置设备在黑色天空下保持不动。</x:v>
      </x:c>
      <x:c r="K89" s="99" t="str">
        <x:v>外部完全静音；仅远端无线电：‘离地。上升正常。’</x:v>
      </x:c>
      <x:c r="L89" s="100" t="n">
        <x:v>6</x:v>
      </x:c>
      <x:c r="M89" s="100" t="n">
        <x:v>3</x:v>
      </x:c>
      <x:c r="N89" s="100" t="n">
        <x:f>MAX(0,F89-M89)</x:f>
        <x:v>7</x:v>
      </x:c>
      <x:c r="O89" s="100" t="n">
        <x:f>IF(L89=0,0,IF(N89=0,99,L89/N89))</x:f>
        <x:v>0.8571428571428571</x:v>
      </x:c>
      <x:c r="P89" s="100" t="n">
        <x:v>3.8</x:v>
      </x:c>
      <x:c r="Q89" s="96" t="str">
        <x:f>IF(F89=0,"已删除",IF(L89=0,"无对白",IF(N89=0,"需跨镜",IF(O89&lt;=P89,"可执行",IF(O89&lt;=P89+0.4,"临界","需压词/跨镜")))))</x:f>
        <x:v>可执行</x:v>
      </x:c>
      <x:c r="R89" s="99" t="str">
        <x:v>月面起飞与2-3秒空镜完整保留；高速光链只传画面，不替代关键射频口令。</x:v>
      </x:c>
      <x:c r="S89" s="99" t="str">
        <x:v>F11、F1、F5、F6、F2、F3、F8</x:v>
      </x:c>
      <x:c r="T89" s="99" t="str">
        <x:v>同一台已部署相机完成视觉回报；离画后保留2—3秒空镜。</x:v>
      </x:c>
    </x:row>
    <x:row r="90" ht="21.600000381469727" hidden="0" customHeight="1">
      <x:c r="A90" s="96" t="n">
        <x:v>11</x:v>
      </x:c>
      <x:c r="B90" s="96" t="str">
        <x:v>082</x:v>
      </x:c>
      <x:c r="C90" s="96" t="str">
        <x:v>11:10–11:18</x:v>
      </x:c>
      <x:c r="D90" s="97" t="n">
        <x:v>8</x:v>
      </x:c>
      <x:c r="E90" s="97" t="str">
        <x:v>压缩</x:v>
      </x:c>
      <x:c r="F90" s="97" t="n">
        <x:v>7</x:v>
      </x:c>
      <x:c r="G90" s="98" t="n">
        <x:f>H89</x:f>
        <x:v>0.006597222222222221</x:v>
      </x:c>
      <x:c r="H90" s="98" t="n">
        <x:f>G90+F90/86400</x:f>
        <x:v>0.00667824074074074</x:v>
      </x:c>
      <x:c r="I90" s="99" t="str">
        <x:v>北京飞控／佳木斯／梦舟交叉</x:v>
      </x:c>
      <x:c r="J90" s="99" t="str">
        <x:v>飞控轨迹由月面上升转为环月交会；佳木斯链路连续；刘定槎在两张空座之间监看目标。</x:v>
      </x:c>
      <x:c r="K90" s="99" t="str">
        <x:v>北京：‘上升轨道正常。’ 林海：‘双目标遥测连续。’ 刘定槎：‘梦舟捕获揽月。’</x:v>
      </x:c>
      <x:c r="L90" s="100" t="n">
        <x:v>19</x:v>
      </x:c>
      <x:c r="M90" s="100" t="n">
        <x:v>2.6</x:v>
      </x:c>
      <x:c r="N90" s="100" t="n">
        <x:f>MAX(0,F90-M90)</x:f>
        <x:v>4.4</x:v>
      </x:c>
      <x:c r="O90" s="100" t="n">
        <x:f>IF(L90=0,0,IF(N90=0,99,L90/N90))</x:f>
        <x:v>4.3181818181818175</x:v>
      </x:c>
      <x:c r="P90" s="100" t="n">
        <x:v>3.8</x:v>
      </x:c>
      <x:c r="Q90" s="96" t="str">
        <x:f>IF(F90=0,"已删除",IF(L90=0,"无对白",IF(N90=0,"需跨镜",IF(O90&lt;=P90,"可执行",IF(O90&lt;=P90+0.4,"临界","需压词/跨镜")))))</x:f>
        <x:v>需压词/跨镜</x:v>
      </x:c>
      <x:c r="R90" s="99" t="str">
        <x:v>保留飞控、深空站和梦舟三方捕获状态，但各只报一个信息。</x:v>
      </x:c>
      <x:c r="S90" s="99" t="str">
        <x:v>F11、F1、F5、F6、F2、F3、F8</x:v>
      </x:c>
      <x:c r="T90" s="99" t="str">
        <x:v>深空地面站和梦舟共同建立再交会状态。</x:v>
      </x:c>
    </x:row>
    <x:row r="91" ht="21.600000381469727" hidden="0" customHeight="1">
      <x:c r="A91" s="96" t="n">
        <x:v>11</x:v>
      </x:c>
      <x:c r="B91" s="96" t="str">
        <x:v>082A</x:v>
      </x:c>
      <x:c r="C91" s="96" t="str">
        <x:v>—</x:v>
      </x:c>
      <x:c r="D91" s="97" t="n">
        <x:v>0</x:v>
      </x:c>
      <x:c r="E91" s="97" t="str">
        <x:v>新增</x:v>
      </x:c>
      <x:c r="F91" s="97" t="n">
        <x:v>6</x:v>
      </x:c>
      <x:c r="G91" s="98" t="n">
        <x:f>H90</x:f>
        <x:v>0.00667824074074074</x:v>
      </x:c>
      <x:c r="H91" s="98" t="n">
        <x:f>G91+F91/86400</x:f>
        <x:v>0.006747685185185184</x:v>
      </x:c>
      <x:c r="I91" s="99" t="str">
        <x:v>梦舟工作位近景／轨道窗口图</x:v>
      </x:c>
      <x:c r="J91" s="99" t="str">
        <x:v>刘定槎独立比对主、备再交会窗口，确认备用窗口仍可用后选择按主窗口继续接近。</x:v>
      </x:c>
      <x:c r="K91" s="99" t="str">
        <x:v>刘定槎：‘备用窗口保留，按主窗口接近。’</x:v>
      </x:c>
      <x:c r="L91" s="100" t="n">
        <x:v>12</x:v>
      </x:c>
      <x:c r="M91" s="100" t="n">
        <x:v>1</x:v>
      </x:c>
      <x:c r="N91" s="100" t="n">
        <x:f>MAX(0,F91-M91)</x:f>
        <x:v>5</x:v>
      </x:c>
      <x:c r="O91" s="100" t="n">
        <x:f>IF(L91=0,0,IF(N91=0,99,L91/N91))</x:f>
        <x:v>2.4</x:v>
      </x:c>
      <x:c r="P91" s="100" t="n">
        <x:v>3.8</x:v>
      </x:c>
      <x:c r="Q91" s="96" t="str">
        <x:f>IF(F91=0,"已删除",IF(L91=0,"无对白",IF(N91=0,"需跨镜",IF(O91&lt;=P91,"可执行",IF(O91&lt;=P91+0.4,"临界","需压词/跨镜")))))</x:f>
        <x:v>可执行</x:v>
      </x:c>
      <x:c r="R91" s="99" t="str">
        <x:v>新增刘定槎的独立窗口判断，让空座母题转化为责任压力。</x:v>
      </x:c>
      <x:c r="S91" s="99" t="str">
        <x:v>F11、F1、F5、F6、F2、F3、F8</x:v>
      </x:c>
      <x:c r="T91" s="99" t="str">
        <x:v>给留守航天员一条可见判断链；不增加事故。</x:v>
      </x:c>
    </x:row>
    <x:row r="92" ht="21.600000381469727" hidden="0" customHeight="1">
      <x:c r="A92" s="96" t="n">
        <x:v>11</x:v>
      </x:c>
      <x:c r="B92" s="96" t="str">
        <x:v>083</x:v>
      </x:c>
      <x:c r="C92" s="96" t="str">
        <x:v>11:18–11:25</x:v>
      </x:c>
      <x:c r="D92" s="97" t="n">
        <x:v>7</x:v>
      </x:c>
      <x:c r="E92" s="97" t="str">
        <x:v>压缩</x:v>
      </x:c>
      <x:c r="F92" s="97" t="n">
        <x:v>6</x:v>
      </x:c>
      <x:c r="G92" s="98" t="n">
        <x:f>H91</x:f>
        <x:v>0.006747685185185184</x:v>
      </x:c>
      <x:c r="H92" s="98" t="n">
        <x:f>G92+F92/86400</x:f>
        <x:v>0.006817129629629628</x:v>
      </x:c>
      <x:c r="I92" s="99" t="str">
        <x:v>月轨上升侧视／视觉重建</x:v>
      </x:c>
      <x:c r="J92" s="99" t="str">
        <x:v>揽月上升级越过月球弧面进入交会轨道，梦舟在远处沿同向飞行；标注：基于实时遥测的视觉重建。</x:v>
      </x:c>
      <x:c r="K92" s="99" t="str">
        <x:v>外景静音。</x:v>
      </x:c>
      <x:c r="L92" s="100" t="n">
        <x:v>0</x:v>
      </x:c>
      <x:c r="M92" s="100" t="n">
        <x:v>2</x:v>
      </x:c>
      <x:c r="N92" s="100" t="n">
        <x:f>MAX(0,F92-M92)</x:f>
        <x:v>4</x:v>
      </x:c>
      <x:c r="O92" s="100" t="n">
        <x:f>IF(L92=0,0,IF(N92=0,99,L92/N92))</x:f>
        <x:v>0</x:v>
      </x:c>
      <x:c r="P92" s="100" t="n">
        <x:v>3.8</x:v>
      </x:c>
      <x:c r="Q92" s="96" t="str">
        <x:f>IF(F92=0,"已删除",IF(L92=0,"无对白",IF(N92=0,"需跨镜",IF(O92&lt;=P92,"可执行",IF(O92&lt;=P92+0.4,"临界","需压词/跨镜")))))</x:f>
        <x:v>无对白</x:v>
      </x:c>
      <x:c r="R92" s="99" t="str">
        <x:v>压缩头尾和重复确认；保留“揽月上升级越过月球弧面进入交会轨道，梦舟在远处沿同向”这一任务功能。</x:v>
      </x:c>
      <x:c r="S92" s="99" t="str">
        <x:v>F11、F1、F5、F6、F2、F3、F8</x:v>
      </x:c>
      <x:c r="T92" s="99" t="str">
        <x:v>只补充尺度和轨道关系。</x:v>
      </x:c>
    </x:row>
    <x:row r="93" ht="21.600000381469727" hidden="0" customHeight="1">
      <x:c r="A93" s="96" t="n">
        <x:v>11</x:v>
      </x:c>
      <x:c r="B93" s="96" t="str">
        <x:v>084</x:v>
      </x:c>
      <x:c r="C93" s="96" t="str">
        <x:v>11:25–11:32</x:v>
      </x:c>
      <x:c r="D93" s="97" t="n">
        <x:v>7</x:v>
      </x:c>
      <x:c r="E93" s="97" t="str">
        <x:v>压缩</x:v>
      </x:c>
      <x:c r="F93" s="97" t="n">
        <x:v>4</x:v>
      </x:c>
      <x:c r="G93" s="98" t="n">
        <x:f>H92</x:f>
        <x:v>0.006817129629629628</x:v>
      </x:c>
      <x:c r="H93" s="98" t="n">
        <x:f>G93+F93/86400</x:f>
        <x:v>0.006863425925925924</x:v>
      </x:c>
      <x:c r="I93" s="99" t="str">
        <x:v>深空画面／后期字幕</x:v>
      </x:c>
      <x:c r="J93" s="99" t="str">
        <x:v>月球弧面和双目标轨迹叠加。字幕：月面起飞后约3小时40分；进入最终交会。</x:v>
      </x:c>
      <x:c r="K93" s="99" t="str">
        <x:v>刘定槎画外：‘相对导航一致，进入最终接近。’</x:v>
      </x:c>
      <x:c r="L93" s="100" t="n">
        <x:v>12</x:v>
      </x:c>
      <x:c r="M93" s="100" t="n">
        <x:v>1</x:v>
      </x:c>
      <x:c r="N93" s="100" t="n">
        <x:f>MAX(0,F93-M93)</x:f>
        <x:v>3</x:v>
      </x:c>
      <x:c r="O93" s="100" t="n">
        <x:f>IF(L93=0,0,IF(N93=0,99,L93/N93))</x:f>
        <x:v>4</x:v>
      </x:c>
      <x:c r="P93" s="100" t="n">
        <x:v>3.2</x:v>
      </x:c>
      <x:c r="Q93" s="96" t="str">
        <x:f>IF(F93=0,"已删除",IF(L93=0,"无对白",IF(N93=0,"需跨镜",IF(O93&lt;=P93,"可执行",IF(O93&lt;=P93+0.4,"临界","需压词/跨镜")))))</x:f>
        <x:v>需压词/跨镜</x:v>
      </x:c>
      <x:c r="R93" s="99" t="str">
        <x:v>字幕明确‘起飞后约3小时40分’，用时间跳转而非连续19秒完成再交会。</x:v>
      </x:c>
      <x:c r="S93" s="99" t="str">
        <x:v>F11、F1、F5、F6、F2、F3、F8</x:v>
      </x:c>
      <x:c r="T93" s="99" t="str">
        <x:v>具体时间为本片艺术流程。</x:v>
      </x:c>
    </x:row>
    <x:row r="94" ht="21.600000381469727" hidden="0" customHeight="1">
      <x:c r="A94" s="96" t="n">
        <x:v>11</x:v>
      </x:c>
      <x:c r="B94" s="96" t="str">
        <x:v>085</x:v>
      </x:c>
      <x:c r="C94" s="96" t="str">
        <x:v>11:32–11:42</x:v>
      </x:c>
      <x:c r="D94" s="97" t="n">
        <x:v>10</x:v>
      </x:c>
      <x:c r="E94" s="97" t="str">
        <x:v>保留</x:v>
      </x:c>
      <x:c r="F94" s="97" t="n">
        <x:v>10</x:v>
      </x:c>
      <x:c r="G94" s="98" t="n">
        <x:f>H93</x:f>
        <x:v>0.006863425925925924</x:v>
      </x:c>
      <x:c r="H94" s="98" t="n">
        <x:f>G94+F94/86400</x:f>
        <x:v>0.006979166666666665</x:v>
      </x:c>
      <x:c r="I94" s="99" t="str">
        <x:v>对接口监视相机／舱内交叉</x:v>
      </x:c>
      <x:c r="J94" s="99" t="str">
        <x:v>揽月目标沿轴线闭合，完成接触捕获、硬连接和密封检查；三方只报关键状态。</x:v>
      </x:c>
      <x:c r="K94" s="99" t="str">
        <x:v>杨凛：‘接触捕获。’ 刘定槎：‘硬连接确认。’ 北京：‘密封检查正常。’</x:v>
      </x:c>
      <x:c r="L94" s="100" t="n">
        <x:v>15</x:v>
      </x:c>
      <x:c r="M94" s="100" t="n">
        <x:v>3</x:v>
      </x:c>
      <x:c r="N94" s="100" t="n">
        <x:f>MAX(0,F94-M94)</x:f>
        <x:v>7</x:v>
      </x:c>
      <x:c r="O94" s="100" t="n">
        <x:f>IF(L94=0,0,IF(N94=0,99,L94/N94))</x:f>
        <x:v>2.142857142857143</x:v>
      </x:c>
      <x:c r="P94" s="100" t="n">
        <x:v>3.8</x:v>
      </x:c>
      <x:c r="Q94" s="96" t="str">
        <x:f>IF(F94=0,"已删除",IF(L94=0,"无对白",IF(N94=0,"需跨镜",IF(O94&lt;=P94,"可执行",IF(O94&lt;=P94+0.4,"临界","需压词/跨镜")))))</x:f>
        <x:v>可执行</x:v>
      </x:c>
      <x:c r="R94" s="99" t="str">
        <x:v>10秒只表现‘接触捕获—硬连接—密封/压差确认’三个状态点，并用任务时码跳切。</x:v>
      </x:c>
      <x:c r="S94" s="99" t="str">
        <x:v>F11、F1、F5、F6、F2、F3、F8</x:v>
      </x:c>
      <x:c r="T94" s="99" t="str">
        <x:v>再对接以任务证据相机主导。</x:v>
      </x:c>
    </x:row>
    <x:row r="95" ht="21.600000381469727" hidden="0" customHeight="1">
      <x:c r="A95" s="96" t="n">
        <x:v>11</x:v>
      </x:c>
      <x:c r="B95" s="96" t="str">
        <x:v>086</x:v>
      </x:c>
      <x:c r="C95" s="96" t="str">
        <x:v>11:42–11:51</x:v>
      </x:c>
      <x:c r="D95" s="97" t="n">
        <x:v>9</x:v>
      </x:c>
      <x:c r="E95" s="97" t="str">
        <x:v>压缩</x:v>
      </x:c>
      <x:c r="F95" s="97" t="n">
        <x:v>8</x:v>
      </x:c>
      <x:c r="G95" s="98" t="n">
        <x:f>H94</x:f>
        <x:v>0.006979166666666665</x:v>
      </x:c>
      <x:c r="H95" s="98" t="n">
        <x:f>G95+F95/86400</x:f>
        <x:v>0.007071759259259258</x:v>
      </x:c>
      <x:c r="I95" s="99" t="str">
        <x:v>梦舟返回舱后向广角</x:v>
      </x:c>
      <x:c r="J95" s="99" t="str">
        <x:v>舱门开启后，杨凛、陈砚携样品依次进入梦舟并固定；三把座椅重新全部有人，刘定槎与两人短暂对视。</x:v>
      </x:c>
      <x:c r="K95" s="99" t="str">
        <x:v>刘定槎：‘梦舟三人，人数确认。’ 杨凛：‘样品已返回梦舟。’</x:v>
      </x:c>
      <x:c r="L95" s="100" t="n">
        <x:v>15</x:v>
      </x:c>
      <x:c r="M95" s="100" t="n">
        <x:v>1</x:v>
      </x:c>
      <x:c r="N95" s="100" t="n">
        <x:f>MAX(0,F95-M95)</x:f>
        <x:v>7</x:v>
      </x:c>
      <x:c r="O95" s="100" t="n">
        <x:f>IF(L95=0,0,IF(N95=0,99,L95/N95))</x:f>
        <x:v>2.142857142857143</x:v>
      </x:c>
      <x:c r="P95" s="100" t="n">
        <x:v>3.8</x:v>
      </x:c>
      <x:c r="Q95" s="96" t="str">
        <x:f>IF(F95=0,"已删除",IF(L95=0,"无对白",IF(N95=0,"需跨镜",IF(O95&lt;=P95,"可执行",IF(O95&lt;=P95+0.4,"临界","需压词/跨镜")))))</x:f>
        <x:v>可执行</x:v>
      </x:c>
      <x:c r="R95" s="99" t="str">
        <x:v>画面先兑现三座重聚，再补人数与样品确认；不把两句都读成同一节奏。</x:v>
      </x:c>
      <x:c r="S95" s="99" t="str">
        <x:v>F11、F1、F5、F6、F2、F3、F8</x:v>
      </x:c>
      <x:c r="T95" s="99" t="str">
        <x:v>第三次建立三座满员，完成视觉母题回收。</x:v>
      </x:c>
    </x:row>
    <x:row r="96" ht="21.600000381469727" hidden="0" customHeight="1">
      <x:c r="A96" s="96" t="n">
        <x:v>12</x:v>
      </x:c>
      <x:c r="B96" s="96" t="str">
        <x:v>087</x:v>
      </x:c>
      <x:c r="C96" s="96" t="str">
        <x:v>11:51–12:00</x:v>
      </x:c>
      <x:c r="D96" s="97" t="n">
        <x:v>9</x:v>
      </x:c>
      <x:c r="E96" s="97" t="str">
        <x:v>删除</x:v>
      </x:c>
      <x:c r="F96" s="97" t="n">
        <x:v>0</x:v>
      </x:c>
      <x:c r="G96" s="98" t="n">
        <x:f>H95</x:f>
        <x:v>0.007071759259259258</x:v>
      </x:c>
      <x:c r="H96" s="98" t="n">
        <x:f>G96+F96/86400</x:f>
        <x:v>0.007071759259259258</x:v>
      </x:c>
      <x:c r="I96" s="99" t="str">
        <x:v>媒体区记者中景</x:v>
      </x:c>
      <x:c r="J96" s="99" t="str">
        <x:v>林知夏身后大屏显示三人已返回梦舟和样品状态。</x:v>
      </x:c>
      <x:c r="K96" s="99" t="str">
        <x:v>林知夏：‘两名登月航天员已经带着月球样品回到梦舟。第二段直播到这里，最危险的返航阶段仍在前方。’</x:v>
      </x:c>
      <x:c r="L96" s="100" t="n">
        <x:v>39</x:v>
      </x:c>
      <x:c r="M96" s="100" t="n">
        <x:v>0</x:v>
      </x:c>
      <x:c r="N96" s="100" t="n">
        <x:f>MAX(0,F96-M96)</x:f>
        <x:v>0</x:v>
      </x:c>
      <x:c r="O96" s="100" t="n">
        <x:f>IF(L96=0,0,IF(N96=0,99,L96/N96))</x:f>
        <x:v>99</x:v>
      </x:c>
      <x:c r="P96" s="100" t="n">
        <x:v>3.2</x:v>
      </x:c>
      <x:c r="Q96" s="96" t="str">
        <x:f>IF(F96=0,"已删除",IF(L96=0,"无对白",IF(N96=0,"需跨镜",IF(O96&lt;=P96,"可执行",IF(O96&lt;=P96+0.4,"临界","需压词/跨镜")))))</x:f>
        <x:v>已删除</x:v>
      </x:c>
      <x:c r="R96" s="99" t="str">
        <x:v>删除记者再次口头总结；直接由三人重聚进入返航准备，直播出口交给镜089字幕。</x:v>
      </x:c>
      <x:c r="S96" s="99" t="str">
        <x:v>F11</x:v>
      </x:c>
      <x:c r="T96" s="99" t="str">
        <x:v>明确直播出口。</x:v>
      </x:c>
    </x:row>
    <x:row r="97" ht="32.400001525878906" hidden="0" customHeight="1">
      <x:c r="A97" s="96" t="n">
        <x:v>12</x:v>
      </x:c>
      <x:c r="B97" s="96" t="str">
        <x:v>088</x:v>
      </x:c>
      <x:c r="C97" s="96" t="str">
        <x:v>12:00–12:16</x:v>
      </x:c>
      <x:c r="D97" s="97" t="n">
        <x:v>16</x:v>
      </x:c>
      <x:c r="E97" s="97" t="str">
        <x:v>压缩</x:v>
      </x:c>
      <x:c r="F97" s="97" t="n">
        <x:v>11</x:v>
      </x:c>
      <x:c r="G97" s="98" t="n">
        <x:f>H96</x:f>
        <x:v>0.007071759259259258</x:v>
      </x:c>
      <x:c r="H97" s="98" t="n">
        <x:f>G97+F97/86400</x:f>
        <x:v>0.007199074074074072</x:v>
      </x:c>
      <x:c r="I97" s="99" t="str">
        <x:v>媒体区专家双人</x:v>
      </x:c>
      <x:c r="J97" s="99" t="str">
        <x:v>孙亦川站在地月返回轨迹图前，轨迹依次标出离月、途中修正和再入入口。</x:v>
      </x:c>
      <x:c r="K97" s="99" t="str">
        <x:v>孙亦川：‘接下来约三天，画面看似平静，梦舟仍要完成轨道修正、姿态与热控、生命保障、人员和样品检查，以及再入准备。真正严峻的是接近每秒十一公里量级的高速再入。’</x:v>
      </x:c>
      <x:c r="L97" s="100" t="n">
        <x:v>65</x:v>
      </x:c>
      <x:c r="M97" s="100" t="n">
        <x:v>2</x:v>
      </x:c>
      <x:c r="N97" s="100" t="n">
        <x:f>MAX(0,F97-M97)</x:f>
        <x:v>9</x:v>
      </x:c>
      <x:c r="O97" s="100" t="n">
        <x:f>IF(L97=0,0,IF(N97=0,99,L97/N97))</x:f>
        <x:v>7.222222222222222</x:v>
      </x:c>
      <x:c r="P97" s="100" t="n">
        <x:v>3.2</x:v>
      </x:c>
      <x:c r="Q97" s="96" t="str">
        <x:f>IF(F97=0,"已删除",IF(L97=0,"无对白",IF(N97=0,"需跨镜",IF(O97&lt;=P97,"可执行",IF(O97&lt;=P97+0.4,"临界","需压词/跨镜")))))</x:f>
        <x:v>需压词/跨镜</x:v>
      </x:c>
      <x:c r="R97" s="99" t="str">
        <x:v>压成约三天返航仍需轨道修正、热控、生保和再入准备；跨镜088-089。</x:v>
      </x:c>
      <x:c r="S97" s="99" t="str">
        <x:v>F11</x:v>
      </x:c>
      <x:c r="T97" s="99" t="str">
        <x:v>不给返航段冠以“相对平静”而省略工程工作。</x:v>
      </x:c>
    </x:row>
    <x:row r="98" ht="21.600000381469727" hidden="0" customHeight="1">
      <x:c r="A98" s="96" t="n">
        <x:v>12</x:v>
      </x:c>
      <x:c r="B98" s="96" t="str">
        <x:v>089</x:v>
      </x:c>
      <x:c r="C98" s="96" t="str">
        <x:v>12:16–12:21</x:v>
      </x:c>
      <x:c r="D98" s="97" t="n">
        <x:v>5</x:v>
      </x:c>
      <x:c r="E98" s="97" t="str">
        <x:v>保留</x:v>
      </x:c>
      <x:c r="F98" s="97" t="n">
        <x:v>5</x:v>
      </x:c>
      <x:c r="G98" s="98" t="n">
        <x:f>H97</x:f>
        <x:v>0.007199074074074072</x:v>
      </x:c>
      <x:c r="H98" s="98" t="n">
        <x:f>G98+F98/86400</x:f>
        <x:v>0.007256944444444443</x:v>
      </x:c>
      <x:c r="I98" s="99" t="str">
        <x:v>月轨远景／视觉重建</x:v>
      </x:c>
      <x:c r="J98" s="99" t="str">
        <x:v>梦舟离开月球轨道，月球在画面中缓慢远去；字幕：本段直播结束。</x:v>
      </x:c>
      <x:c r="K98" s="99" t="str">
        <x:v>外景静音；设备底噪淡出。</x:v>
      </x:c>
      <x:c r="L98" s="100" t="n">
        <x:v>0</x:v>
      </x:c>
      <x:c r="M98" s="100" t="n">
        <x:v>2</x:v>
      </x:c>
      <x:c r="N98" s="100" t="n">
        <x:f>MAX(0,F98-M98)</x:f>
        <x:v>3</x:v>
      </x:c>
      <x:c r="O98" s="100" t="n">
        <x:f>IF(L98=0,0,IF(N98=0,99,L98/N98))</x:f>
        <x:v>0</x:v>
      </x:c>
      <x:c r="P98" s="100" t="n">
        <x:v>3.8</x:v>
      </x:c>
      <x:c r="Q98" s="96" t="str">
        <x:f>IF(F98=0,"已删除",IF(L98=0,"无对白",IF(N98=0,"需跨镜",IF(O98&lt;=P98,"可执行",IF(O98&lt;=P98+0.4,"临界","需压词/跨镜")))))</x:f>
        <x:v>无对白</x:v>
      </x:c>
      <x:c r="R98" s="99" t="str">
        <x:v>字幕承担第二段直播结束；外景静音，底噪明确为舱内声桥。</x:v>
      </x:c>
      <x:c r="S98" s="99" t="str">
        <x:v>F11</x:v>
      </x:c>
      <x:c r="T98" s="99" t="str">
        <x:v>揽月后续处置不作未公开细节展示。</x:v>
      </x:c>
    </x:row>
    <x:row r="99" ht="21.600000381469727" hidden="0" customHeight="1">
      <x:c r="A99" s="96" t="n">
        <x:v>13</x:v>
      </x:c>
      <x:c r="B99" s="96" t="str">
        <x:v>090</x:v>
      </x:c>
      <x:c r="C99" s="96" t="str">
        <x:v>12:21–12:29</x:v>
      </x:c>
      <x:c r="D99" s="97" t="n">
        <x:v>8</x:v>
      </x:c>
      <x:c r="E99" s="97" t="str">
        <x:v>压缩</x:v>
      </x:c>
      <x:c r="F99" s="97" t="n">
        <x:v>6</x:v>
      </x:c>
      <x:c r="G99" s="98" t="n">
        <x:f>H98</x:f>
        <x:v>0.007256944444444443</x:v>
      </x:c>
      <x:c r="H99" s="98" t="n">
        <x:f>G99+F99/86400</x:f>
        <x:v>0.007326388888888887</x:v>
      </x:c>
      <x:c r="I99" s="99" t="str">
        <x:v>深空／后期字幕</x:v>
      </x:c>
      <x:c r="J99" s="99" t="str">
        <x:v>地球由远处蓝白圆盘逐渐扩大。字幕：2029年4月13日；离开月球轨道约三天；梦舟接近再入入口。</x:v>
      </x:c>
      <x:c r="K99" s="99" t="str">
        <x:v>无配乐；梦舟舱内设备底噪渐入。</x:v>
      </x:c>
      <x:c r="L99" s="100" t="n">
        <x:v>0</x:v>
      </x:c>
      <x:c r="M99" s="100" t="n">
        <x:v>2</x:v>
      </x:c>
      <x:c r="N99" s="100" t="n">
        <x:f>MAX(0,F99-M99)</x:f>
        <x:v>4</x:v>
      </x:c>
      <x:c r="O99" s="100" t="n">
        <x:f>IF(L99=0,0,IF(N99=0,99,L99/N99))</x:f>
        <x:v>0</x:v>
      </x:c>
      <x:c r="P99" s="100" t="n">
        <x:v>3.8</x:v>
      </x:c>
      <x:c r="Q99" s="96" t="str">
        <x:f>IF(F99=0,"已删除",IF(L99=0,"无对白",IF(N99=0,"需跨镜",IF(O99&lt;=P99,"可执行",IF(O99&lt;=P99+0.4,"临界","需压词/跨镜")))))</x:f>
        <x:v>无对白</x:v>
      </x:c>
      <x:c r="R99" s="99" t="str">
        <x:v>日期改为2029-04-27；标注统一UTC口径后的离月时长。</x:v>
      </x:c>
      <x:c r="S99" s="99" t="str">
        <x:v>F11</x:v>
      </x:c>
      <x:c r="T99" s="99" t="str">
        <x:v>地球视觉尺度随距离变化，不表现为静止小蓝点。</x:v>
      </x:c>
    </x:row>
    <x:row r="100" ht="21.600000381469727" hidden="0" customHeight="1">
      <x:c r="A100" s="96" t="n">
        <x:v>13</x:v>
      </x:c>
      <x:c r="B100" s="96" t="str">
        <x:v>091</x:v>
      </x:c>
      <x:c r="C100" s="96" t="str">
        <x:v>12:29–12:37</x:v>
      </x:c>
      <x:c r="D100" s="97" t="n">
        <x:v>8</x:v>
      </x:c>
      <x:c r="E100" s="97" t="str">
        <x:v>压缩</x:v>
      </x:c>
      <x:c r="F100" s="97" t="n">
        <x:v>7</x:v>
      </x:c>
      <x:c r="G100" s="98" t="n">
        <x:f>H99</x:f>
        <x:v>0.007326388888888887</x:v>
      </x:c>
      <x:c r="H100" s="98" t="n">
        <x:f>G100+F100/86400</x:f>
        <x:v>0.007407407407407405</x:v>
      </x:c>
      <x:c r="I100" s="99" t="str">
        <x:v>北京飞控大厅广角</x:v>
      </x:c>
      <x:c r="J100" s="99" t="str">
        <x:v>主屏显示地月返回末段、再入走廊和东风着陆场天气；返回、轨道、测控和着陆场协调席位同步工作。</x:v>
      </x:c>
      <x:c r="K100" s="99" t="str">
        <x:v>北京：‘梦舟进入再入准备，各系统执行最终状态闭合。’</x:v>
      </x:c>
      <x:c r="L100" s="100" t="n">
        <x:v>19</x:v>
      </x:c>
      <x:c r="M100" s="100" t="n">
        <x:v>2.6</x:v>
      </x:c>
      <x:c r="N100" s="100" t="n">
        <x:f>MAX(0,F100-M100)</x:f>
        <x:v>4.4</x:v>
      </x:c>
      <x:c r="O100" s="100" t="n">
        <x:f>IF(L100=0,0,IF(N100=0,99,L100/N100))</x:f>
        <x:v>4.3181818181818175</x:v>
      </x:c>
      <x:c r="P100" s="100" t="n">
        <x:v>3.8</x:v>
      </x:c>
      <x:c r="Q100" s="96" t="str">
        <x:f>IF(F100=0,"已删除",IF(L100=0,"无对白",IF(N100=0,"需跨镜",IF(O100&lt;=P100,"可执行",IF(O100&lt;=P100+0.4,"临界","需压词/跨镜")))))</x:f>
        <x:v>需压词/跨镜</x:v>
      </x:c>
      <x:c r="R100" s="99" t="str">
        <x:v>压缩头尾和重复确认；保留“主屏显示地月返回末段、再入走廊和东风着陆场天气；返回”这一任务功能。</x:v>
      </x:c>
      <x:c r="S100" s="99" t="str">
        <x:v>F11</x:v>
      </x:c>
      <x:c r="T100" s="99" t="str">
        <x:v>飞控大厅保持工作状态，不提前庆祝。</x:v>
      </x:c>
    </x:row>
    <x:row r="101" ht="21.600000381469727" hidden="0" customHeight="1">
      <x:c r="A101" s="96" t="n">
        <x:v>13</x:v>
      </x:c>
      <x:c r="B101" s="96" t="str">
        <x:v>092</x:v>
      </x:c>
      <x:c r="C101" s="96" t="str">
        <x:v>12:37–12:47</x:v>
      </x:c>
      <x:c r="D101" s="97" t="n">
        <x:v>10</x:v>
      </x:c>
      <x:c r="E101" s="97" t="str">
        <x:v>压缩</x:v>
      </x:c>
      <x:c r="F101" s="97" t="n">
        <x:v>7</x:v>
      </x:c>
      <x:c r="G101" s="98" t="n">
        <x:f>H100</x:f>
        <x:v>0.007407407407407405</x:v>
      </x:c>
      <x:c r="H101" s="98" t="n">
        <x:f>G101+F101/86400</x:f>
        <x:v>0.0074884259259259235</x:v>
      </x:c>
      <x:c r="I101" s="99" t="str">
        <x:v>媒体区记者中景</x:v>
      </x:c>
      <x:c r="J101" s="99" t="str">
        <x:v>林知夏站在再入轨迹图旁，东风搜救画面出现在副屏。</x:v>
      </x:c>
      <x:c r="K101" s="99" t="str">
        <x:v>林知夏：‘梦舟即将以极高速度进入大气层。返回舱要在狭窄走廊内完成两次大气减速，并在黑障后重新建立测控。’</x:v>
      </x:c>
      <x:c r="L101" s="100" t="n">
        <x:v>43</x:v>
      </x:c>
      <x:c r="M101" s="100" t="n">
        <x:v>2</x:v>
      </x:c>
      <x:c r="N101" s="100" t="n">
        <x:f>MAX(0,F101-M101)</x:f>
        <x:v>5</x:v>
      </x:c>
      <x:c r="O101" s="100" t="n">
        <x:f>IF(L101=0,0,IF(N101=0,99,L101/N101))</x:f>
        <x:v>8.6</x:v>
      </x:c>
      <x:c r="P101" s="100" t="n">
        <x:v>3.2</x:v>
      </x:c>
      <x:c r="Q101" s="96" t="str">
        <x:f>IF(F101=0,"已删除",IF(L101=0,"无对白",IF(N101=0,"需跨镜",IF(O101&lt;=P101,"可执行",IF(O101&lt;=P101+0.4,"临界","需压词/跨镜")))))</x:f>
        <x:v>需压词/跨镜</x:v>
      </x:c>
      <x:c r="R101" s="99" t="str">
        <x:v>只解释高速、两次减速和黑障；旁白跨镜090-092，避免7秒抢读。</x:v>
      </x:c>
      <x:c r="S101" s="99" t="str">
        <x:v>F11</x:v>
      </x:c>
      <x:c r="T101" s="99" t="str">
        <x:v>用观众能理解的语言说明下一事件。</x:v>
      </x:c>
    </x:row>
    <x:row r="102" ht="21.600000381469727" hidden="0" customHeight="1">
      <x:c r="A102" s="96" t="n">
        <x:v>13</x:v>
      </x:c>
      <x:c r="B102" s="96" t="str">
        <x:v>093</x:v>
      </x:c>
      <x:c r="C102" s="96" t="str">
        <x:v>12:47–13:03</x:v>
      </x:c>
      <x:c r="D102" s="97" t="n">
        <x:v>16</x:v>
      </x:c>
      <x:c r="E102" s="97" t="str">
        <x:v>删除</x:v>
      </x:c>
      <x:c r="F102" s="97" t="n">
        <x:v>0</x:v>
      </x:c>
      <x:c r="G102" s="98" t="n">
        <x:f>H101</x:f>
        <x:v>0.0074884259259259235</x:v>
      </x:c>
      <x:c r="H102" s="98" t="n">
        <x:f>G102+F102/86400</x:f>
        <x:v>0.0074884259259259235</x:v>
      </x:c>
      <x:c r="I102" s="99" t="str">
        <x:v>媒体区专家双人</x:v>
      </x:c>
      <x:c r="J102" s="99" t="str">
        <x:v>孙亦川用两条速度标尺和半弹道跳跃式再入示意解释，林知夏在旁倾听。</x:v>
      </x:c>
      <x:c r="K102" s="99" t="str">
        <x:v>孙亦川：‘第一、第二宇宙速度只帮助理解量级。梦舟不是以一个固定的第二宇宙速度撞向大气层，而是沿精确走廊分两次利用大气减速。’</x:v>
      </x:c>
      <x:c r="L102" s="100" t="n">
        <x:v>52</x:v>
      </x:c>
      <x:c r="M102" s="100" t="n">
        <x:v>0</x:v>
      </x:c>
      <x:c r="N102" s="100" t="n">
        <x:f>MAX(0,F102-M102)</x:f>
        <x:v>0</x:v>
      </x:c>
      <x:c r="O102" s="100" t="n">
        <x:f>IF(L102=0,0,IF(N102=0,99,L102/N102))</x:f>
        <x:v>99</x:v>
      </x:c>
      <x:c r="P102" s="100" t="n">
        <x:v>3.2</x:v>
      </x:c>
      <x:c r="Q102" s="96" t="str">
        <x:f>IF(F102=0,"已删除",IF(L102=0,"无对白",IF(N102=0,"需跨镜",IF(O102&lt;=P102,"可执行",IF(O102&lt;=P102+0.4,"临界","需压词/跨镜")))))</x:f>
        <x:v>已删除</x:v>
      </x:c>
      <x:c r="R102" s="99" t="str">
        <x:v>删除第二宇宙速度纠错课；镜092和轨迹图已足够建立再入任务，避免连续两段教材式说明。</x:v>
      </x:c>
      <x:c r="S102" s="99" t="str">
        <x:v>F11</x:v>
      </x:c>
      <x:c r="T102" s="99" t="str">
        <x:v>不使用“以第二宇宙速度撞向大气层”的错误说法。</x:v>
      </x:c>
    </x:row>
    <x:row r="103" ht="21.600000381469727" hidden="0" customHeight="1">
      <x:c r="A103" s="96" t="n">
        <x:v>13</x:v>
      </x:c>
      <x:c r="B103" s="96" t="str">
        <x:v>094</x:v>
      </x:c>
      <x:c r="C103" s="96" t="str">
        <x:v>13:03–13:13</x:v>
      </x:c>
      <x:c r="D103" s="97" t="n">
        <x:v>10</x:v>
      </x:c>
      <x:c r="E103" s="97" t="str">
        <x:v>压缩</x:v>
      </x:c>
      <x:c r="F103" s="97" t="n">
        <x:v>6</x:v>
      </x:c>
      <x:c r="G103" s="98" t="n">
        <x:f>H102</x:f>
        <x:v>0.0074884259259259235</x:v>
      </x:c>
      <x:c r="H103" s="98" t="n">
        <x:f>G103+F103/86400</x:f>
        <x:v>0.007557870370370368</x:v>
      </x:c>
      <x:c r="I103" s="99" t="str">
        <x:v>东风着陆场任务画面</x:v>
      </x:c>
      <x:c r="J103" s="99" t="str">
        <x:v>地面雷达、光学测量、终端红外、直升机和地面搜救车组进入待命；医监医保舱和样品接收箱完成检查。</x:v>
      </x:c>
      <x:c r="K103" s="99" t="str">
        <x:v>东风：‘空地搜救分队就位，医监医保与样品接收就位。’</x:v>
      </x:c>
      <x:c r="L103" s="100" t="n">
        <x:v>19</x:v>
      </x:c>
      <x:c r="M103" s="100" t="n">
        <x:v>1</x:v>
      </x:c>
      <x:c r="N103" s="100" t="n">
        <x:f>MAX(0,F103-M103)</x:f>
        <x:v>5</x:v>
      </x:c>
      <x:c r="O103" s="100" t="n">
        <x:f>IF(L103=0,0,IF(N103=0,99,L103/N103))</x:f>
        <x:v>3.8</x:v>
      </x:c>
      <x:c r="P103" s="100" t="n">
        <x:v>3.8</x:v>
      </x:c>
      <x:c r="Q103" s="96" t="str">
        <x:f>IF(F103=0,"已删除",IF(L103=0,"无对白",IF(N103=0,"需跨镜",IF(O103&lt;=P103,"可执行",IF(O103&lt;=P103+0.4,"临界","需压词/跨镜")))))</x:f>
        <x:v>可执行</x:v>
      </x:c>
      <x:c r="R103" s="99" t="str">
        <x:v>搜救系统只报就位，不逐项口播设备清单。</x:v>
      </x:c>
      <x:c r="S103" s="99" t="str">
        <x:v>F11</x:v>
      </x:c>
      <x:c r="T103" s="99" t="str">
        <x:v>主着陆场锁定东风。</x:v>
      </x:c>
    </x:row>
    <x:row r="104" ht="21.600000381469727" hidden="0" customHeight="1">
      <x:c r="A104" s="96" t="n">
        <x:v>13</x:v>
      </x:c>
      <x:c r="B104" s="96" t="str">
        <x:v>095</x:v>
      </x:c>
      <x:c r="C104" s="96" t="str">
        <x:v>13:13–13:21</x:v>
      </x:c>
      <x:c r="D104" s="97" t="n">
        <x:v>8</x:v>
      </x:c>
      <x:c r="E104" s="97" t="str">
        <x:v>压缩</x:v>
      </x:c>
      <x:c r="F104" s="97" t="n">
        <x:v>4</x:v>
      </x:c>
      <x:c r="G104" s="98" t="n">
        <x:f>H103</x:f>
        <x:v>0.007557870370370368</x:v>
      </x:c>
      <x:c r="H104" s="98" t="n">
        <x:f>G104+F104/86400</x:f>
        <x:v>0.007604166666666664</x:v>
      </x:c>
      <x:c r="I104" s="99" t="str">
        <x:v>轨迹仿真／任务图卡</x:v>
      </x:c>
      <x:c r="J104" s="99" t="str">
        <x:v>返回舱、两次再入段、黑障区和预报落区在同一张简化图上依次点亮。</x:v>
      </x:c>
      <x:c r="K104" s="99" t="str">
        <x:v>林知夏画外：‘从现在起，飞船里能说的话会越来越少，地面要靠遥测、雷达、光学和红外把这段空白接起来。’</x:v>
      </x:c>
      <x:c r="L104" s="100" t="n">
        <x:v>37</x:v>
      </x:c>
      <x:c r="M104" s="100" t="n">
        <x:v>1</x:v>
      </x:c>
      <x:c r="N104" s="100" t="n">
        <x:f>MAX(0,F104-M104)</x:f>
        <x:v>3</x:v>
      </x:c>
      <x:c r="O104" s="100" t="n">
        <x:f>IF(L104=0,0,IF(N104=0,99,L104/N104))</x:f>
        <x:v>12.333333333333334</x:v>
      </x:c>
      <x:c r="P104" s="100" t="n">
        <x:v>3.2</x:v>
      </x:c>
      <x:c r="Q104" s="96" t="str">
        <x:f>IF(F104=0,"已删除",IF(L104=0,"无对白",IF(N104=0,"需跨镜",IF(O104&lt;=P104,"可执行",IF(O104&lt;=P104+0.4,"临界","需压词/跨镜")))))</x:f>
        <x:v>需压词/跨镜</x:v>
      </x:c>
      <x:c r="R104" s="99" t="str">
        <x:v>压为‘黑障期间由地面外测接力’，具体雷达/光学/红外交给图卡。</x:v>
      </x:c>
      <x:c r="S104" s="99" t="str">
        <x:v>F11</x:v>
      </x:c>
      <x:c r="T104" s="99" t="str">
        <x:v>图卡文字和标识由后期完成。</x:v>
      </x:c>
    </x:row>
    <x:row r="105" ht="21.600000381469727" hidden="0" customHeight="1">
      <x:c r="A105" s="96" t="n">
        <x:v>14</x:v>
      </x:c>
      <x:c r="B105" s="96" t="str">
        <x:v>096</x:v>
      </x:c>
      <x:c r="C105" s="96" t="str">
        <x:v>13:21–13:30</x:v>
      </x:c>
      <x:c r="D105" s="97" t="n">
        <x:v>9</x:v>
      </x:c>
      <x:c r="E105" s="97" t="str">
        <x:v>压缩</x:v>
      </x:c>
      <x:c r="F105" s="97" t="n">
        <x:v>8</x:v>
      </x:c>
      <x:c r="G105" s="98" t="n">
        <x:f>H104</x:f>
        <x:v>0.007604166666666664</x:v>
      </x:c>
      <x:c r="H105" s="98" t="n">
        <x:f>G105+F105/86400</x:f>
        <x:v>0.0076967592592592565</x:v>
      </x:c>
      <x:c r="I105" s="99" t="str">
        <x:v>梦舟外部任务相机／视觉重建交叉</x:v>
      </x:c>
      <x:c r="J105" s="99" t="str">
        <x:v>返回舱与服务舱按程序分离，返回舱调整为再入姿态；外部全景角落标注视觉重建。</x:v>
      </x:c>
      <x:c r="K105" s="99" t="str">
        <x:v>杨凛：‘服务舱分离确认，再入姿态建立。’</x:v>
      </x:c>
      <x:c r="L105" s="100" t="n">
        <x:v>13</x:v>
      </x:c>
      <x:c r="M105" s="100" t="n">
        <x:v>1</x:v>
      </x:c>
      <x:c r="N105" s="100" t="n">
        <x:f>MAX(0,F105-M105)</x:f>
        <x:v>7</x:v>
      </x:c>
      <x:c r="O105" s="100" t="n">
        <x:f>IF(L105=0,0,IF(N105=0,99,L105/N105))</x:f>
        <x:v>1.8571428571428572</x:v>
      </x:c>
      <x:c r="P105" s="100" t="n">
        <x:v>3.8</x:v>
      </x:c>
      <x:c r="Q105" s="96" t="str">
        <x:f>IF(F105=0,"已删除",IF(L105=0,"无对白",IF(N105=0,"需跨镜",IF(O105&lt;=P105,"可执行",IF(O105&lt;=P105+0.4,"临界","需压词/跨镜")))))</x:f>
        <x:v>可执行</x:v>
      </x:c>
      <x:c r="R105" s="99" t="str">
        <x:v>压缩头尾和重复确认；保留“返回舱与服务舱按程序分离，返回舱调整为再入姿态；外部”这一任务功能。</x:v>
      </x:c>
      <x:c r="S105" s="99" t="str">
        <x:v>F11、F9</x:v>
      </x:c>
      <x:c r="T105" s="99" t="str">
        <x:v>梦舟返回舱是唯一载人密封舱。</x:v>
      </x:c>
    </x:row>
    <x:row r="106" ht="21.600000381469727" hidden="0" customHeight="1">
      <x:c r="A106" s="96" t="n">
        <x:v>14</x:v>
      </x:c>
      <x:c r="B106" s="96" t="str">
        <x:v>097</x:v>
      </x:c>
      <x:c r="C106" s="96" t="str">
        <x:v>13:30–13:39</x:v>
      </x:c>
      <x:c r="D106" s="97" t="n">
        <x:v>9</x:v>
      </x:c>
      <x:c r="E106" s="97" t="str">
        <x:v>压缩</x:v>
      </x:c>
      <x:c r="F106" s="97" t="n">
        <x:v>8</x:v>
      </x:c>
      <x:c r="G106" s="98" t="n">
        <x:f>H105</x:f>
        <x:v>0.0076967592592592565</x:v>
      </x:c>
      <x:c r="H106" s="98" t="n">
        <x:f>G106+F106/86400</x:f>
        <x:v>0.007789351851851849</x:v>
      </x:c>
      <x:c r="I106" s="99" t="str">
        <x:v>梦舟舱内三人中景</x:v>
      </x:c>
      <x:c r="J106" s="99" t="str">
        <x:v>三人固定在承力座椅，面窗外可见地球弧面；陈砚确认样品箱锁定，刘定槎监看入口参数。</x:v>
      </x:c>
      <x:c r="K106" s="99" t="str">
        <x:v>刘定槎：‘入口走廊有效。’ 陈砚：‘样品固定。’</x:v>
      </x:c>
      <x:c r="L106" s="100" t="n">
        <x:v>10</x:v>
      </x:c>
      <x:c r="M106" s="100" t="n">
        <x:v>1</x:v>
      </x:c>
      <x:c r="N106" s="100" t="n">
        <x:f>MAX(0,F106-M106)</x:f>
        <x:v>7</x:v>
      </x:c>
      <x:c r="O106" s="100" t="n">
        <x:f>IF(L106=0,0,IF(N106=0,99,L106/N106))</x:f>
        <x:v>1.4285714285714286</x:v>
      </x:c>
      <x:c r="P106" s="100" t="n">
        <x:v>3.8</x:v>
      </x:c>
      <x:c r="Q106" s="96" t="str">
        <x:f>IF(F106=0,"已删除",IF(L106=0,"无对白",IF(N106=0,"需跨镜",IF(O106&lt;=P106,"可执行",IF(O106&lt;=P106+0.4,"临界","需压词/跨镜")))))</x:f>
        <x:v>可执行</x:v>
      </x:c>
      <x:c r="R106" s="99" t="str">
        <x:v>刘定槎报入口走廊、陈砚报样品锁定，保留岗位差异。</x:v>
      </x:c>
      <x:c r="S106" s="99" t="str">
        <x:v>F11、F9</x:v>
      </x:c>
      <x:c r="T106" s="99" t="str">
        <x:v>第四次出现三座满员，进入返航兑现。</x:v>
      </x:c>
    </x:row>
    <x:row r="107" ht="21.600000381469727" hidden="0" customHeight="1">
      <x:c r="A107" s="96" t="n">
        <x:v>14</x:v>
      </x:c>
      <x:c r="B107" s="96" t="str">
        <x:v>098</x:v>
      </x:c>
      <x:c r="C107" s="96" t="str">
        <x:v>13:39–13:48</x:v>
      </x:c>
      <x:c r="D107" s="97" t="n">
        <x:v>9</x:v>
      </x:c>
      <x:c r="E107" s="97" t="str">
        <x:v>压缩</x:v>
      </x:c>
      <x:c r="F107" s="97" t="n">
        <x:v>8</x:v>
      </x:c>
      <x:c r="G107" s="98" t="n">
        <x:f>H106</x:f>
        <x:v>0.007789351851851849</x:v>
      </x:c>
      <x:c r="H107" s="98" t="n">
        <x:f>G107+F107/86400</x:f>
        <x:v>0.007881944444444441</x:v>
      </x:c>
      <x:c r="I107" s="99" t="str">
        <x:v>再入外景／视觉重建</x:v>
      </x:c>
      <x:c r="J107" s="99" t="str">
        <x:v>返回舱首次进入稀薄大气，等离子辉光从前缘建立，地球弧面快速移动。</x:v>
      </x:c>
      <x:c r="K107" s="99" t="str">
        <x:v>外景无发动机声；无线电逐渐受干扰。</x:v>
      </x:c>
      <x:c r="L107" s="100" t="n">
        <x:v>0</x:v>
      </x:c>
      <x:c r="M107" s="100" t="n">
        <x:v>2</x:v>
      </x:c>
      <x:c r="N107" s="100" t="n">
        <x:f>MAX(0,F107-M107)</x:f>
        <x:v>6</x:v>
      </x:c>
      <x:c r="O107" s="100" t="n">
        <x:f>IF(L107=0,0,IF(N107=0,99,L107/N107))</x:f>
        <x:v>0</x:v>
      </x:c>
      <x:c r="P107" s="100" t="n">
        <x:v>3.8</x:v>
      </x:c>
      <x:c r="Q107" s="96" t="str">
        <x:f>IF(F107=0,"已删除",IF(L107=0,"无对白",IF(N107=0,"需跨镜",IF(O107&lt;=P107,"可执行",IF(O107&lt;=P107+0.4,"临界","需压词/跨镜")))))</x:f>
        <x:v>无对白</x:v>
      </x:c>
      <x:c r="R107" s="99" t="str">
        <x:v>压缩头尾和重复确认；保留“返回舱首次进入稀薄大气，等离子辉光从前缘建立，地球弧”这一任务功能。</x:v>
      </x:c>
      <x:c r="S107" s="99" t="str">
        <x:v>F11、F9</x:v>
      </x:c>
      <x:c r="T107" s="99" t="str">
        <x:v>视觉重建不替代舱内与地面遥测。</x:v>
      </x:c>
    </x:row>
    <x:row r="108" ht="21.600000381469727" hidden="0" customHeight="1">
      <x:c r="A108" s="96" t="n">
        <x:v>14</x:v>
      </x:c>
      <x:c r="B108" s="96" t="str">
        <x:v>099</x:v>
      </x:c>
      <x:c r="C108" s="96" t="str">
        <x:v>13:48–13:57</x:v>
      </x:c>
      <x:c r="D108" s="97" t="n">
        <x:v>9</x:v>
      </x:c>
      <x:c r="E108" s="97" t="str">
        <x:v>压缩</x:v>
      </x:c>
      <x:c r="F108" s="97" t="n">
        <x:v>8</x:v>
      </x:c>
      <x:c r="G108" s="98" t="n">
        <x:f>H107</x:f>
        <x:v>0.007881944444444441</x:v>
      </x:c>
      <x:c r="H108" s="98" t="n">
        <x:f>G108+F108/86400</x:f>
        <x:v>0.007974537037037033</x:v>
      </x:c>
      <x:c r="I108" s="99" t="str">
        <x:v>舱内固定近景</x:v>
      </x:c>
      <x:c r="J108" s="99" t="str">
        <x:v>三名航天员承受载荷，座椅与肩带变形克制；杨凛按节奏呼吸，刘定槎读数。</x:v>
      </x:c>
      <x:c r="K108" s="99" t="str">
        <x:v>刘定槎：‘载荷上升，姿态稳定。’</x:v>
      </x:c>
      <x:c r="L108" s="100" t="n">
        <x:v>8</x:v>
      </x:c>
      <x:c r="M108" s="100" t="n">
        <x:v>1</x:v>
      </x:c>
      <x:c r="N108" s="100" t="n">
        <x:f>MAX(0,F108-M108)</x:f>
        <x:v>7</x:v>
      </x:c>
      <x:c r="O108" s="100" t="n">
        <x:f>IF(L108=0,0,IF(N108=0,99,L108/N108))</x:f>
        <x:v>1.1428571428571428</x:v>
      </x:c>
      <x:c r="P108" s="100" t="n">
        <x:v>3.8</x:v>
      </x:c>
      <x:c r="Q108" s="96" t="str">
        <x:f>IF(F108=0,"已删除",IF(L108=0,"无对白",IF(N108=0,"需跨镜",IF(O108&lt;=P108,"可执行",IF(O108&lt;=P108+0.4,"临界","需压词/跨镜")))))</x:f>
        <x:v>可执行</x:v>
      </x:c>
      <x:c r="R108" s="99" t="str">
        <x:v>压缩头尾和重复确认；保留“三名航天员承受载荷，座椅与肩带变形克制；杨凛按节奏呼”这一任务功能。</x:v>
      </x:c>
      <x:c r="S108" s="99" t="str">
        <x:v>F11、F9</x:v>
      </x:c>
      <x:c r="T108" s="99" t="str">
        <x:v>不使用夸张摇晃和尖叫。</x:v>
      </x:c>
    </x:row>
    <x:row r="109" ht="21.600000381469727" hidden="0" customHeight="1">
      <x:c r="A109" s="96" t="n">
        <x:v>14</x:v>
      </x:c>
      <x:c r="B109" s="96" t="str">
        <x:v>100</x:v>
      </x:c>
      <x:c r="C109" s="96" t="str">
        <x:v>13:57–14:08</x:v>
      </x:c>
      <x:c r="D109" s="97" t="n">
        <x:v>11</x:v>
      </x:c>
      <x:c r="E109" s="97" t="str">
        <x:v>压缩</x:v>
      </x:c>
      <x:c r="F109" s="97" t="n">
        <x:v>8</x:v>
      </x:c>
      <x:c r="G109" s="98" t="n">
        <x:f>H108</x:f>
        <x:v>0.007974537037037033</x:v>
      </x:c>
      <x:c r="H109" s="98" t="n">
        <x:f>G109+F109/86400</x:f>
        <x:v>0.008067129629629625</x:v>
      </x:c>
      <x:c r="I109" s="99" t="str">
        <x:v>轨迹仿真／专家画外</x:v>
      </x:c>
      <x:c r="J109" s="99" t="str">
        <x:v>仿真图显示返回舱在首次减速后短暂抬升，再进入第二段大气减速。</x:v>
      </x:c>
      <x:c r="K109" s="99" t="str">
        <x:v>孙亦川画外：‘第一次进入先削减能量，再通过升力控制调整航程；第二次进入把速度和落点进一步收敛到回收走廊。’</x:v>
      </x:c>
      <x:c r="L109" s="100" t="n">
        <x:v>42</x:v>
      </x:c>
      <x:c r="M109" s="100" t="n">
        <x:v>1</x:v>
      </x:c>
      <x:c r="N109" s="100" t="n">
        <x:f>MAX(0,F109-M109)</x:f>
        <x:v>7</x:v>
      </x:c>
      <x:c r="O109" s="100" t="n">
        <x:f>IF(L109=0,0,IF(N109=0,99,L109/N109))</x:f>
        <x:v>6</x:v>
      </x:c>
      <x:c r="P109" s="100" t="n">
        <x:v>3.2</x:v>
      </x:c>
      <x:c r="Q109" s="96" t="str">
        <x:f>IF(F109=0,"已删除",IF(L109=0,"无对白",IF(N109=0,"需跨镜",IF(O109&lt;=P109,"可执行",IF(O109&lt;=P109+0.4,"临界","需压词/跨镜")))))</x:f>
        <x:v>需压词/跨镜</x:v>
      </x:c>
      <x:c r="R109" s="99" t="str">
        <x:v>专家说明跨镜098-100连续铺开；8秒本镜不承担整段口播。</x:v>
      </x:c>
      <x:c r="S109" s="99" t="str">
        <x:v>F11、F9</x:v>
      </x:c>
      <x:c r="T109" s="99" t="str">
        <x:v>专家解释放在相对可读的轨迹段。</x:v>
      </x:c>
    </x:row>
    <x:row r="110" ht="21.600000381469727" hidden="0" customHeight="1">
      <x:c r="A110" s="96" t="n">
        <x:v>14</x:v>
      </x:c>
      <x:c r="B110" s="96" t="str">
        <x:v>101</x:v>
      </x:c>
      <x:c r="C110" s="96" t="str">
        <x:v>14:08–14:17</x:v>
      </x:c>
      <x:c r="D110" s="97" t="n">
        <x:v>9</x:v>
      </x:c>
      <x:c r="E110" s="97" t="str">
        <x:v>压缩</x:v>
      </x:c>
      <x:c r="F110" s="97" t="n">
        <x:v>8</x:v>
      </x:c>
      <x:c r="G110" s="98" t="n">
        <x:f>H109</x:f>
        <x:v>0.008067129629629625</x:v>
      </x:c>
      <x:c r="H110" s="98" t="n">
        <x:f>G110+F110/86400</x:f>
        <x:v>0.008159722222222218</x:v>
      </x:c>
      <x:c r="I110" s="99" t="str">
        <x:v>再入外景／视觉重建</x:v>
      </x:c>
      <x:c r="J110" s="99" t="str">
        <x:v>返回舱再次压入稠密大气，等离子辉光增强，姿态控制小幅变化。</x:v>
      </x:c>
      <x:c r="K110" s="99" t="str">
        <x:v>北京：‘第二次再入，走廊正常。’</x:v>
      </x:c>
      <x:c r="L110" s="100" t="n">
        <x:v>9</x:v>
      </x:c>
      <x:c r="M110" s="100" t="n">
        <x:v>1</x:v>
      </x:c>
      <x:c r="N110" s="100" t="n">
        <x:f>MAX(0,F110-M110)</x:f>
        <x:v>7</x:v>
      </x:c>
      <x:c r="O110" s="100" t="n">
        <x:f>IF(L110=0,0,IF(N110=0,99,L110/N110))</x:f>
        <x:v>1.2857142857142858</x:v>
      </x:c>
      <x:c r="P110" s="100" t="n">
        <x:v>3.8</x:v>
      </x:c>
      <x:c r="Q110" s="96" t="str">
        <x:f>IF(F110=0,"已删除",IF(L110=0,"无对白",IF(N110=0,"需跨镜",IF(O110&lt;=P110,"可执行",IF(O110&lt;=P110+0.4,"临界","需压词/跨镜")))))</x:f>
        <x:v>可执行</x:v>
      </x:c>
      <x:c r="R110" s="99" t="str">
        <x:v>压缩头尾和重复确认；保留“返回舱再次压入稠密大气，等离子辉光增强，姿态控制小幅”这一任务功能。</x:v>
      </x:c>
      <x:c r="S110" s="99" t="str">
        <x:v>F11、F9</x:v>
      </x:c>
      <x:c r="T110" s="99" t="str">
        <x:v>随后进入黑障，不再加入专家整段解说。</x:v>
      </x:c>
    </x:row>
    <x:row r="111" ht="21.600000381469727" hidden="0" customHeight="1">
      <x:c r="A111" s="96" t="n">
        <x:v>14</x:v>
      </x:c>
      <x:c r="B111" s="96" t="str">
        <x:v>102</x:v>
      </x:c>
      <x:c r="C111" s="96" t="str">
        <x:v>14:17–14:29</x:v>
      </x:c>
      <x:c r="D111" s="97" t="n">
        <x:v>12</x:v>
      </x:c>
      <x:c r="E111" s="97" t="str">
        <x:v>保留</x:v>
      </x:c>
      <x:c r="F111" s="97" t="n">
        <x:v>12</x:v>
      </x:c>
      <x:c r="G111" s="98" t="n">
        <x:f>H110</x:f>
        <x:v>0.008159722222222218</x:v>
      </x:c>
      <x:c r="H111" s="98" t="n">
        <x:f>G111+F111/86400</x:f>
        <x:v>0.008298611111111106</x:v>
      </x:c>
      <x:c r="I111" s="99" t="str">
        <x:v>梦舟舱内固定长镜头</x:v>
      </x:c>
      <x:c r="J111" s="99" t="str">
        <x:v>舷窗外被橙白辉光覆盖，通信指示转为不可用；三人保持程序化呼吸和监控，只有身体细微受力。</x:v>
      </x:c>
      <x:c r="K111" s="99" t="str">
        <x:v>无线电断续后消失；保留设备告警、风噪经舱体传入和呼吸声。</x:v>
      </x:c>
      <x:c r="L111" s="100" t="n">
        <x:v>0</x:v>
      </x:c>
      <x:c r="M111" s="100" t="n">
        <x:v>3</x:v>
      </x:c>
      <x:c r="N111" s="100" t="n">
        <x:f>MAX(0,F111-M111)</x:f>
        <x:v>9</x:v>
      </x:c>
      <x:c r="O111" s="100" t="n">
        <x:f>IF(L111=0,0,IF(N111=0,99,L111/N111))</x:f>
        <x:v>0</x:v>
      </x:c>
      <x:c r="P111" s="100" t="n">
        <x:v>3.8</x:v>
      </x:c>
      <x:c r="Q111" s="96" t="str">
        <x:f>IF(F111=0,"已删除",IF(L111=0,"无对白",IF(N111=0,"需跨镜",IF(O111&lt;=P111,"可执行",IF(O111&lt;=P111+0.4,"临界","需压词/跨镜")))))</x:f>
        <x:v>无对白</x:v>
      </x:c>
      <x:c r="R111" s="99" t="str">
        <x:v>黑障长镜完整保留，不增加故障，也不让激光通信绕过等离子体黑障。</x:v>
      </x:c>
      <x:c r="S111" s="99" t="str">
        <x:v>F11、F9</x:v>
      </x:c>
      <x:c r="T111" s="99" t="str">
        <x:v>黑障期以沉默和乘组状态承压。</x:v>
      </x:c>
    </x:row>
    <x:row r="112" ht="21.600000381469727" hidden="0" customHeight="1">
      <x:c r="A112" s="96" t="n">
        <x:v>14</x:v>
      </x:c>
      <x:c r="B112" s="96" t="str">
        <x:v>103</x:v>
      </x:c>
      <x:c r="C112" s="96" t="str">
        <x:v>14:29–14:39</x:v>
      </x:c>
      <x:c r="D112" s="97" t="n">
        <x:v>10</x:v>
      </x:c>
      <x:c r="E112" s="97" t="str">
        <x:v>压缩</x:v>
      </x:c>
      <x:c r="F112" s="97" t="n">
        <x:v>9</x:v>
      </x:c>
      <x:c r="G112" s="98" t="n">
        <x:f>H111</x:f>
        <x:v>0.008298611111111106</x:v>
      </x:c>
      <x:c r="H112" s="98" t="n">
        <x:f>G112+F112/86400</x:f>
        <x:v>0.008402777777777773</x:v>
      </x:c>
      <x:c r="I112" s="99" t="str">
        <x:v>北京飞控／地面外测交叉</x:v>
      </x:c>
      <x:c r="J112" s="99" t="str">
        <x:v>飞控主屏上通信链路变灰，但惯导预测、入口解算和外测搜索区仍在更新；雷达和光学系统指向预报走廊。</x:v>
      </x:c>
      <x:c r="K112" s="99" t="str">
        <x:v>北京内部口令：‘按预测轨迹继续跟踪，等待外测捕获。’</x:v>
      </x:c>
      <x:c r="L112" s="100" t="n">
        <x:v>15</x:v>
      </x:c>
      <x:c r="M112" s="100" t="n">
        <x:v>1</x:v>
      </x:c>
      <x:c r="N112" s="100" t="n">
        <x:f>MAX(0,F112-M112)</x:f>
        <x:v>8</x:v>
      </x:c>
      <x:c r="O112" s="100" t="n">
        <x:f>IF(L112=0,0,IF(N112=0,99,L112/N112))</x:f>
        <x:v>1.875</x:v>
      </x:c>
      <x:c r="P112" s="100" t="n">
        <x:v>3.8</x:v>
      </x:c>
      <x:c r="Q112" s="96" t="str">
        <x:f>IF(F112=0,"已删除",IF(L112=0,"无对白",IF(N112=0,"需跨镜",IF(O112&lt;=P112,"可执行",IF(O112&lt;=P112+0.4,"临界","需压词/跨镜")))))</x:f>
        <x:v>可执行</x:v>
      </x:c>
      <x:c r="R112" s="99" t="str">
        <x:v>压缩头尾和重复确认；保留“飞控主屏上通信链路变灰，但惯导预测、入口解算和外测搜”这一任务功能。</x:v>
      </x:c>
      <x:c r="S112" s="99" t="str">
        <x:v>F11、F9</x:v>
      </x:c>
      <x:c r="T112" s="99" t="str">
        <x:v>黑障不是地面完全失去一切判断。</x:v>
      </x:c>
    </x:row>
    <x:row r="113" ht="21.600000381469727" hidden="0" customHeight="1">
      <x:c r="A113" s="96" t="n">
        <x:v>14</x:v>
      </x:c>
      <x:c r="B113" s="96" t="str">
        <x:v>104</x:v>
      </x:c>
      <x:c r="C113" s="96" t="str">
        <x:v>14:39–14:48</x:v>
      </x:c>
      <x:c r="D113" s="97" t="n">
        <x:v>9</x:v>
      </x:c>
      <x:c r="E113" s="97" t="str">
        <x:v>压缩</x:v>
      </x:c>
      <x:c r="F113" s="97" t="n">
        <x:v>8</x:v>
      </x:c>
      <x:c r="G113" s="98" t="n">
        <x:f>H112</x:f>
        <x:v>0.008402777777777773</x:v>
      </x:c>
      <x:c r="H113" s="98" t="n">
        <x:f>G113+F113/86400</x:f>
        <x:v>0.008495370370370365</x:v>
      </x:c>
      <x:c r="I113" s="99" t="str">
        <x:v>东风终端红外任务画面</x:v>
      </x:c>
      <x:c r="J113" s="99" t="str">
        <x:v>红外画面在预报走廊中出现高温目标，跟踪框稳定后给出方位和速度趋势。</x:v>
      </x:c>
      <x:c r="K113" s="99" t="str">
        <x:v>东风：‘红外发现目标，轨迹与预报一致。’</x:v>
      </x:c>
      <x:c r="L113" s="100" t="n">
        <x:v>13</x:v>
      </x:c>
      <x:c r="M113" s="100" t="n">
        <x:v>1</x:v>
      </x:c>
      <x:c r="N113" s="100" t="n">
        <x:f>MAX(0,F113-M113)</x:f>
        <x:v>7</x:v>
      </x:c>
      <x:c r="O113" s="100" t="n">
        <x:f>IF(L113=0,0,IF(N113=0,99,L113/N113))</x:f>
        <x:v>1.8571428571428572</x:v>
      </x:c>
      <x:c r="P113" s="100" t="n">
        <x:v>3.8</x:v>
      </x:c>
      <x:c r="Q113" s="96" t="str">
        <x:f>IF(F113=0,"已删除",IF(L113=0,"无对白",IF(N113=0,"需跨镜",IF(O113&lt;=P113,"可执行",IF(O113&lt;=P113+0.4,"临界","需压词/跨镜")))))</x:f>
        <x:v>可执行</x:v>
      </x:c>
      <x:c r="R113" s="99" t="str">
        <x:v>压缩头尾和重复确认；保留“红外画面在预报走廊中出现高温目标，跟踪框稳定后给出方”这一任务功能。</x:v>
      </x:c>
      <x:c r="S113" s="99" t="str">
        <x:v>F11、F9</x:v>
      </x:c>
      <x:c r="T113" s="99" t="str">
        <x:v>红外是外测发现，不宣称恢复舱内通信。</x:v>
      </x:c>
    </x:row>
    <x:row r="114" ht="21.600000381469727" hidden="0" customHeight="1">
      <x:c r="A114" s="96" t="n">
        <x:v>14</x:v>
      </x:c>
      <x:c r="B114" s="96" t="str">
        <x:v>105</x:v>
      </x:c>
      <x:c r="C114" s="96" t="str">
        <x:v>14:48–14:57</x:v>
      </x:c>
      <x:c r="D114" s="97" t="n">
        <x:v>9</x:v>
      </x:c>
      <x:c r="E114" s="97" t="str">
        <x:v>压缩</x:v>
      </x:c>
      <x:c r="F114" s="97" t="n">
        <x:v>8</x:v>
      </x:c>
      <x:c r="G114" s="98" t="n">
        <x:f>H113</x:f>
        <x:v>0.008495370370370365</x:v>
      </x:c>
      <x:c r="H114" s="98" t="n">
        <x:f>G114+F114/86400</x:f>
        <x:v>0.008587962962962957</x:v>
      </x:c>
      <x:c r="I114" s="99" t="str">
        <x:v>北京飞控与梦舟舱内交叉</x:v>
      </x:c>
      <x:c r="J114" s="99" t="str">
        <x:v>通信状态重新点亮；三人听见地面呼叫后依次确认。</x:v>
      </x:c>
      <x:c r="K114" s="99" t="str">
        <x:v>北京：‘梦舟，北京呼叫。’ 杨凛：‘梦舟收到，三人状态正常。’</x:v>
      </x:c>
      <x:c r="L114" s="100" t="n">
        <x:v>16</x:v>
      </x:c>
      <x:c r="M114" s="100" t="n">
        <x:v>2.6</x:v>
      </x:c>
      <x:c r="N114" s="100" t="n">
        <x:f>MAX(0,F114-M114)</x:f>
        <x:v>5.4</x:v>
      </x:c>
      <x:c r="O114" s="100" t="n">
        <x:f>IF(L114=0,0,IF(N114=0,99,L114/N114))</x:f>
        <x:v>2.962962962962963</x:v>
      </x:c>
      <x:c r="P114" s="100" t="n">
        <x:v>3.8</x:v>
      </x:c>
      <x:c r="Q114" s="96" t="str">
        <x:f>IF(F114=0,"已删除",IF(L114=0,"无对白",IF(N114=0,"需跨镜",IF(O114&lt;=P114,"可执行",IF(O114&lt;=P114+0.4,"临界","需压词/跨镜")))))</x:f>
        <x:v>可执行</x:v>
      </x:c>
      <x:c r="R114" s="99" t="str">
        <x:v>通信恢复只由杨凛报收到；另两人用身体与监控状态表现，不再合成一句‘三人正常’。</x:v>
      </x:c>
      <x:c r="S114" s="99" t="str">
        <x:v>F11、F9</x:v>
      </x:c>
      <x:c r="T114" s="99" t="str">
        <x:v>黑障恢复是明确事件点。</x:v>
      </x:c>
    </x:row>
    <x:row r="115" ht="21.600000381469727" hidden="0" customHeight="1">
      <x:c r="A115" s="96" t="n">
        <x:v>14</x:v>
      </x:c>
      <x:c r="B115" s="96" t="str">
        <x:v>106</x:v>
      </x:c>
      <x:c r="C115" s="96" t="str">
        <x:v>14:57–15:06</x:v>
      </x:c>
      <x:c r="D115" s="97" t="n">
        <x:v>9</x:v>
      </x:c>
      <x:c r="E115" s="97" t="str">
        <x:v>压缩</x:v>
      </x:c>
      <x:c r="F115" s="97" t="n">
        <x:v>7</x:v>
      </x:c>
      <x:c r="G115" s="98" t="n">
        <x:f>H114</x:f>
        <x:v>0.008587962962962957</x:v>
      </x:c>
      <x:c r="H115" s="98" t="n">
        <x:f>G115+F115/86400</x:f>
        <x:v>0.008668981481481475</x:v>
      </x:c>
      <x:c r="I115" s="99" t="str">
        <x:v>返回舱外部任务画面</x:v>
      </x:c>
      <x:c r="J115" s="99" t="str">
        <x:v>引导伞、主伞依次展开，伞衣充气稳定；返回舱姿态由高速下降转为垂直稳定。</x:v>
      </x:c>
      <x:c r="K115" s="99" t="str">
        <x:v>北京：‘主伞稳定。’ 东风：‘落点持续更新。’</x:v>
      </x:c>
      <x:c r="L115" s="100" t="n">
        <x:v>10</x:v>
      </x:c>
      <x:c r="M115" s="100" t="n">
        <x:v>1</x:v>
      </x:c>
      <x:c r="N115" s="100" t="n">
        <x:f>MAX(0,F115-M115)</x:f>
        <x:v>6</x:v>
      </x:c>
      <x:c r="O115" s="100" t="n">
        <x:f>IF(L115=0,0,IF(N115=0,99,L115/N115))</x:f>
        <x:v>1.6666666666666667</x:v>
      </x:c>
      <x:c r="P115" s="100" t="n">
        <x:v>3.8</x:v>
      </x:c>
      <x:c r="Q115" s="96" t="str">
        <x:f>IF(F115=0,"已删除",IF(L115=0,"无对白",IF(N115=0,"需跨镜",IF(O115&lt;=P115,"可执行",IF(O115&lt;=P115+0.4,"临界","需压词/跨镜")))))</x:f>
        <x:v>可执行</x:v>
      </x:c>
      <x:c r="R115" s="99" t="str">
        <x:v>压缩头尾和重复确认；保留“引导伞、主伞依次展开，伞衣充气稳定；返回舱姿态由高速”这一任务功能。</x:v>
      </x:c>
      <x:c r="S115" s="99" t="str">
        <x:v>F11、F9</x:v>
      </x:c>
      <x:c r="T115" s="99" t="str">
        <x:v>外部声采用任务机位拾音，不加配乐。</x:v>
      </x:c>
    </x:row>
    <x:row r="116" ht="21.600000381469727" hidden="0" customHeight="1">
      <x:c r="A116" s="96" t="n">
        <x:v>15</x:v>
      </x:c>
      <x:c r="B116" s="96" t="str">
        <x:v>107</x:v>
      </x:c>
      <x:c r="C116" s="96" t="str">
        <x:v>15:06–15:15</x:v>
      </x:c>
      <x:c r="D116" s="97" t="n">
        <x:v>9</x:v>
      </x:c>
      <x:c r="E116" s="97" t="str">
        <x:v>压缩</x:v>
      </x:c>
      <x:c r="F116" s="97" t="n">
        <x:v>8</x:v>
      </x:c>
      <x:c r="G116" s="98" t="n">
        <x:f>H115</x:f>
        <x:v>0.008668981481481475</x:v>
      </x:c>
      <x:c r="H116" s="98" t="n">
        <x:f>G116+F116/86400</x:f>
        <x:v>0.008761574074074067</x:v>
      </x:c>
      <x:c r="I116" s="99" t="str">
        <x:v>空中远摄／黎明</x:v>
      </x:c>
      <x:c r="J116" s="99" t="str">
        <x:v>主伞下的返回舱掠过东风着陆场荒漠上空，远处搜救直升机保持安全距离。</x:v>
      </x:c>
      <x:c r="K116" s="99" t="str">
        <x:v>东风：‘目视目标，下降正常。’</x:v>
      </x:c>
      <x:c r="L116" s="100" t="n">
        <x:v>8</x:v>
      </x:c>
      <x:c r="M116" s="100" t="n">
        <x:v>1</x:v>
      </x:c>
      <x:c r="N116" s="100" t="n">
        <x:f>MAX(0,F116-M116)</x:f>
        <x:v>7</x:v>
      </x:c>
      <x:c r="O116" s="100" t="n">
        <x:f>IF(L116=0,0,IF(N116=0,99,L116/N116))</x:f>
        <x:v>1.1428571428571428</x:v>
      </x:c>
      <x:c r="P116" s="100" t="n">
        <x:v>3.8</x:v>
      </x:c>
      <x:c r="Q116" s="96" t="str">
        <x:f>IF(F116=0,"已删除",IF(L116=0,"无对白",IF(N116=0,"需跨镜",IF(O116&lt;=P116,"可执行",IF(O116&lt;=P116+0.4,"临界","需压词/跨镜")))))</x:f>
        <x:v>可执行</x:v>
      </x:c>
      <x:c r="R116" s="99" t="str">
        <x:v>压缩头尾和重复确认；保留“主伞下的返回舱掠过东风着陆场荒漠上空，远处搜救直升机”这一任务功能。</x:v>
      </x:c>
      <x:c r="S116" s="99" t="str">
        <x:v>F11、F10</x:v>
      </x:c>
      <x:c r="T116" s="99" t="str">
        <x:v>任务机位；不使用英雄化配乐。</x:v>
      </x:c>
    </x:row>
    <x:row r="117" ht="21.600000381469727" hidden="0" customHeight="1">
      <x:c r="A117" s="96" t="n">
        <x:v>15</x:v>
      </x:c>
      <x:c r="B117" s="96" t="str">
        <x:v>108</x:v>
      </x:c>
      <x:c r="C117" s="96" t="str">
        <x:v>15:15–15:23</x:v>
      </x:c>
      <x:c r="D117" s="97" t="n">
        <x:v>8</x:v>
      </x:c>
      <x:c r="E117" s="97" t="str">
        <x:v>压缩</x:v>
      </x:c>
      <x:c r="F117" s="97" t="n">
        <x:v>7</x:v>
      </x:c>
      <x:c r="G117" s="98" t="n">
        <x:f>H116</x:f>
        <x:v>0.008761574074074067</x:v>
      </x:c>
      <x:c r="H117" s="98" t="n">
        <x:f>G117+F117/86400</x:f>
        <x:v>0.008842592592592586</x:v>
      </x:c>
      <x:c r="I117" s="99" t="str">
        <x:v>梦舟舱内三人中景</x:v>
      </x:c>
      <x:c r="J117" s="99" t="str">
        <x:v>三人进入着陆姿态，杨凛确认缓冲程序，刘定槎读出高度，陈砚保护样品状态。</x:v>
      </x:c>
      <x:c r="K117" s="99" t="str">
        <x:v>刘定槎：‘高度下降正常。’ 杨凛：‘准备着陆。’</x:v>
      </x:c>
      <x:c r="L117" s="100" t="n">
        <x:v>10</x:v>
      </x:c>
      <x:c r="M117" s="100" t="n">
        <x:v>1</x:v>
      </x:c>
      <x:c r="N117" s="100" t="n">
        <x:f>MAX(0,F117-M117)</x:f>
        <x:v>6</x:v>
      </x:c>
      <x:c r="O117" s="100" t="n">
        <x:f>IF(L117=0,0,IF(N117=0,99,L117/N117))</x:f>
        <x:v>1.6666666666666667</x:v>
      </x:c>
      <x:c r="P117" s="100" t="n">
        <x:v>3.8</x:v>
      </x:c>
      <x:c r="Q117" s="96" t="str">
        <x:f>IF(F117=0,"已删除",IF(L117=0,"无对白",IF(N117=0,"需跨镜",IF(O117&lt;=P117,"可执行",IF(O117&lt;=P117+0.4,"临界","需压词/跨镜")))))</x:f>
        <x:v>可执行</x:v>
      </x:c>
      <x:c r="R117" s="99" t="str">
        <x:v>压缩头尾和重复确认；保留“三人进入着陆姿态，杨凛确认缓冲程序，刘定槎读出高度，”这一任务功能。</x:v>
      </x:c>
      <x:c r="S117" s="99" t="str">
        <x:v>F11、F10</x:v>
      </x:c>
      <x:c r="T117" s="99" t="str">
        <x:v>三座满员母题持续到落地。</x:v>
      </x:c>
    </x:row>
    <x:row r="118" ht="21.600000381469727" hidden="0" customHeight="1">
      <x:c r="A118" s="96" t="n">
        <x:v>15</x:v>
      </x:c>
      <x:c r="B118" s="96" t="str">
        <x:v>109</x:v>
      </x:c>
      <x:c r="C118" s="96" t="str">
        <x:v>15:23–15:32</x:v>
      </x:c>
      <x:c r="D118" s="97" t="n">
        <x:v>9</x:v>
      </x:c>
      <x:c r="E118" s="97" t="str">
        <x:v>保留</x:v>
      </x:c>
      <x:c r="F118" s="97" t="n">
        <x:v>9</x:v>
      </x:c>
      <x:c r="G118" s="98" t="n">
        <x:f>H117</x:f>
        <x:v>0.008842592592592586</x:v>
      </x:c>
      <x:c r="H118" s="98" t="n">
        <x:f>G118+F118/86400</x:f>
        <x:v>0.008946759259259253</x:v>
      </x:c>
      <x:c r="I118" s="99" t="str">
        <x:v>地面长焦／舱内交叉</x:v>
      </x:c>
      <x:c r="J118" s="99" t="str">
        <x:v>返回舱接地扬尘并短距离稳定；舱内座椅吸收冲击，三人完成着陆后自检。</x:v>
      </x:c>
      <x:c r="K118" s="99" t="str">
        <x:v>杨凛：‘着陆。三人状态正常。’ 东风：‘东风确认着陆。’</x:v>
      </x:c>
      <x:c r="L118" s="100" t="n">
        <x:v>14</x:v>
      </x:c>
      <x:c r="M118" s="100" t="n">
        <x:v>3</x:v>
      </x:c>
      <x:c r="N118" s="100" t="n">
        <x:f>MAX(0,F118-M118)</x:f>
        <x:v>6</x:v>
      </x:c>
      <x:c r="O118" s="100" t="n">
        <x:f>IF(L118=0,0,IF(N118=0,99,L118/N118))</x:f>
        <x:v>2.3333333333333335</x:v>
      </x:c>
      <x:c r="P118" s="100" t="n">
        <x:v>3.8</x:v>
      </x:c>
      <x:c r="Q118" s="96" t="str">
        <x:f>IF(F118=0,"已删除",IF(L118=0,"无对白",IF(N118=0,"需跨镜",IF(O118&lt;=P118,"可执行",IF(O118&lt;=P118+0.4,"临界","需压词/跨镜")))))</x:f>
        <x:v>可执行</x:v>
      </x:c>
      <x:c r="R118" s="99" t="str">
        <x:v>接地和乘组自检保持9秒；地面确认与乘组回报错开。</x:v>
      </x:c>
      <x:c r="S118" s="99" t="str">
        <x:v>F11、F10</x:v>
      </x:c>
      <x:c r="T118" s="99" t="str">
        <x:v>接地以任务画面和舱内状态双重证明。</x:v>
      </x:c>
    </x:row>
    <x:row r="119" ht="21.600000381469727" hidden="0" customHeight="1">
      <x:c r="A119" s="96" t="n">
        <x:v>15</x:v>
      </x:c>
      <x:c r="B119" s="96" t="str">
        <x:v>110</x:v>
      </x:c>
      <x:c r="C119" s="96" t="str">
        <x:v>15:32–15:40</x:v>
      </x:c>
      <x:c r="D119" s="97" t="n">
        <x:v>8</x:v>
      </x:c>
      <x:c r="E119" s="97" t="str">
        <x:v>压缩</x:v>
      </x:c>
      <x:c r="F119" s="97" t="n">
        <x:v>7</x:v>
      </x:c>
      <x:c r="G119" s="98" t="n">
        <x:f>H118</x:f>
        <x:v>0.008946759259259253</x:v>
      </x:c>
      <x:c r="H119" s="98" t="n">
        <x:f>G119+F119/86400</x:f>
        <x:v>0.009027777777777772</x:v>
      </x:c>
      <x:c r="I119" s="99" t="str">
        <x:v>黑场与任务画面转场／后期字幕</x:v>
      </x:c>
      <x:c r="J119" s="99" t="str">
        <x:v>字幕：时间压缩｜搜救分队抵达并完成初步安全处置。画面转为直升机和地面车队接近返回舱。</x:v>
      </x:c>
      <x:c r="K119" s="99" t="str">
        <x:v>旋翼和车辆声来自地球现场；无配乐。</x:v>
      </x:c>
      <x:c r="L119" s="100" t="n">
        <x:v>0</x:v>
      </x:c>
      <x:c r="M119" s="100" t="n">
        <x:v>2</x:v>
      </x:c>
      <x:c r="N119" s="100" t="n">
        <x:f>MAX(0,F119-M119)</x:f>
        <x:v>5</x:v>
      </x:c>
      <x:c r="O119" s="100" t="n">
        <x:f>IF(L119=0,0,IF(N119=0,99,L119/N119))</x:f>
        <x:v>0</x:v>
      </x:c>
      <x:c r="P119" s="100" t="n">
        <x:v>3.8</x:v>
      </x:c>
      <x:c r="Q119" s="96" t="str">
        <x:f>IF(F119=0,"已删除",IF(L119=0,"无对白",IF(N119=0,"需跨镜",IF(O119&lt;=P119,"可执行",IF(O119&lt;=P119+0.4,"临界","需压词/跨镜")))))</x:f>
        <x:v>无对白</x:v>
      </x:c>
      <x:c r="R119" s="99" t="str">
        <x:v>字幕明确搜救抵达为时间压缩，不伪装成8秒实时。</x:v>
      </x:c>
      <x:c r="S119" s="99" t="str">
        <x:v>F11、F10</x:v>
      </x:c>
      <x:c r="T119" s="99" t="str">
        <x:v>避免把真实搜救抵达时间压缩成几秒的假实时。</x:v>
      </x:c>
    </x:row>
    <x:row r="120" ht="21.600000381469727" hidden="0" customHeight="1">
      <x:c r="A120" s="96" t="n">
        <x:v>15</x:v>
      </x:c>
      <x:c r="B120" s="96" t="str">
        <x:v>111</x:v>
      </x:c>
      <x:c r="C120" s="96" t="str">
        <x:v>15:40–15:47</x:v>
      </x:c>
      <x:c r="D120" s="97" t="n">
        <x:v>7</x:v>
      </x:c>
      <x:c r="E120" s="97" t="str">
        <x:v>压缩</x:v>
      </x:c>
      <x:c r="F120" s="97" t="n">
        <x:v>6</x:v>
      </x:c>
      <x:c r="G120" s="98" t="n">
        <x:f>H119</x:f>
        <x:v>0.009027777777777772</x:v>
      </x:c>
      <x:c r="H120" s="98" t="n">
        <x:f>G120+F120/86400</x:f>
        <x:v>0.009097222222222217</x:v>
      </x:c>
      <x:c r="I120" s="99" t="str">
        <x:v>空中搜救任务机位</x:v>
      </x:c>
      <x:c r="J120" s="99" t="str">
        <x:v>直升机俯视返回舱、警戒区和地面车队，红外窗口确认舱体热状态。</x:v>
      </x:c>
      <x:c r="K120" s="99" t="str">
        <x:v>东风：‘舱体位置确认，现场警戒建立。’</x:v>
      </x:c>
      <x:c r="L120" s="100" t="n">
        <x:v>12</x:v>
      </x:c>
      <x:c r="M120" s="100" t="n">
        <x:v>1</x:v>
      </x:c>
      <x:c r="N120" s="100" t="n">
        <x:f>MAX(0,F120-M120)</x:f>
        <x:v>5</x:v>
      </x:c>
      <x:c r="O120" s="100" t="n">
        <x:f>IF(L120=0,0,IF(N120=0,99,L120/N120))</x:f>
        <x:v>2.4</x:v>
      </x:c>
      <x:c r="P120" s="100" t="n">
        <x:v>3.8</x:v>
      </x:c>
      <x:c r="Q120" s="96" t="str">
        <x:f>IF(F120=0,"已删除",IF(L120=0,"无对白",IF(N120=0,"需跨镜",IF(O120&lt;=P120,"可执行",IF(O120&lt;=P120+0.4,"临界","需压词/跨镜")))))</x:f>
        <x:v>可执行</x:v>
      </x:c>
      <x:c r="R120" s="99" t="str">
        <x:v>压缩头尾和重复确认；保留“直升机俯视返回舱、警戒区和地面车队，红外窗口确认舱体”这一任务功能。</x:v>
      </x:c>
      <x:c r="S120" s="99" t="str">
        <x:v>F11、F10</x:v>
      </x:c>
      <x:c r="T120" s="99" t="str">
        <x:v>展示着陆场系统专业视角。</x:v>
      </x:c>
    </x:row>
    <x:row r="121" ht="21.600000381469727" hidden="0" customHeight="1">
      <x:c r="A121" s="96" t="n">
        <x:v>15</x:v>
      </x:c>
      <x:c r="B121" s="96" t="str">
        <x:v>112</x:v>
      </x:c>
      <x:c r="C121" s="96" t="str">
        <x:v>15:47–15:55</x:v>
      </x:c>
      <x:c r="D121" s="97" t="n">
        <x:v>8</x:v>
      </x:c>
      <x:c r="E121" s="97" t="str">
        <x:v>压缩</x:v>
      </x:c>
      <x:c r="F121" s="97" t="n">
        <x:v>7</x:v>
      </x:c>
      <x:c r="G121" s="98" t="n">
        <x:f>H120</x:f>
        <x:v>0.009097222222222217</x:v>
      </x:c>
      <x:c r="H121" s="98" t="n">
        <x:f>G121+F121/86400</x:f>
        <x:v>0.009178240740740735</x:v>
      </x:c>
      <x:c r="I121" s="99" t="str">
        <x:v>地面搜救近景</x:v>
      </x:c>
      <x:c r="J121" s="99" t="str">
        <x:v>处置人员检测外部环境、确认舱体姿态和危险源，随后建立开舱作业区。</x:v>
      </x:c>
      <x:c r="K121" s="99" t="str">
        <x:v>现场指挥：‘外部安全，允许进入开舱程序。’</x:v>
      </x:c>
      <x:c r="L121" s="100" t="n">
        <x:v>12</x:v>
      </x:c>
      <x:c r="M121" s="100" t="n">
        <x:v>1</x:v>
      </x:c>
      <x:c r="N121" s="100" t="n">
        <x:f>MAX(0,F121-M121)</x:f>
        <x:v>6</x:v>
      </x:c>
      <x:c r="O121" s="100" t="n">
        <x:f>IF(L121=0,0,IF(N121=0,99,L121/N121))</x:f>
        <x:v>2</x:v>
      </x:c>
      <x:c r="P121" s="100" t="n">
        <x:v>3.8</x:v>
      </x:c>
      <x:c r="Q121" s="96" t="str">
        <x:f>IF(F121=0,"已删除",IF(L121=0,"无对白",IF(N121=0,"需跨镜",IF(O121&lt;=P121,"可执行",IF(O121&lt;=P121+0.4,"临界","需压词/跨镜")))))</x:f>
        <x:v>可执行</x:v>
      </x:c>
      <x:c r="R121" s="99" t="str">
        <x:v>压缩头尾和重复确认；保留“处置人员检测外部环境、确认舱体姿态和危险源，随后建立”这一任务功能。</x:v>
      </x:c>
      <x:c r="S121" s="99" t="str">
        <x:v>F11、F10</x:v>
      </x:c>
      <x:c r="T121" s="99" t="str">
        <x:v>先安全处置，后开舱。</x:v>
      </x:c>
    </x:row>
    <x:row r="122" ht="21.600000381469727" hidden="0" customHeight="1">
      <x:c r="A122" s="96" t="n">
        <x:v>15</x:v>
      </x:c>
      <x:c r="B122" s="96" t="str">
        <x:v>113</x:v>
      </x:c>
      <x:c r="C122" s="96" t="str">
        <x:v>15:55–16:09</x:v>
      </x:c>
      <x:c r="D122" s="97" t="n">
        <x:v>14</x:v>
      </x:c>
      <x:c r="E122" s="97" t="str">
        <x:v>压缩</x:v>
      </x:c>
      <x:c r="F122" s="97" t="n">
        <x:v>9</x:v>
      </x:c>
      <x:c r="G122" s="98" t="n">
        <x:f>H121</x:f>
        <x:v>0.009178240740740735</x:v>
      </x:c>
      <x:c r="H122" s="98" t="n">
        <x:f>G122+F122/86400</x:f>
        <x:v>0.009282407407407402</x:v>
      </x:c>
      <x:c r="I122" s="99" t="str">
        <x:v>现场医监画面／何文澜画外</x:v>
      </x:c>
      <x:c r="J122" s="99" t="str">
        <x:v>医监人员在舱外准备座椅、担架、生命体征设备和遮护；返回舱舱门尚未开启。</x:v>
      </x:c>
      <x:c r="K122" s="99" t="str">
        <x:v>何文澜画外：‘经历数日失重后，航天员不能立即独立站立。医监人员会逐人评估循环、平衡和运动状态，再决定使用座椅还是担架转移。’</x:v>
      </x:c>
      <x:c r="L122" s="100" t="n">
        <x:v>49</x:v>
      </x:c>
      <x:c r="M122" s="100" t="n">
        <x:v>1</x:v>
      </x:c>
      <x:c r="N122" s="100" t="n">
        <x:f>MAX(0,F122-M122)</x:f>
        <x:v>8</x:v>
      </x:c>
      <x:c r="O122" s="100" t="n">
        <x:f>IF(L122=0,0,IF(N122=0,99,L122/N122))</x:f>
        <x:v>6.125</x:v>
      </x:c>
      <x:c r="P122" s="100" t="n">
        <x:v>3.2</x:v>
      </x:c>
      <x:c r="Q122" s="96" t="str">
        <x:f>IF(F122=0,"已删除",IF(L122=0,"无对白",IF(N122=0,"需跨镜",IF(O122&lt;=P122,"可执行",IF(O122&lt;=P122+0.4,"临界","需压词/跨镜")))))</x:f>
        <x:v>需压词/跨镜</x:v>
      </x:c>
      <x:c r="R122" s="99" t="str">
        <x:v>医学说明压为‘逐人评估后决定座椅或担架’，不要朗读循环/平衡/运动清单。</x:v>
      </x:c>
      <x:c r="S122" s="99" t="str">
        <x:v>F11、F10</x:v>
      </x:c>
      <x:c r="T122" s="99" t="str">
        <x:v>解释发生在处置画面上，不占用开舱关键口令。</x:v>
      </x:c>
    </x:row>
    <x:row r="123" ht="21.600000381469727" hidden="0" customHeight="1">
      <x:c r="A123" s="96" t="n">
        <x:v>15</x:v>
      </x:c>
      <x:c r="B123" s="96" t="str">
        <x:v>114</x:v>
      </x:c>
      <x:c r="C123" s="96" t="str">
        <x:v>16:09–16:18</x:v>
      </x:c>
      <x:c r="D123" s="97" t="n">
        <x:v>9</x:v>
      </x:c>
      <x:c r="E123" s="97" t="str">
        <x:v>压缩</x:v>
      </x:c>
      <x:c r="F123" s="97" t="n">
        <x:v>8</x:v>
      </x:c>
      <x:c r="G123" s="98" t="n">
        <x:f>H122</x:f>
        <x:v>0.009282407407407402</x:v>
      </x:c>
      <x:c r="H123" s="98" t="n">
        <x:f>G123+F123/86400</x:f>
        <x:v>0.009374999999999994</x:v>
      </x:c>
      <x:c r="I123" s="99" t="str">
        <x:v>开舱任务机位</x:v>
      </x:c>
      <x:c r="J123" s="99" t="str">
        <x:v>舱门按程序开启，医监人员先与乘组建立目视和语音联系，再进入初步评估。</x:v>
      </x:c>
      <x:c r="K123" s="99" t="str">
        <x:v>医监人员：‘舱内人员可见，开始逐人评估。’</x:v>
      </x:c>
      <x:c r="L123" s="100" t="n">
        <x:v>12</x:v>
      </x:c>
      <x:c r="M123" s="100" t="n">
        <x:v>1</x:v>
      </x:c>
      <x:c r="N123" s="100" t="n">
        <x:f>MAX(0,F123-M123)</x:f>
        <x:v>7</x:v>
      </x:c>
      <x:c r="O123" s="100" t="n">
        <x:f>IF(L123=0,0,IF(N123=0,99,L123/N123))</x:f>
        <x:v>1.7142857142857142</x:v>
      </x:c>
      <x:c r="P123" s="100" t="n">
        <x:v>3.8</x:v>
      </x:c>
      <x:c r="Q123" s="96" t="str">
        <x:f>IF(F123=0,"已删除",IF(L123=0,"无对白",IF(N123=0,"需跨镜",IF(O123&lt;=P123,"可执行",IF(O123&lt;=P123+0.4,"临界","需压词/跨镜")))))</x:f>
        <x:v>可执行</x:v>
      </x:c>
      <x:c r="R123" s="99" t="str">
        <x:v>压缩头尾和重复确认；保留“舱门按程序开启，医监人员先与乘组建立目视和语音联系，”这一任务功能。</x:v>
      </x:c>
      <x:c r="S123" s="99" t="str">
        <x:v>F11、F10</x:v>
      </x:c>
      <x:c r="T123" s="99" t="str">
        <x:v>不让航天员立即自行走出返回舱。</x:v>
      </x:c>
    </x:row>
    <x:row r="124" ht="21.600000381469727" hidden="0" customHeight="1">
      <x:c r="A124" s="96" t="n">
        <x:v>15</x:v>
      </x:c>
      <x:c r="B124" s="96" t="str">
        <x:v>115</x:v>
      </x:c>
      <x:c r="C124" s="96" t="str">
        <x:v>16:18–16:29</x:v>
      </x:c>
      <x:c r="D124" s="97" t="n">
        <x:v>11</x:v>
      </x:c>
      <x:c r="E124" s="97" t="str">
        <x:v>压缩</x:v>
      </x:c>
      <x:c r="F124" s="97" t="n">
        <x:v>10</x:v>
      </x:c>
      <x:c r="G124" s="98" t="n">
        <x:f>H123</x:f>
        <x:v>0.009374999999999994</x:v>
      </x:c>
      <x:c r="H124" s="98" t="n">
        <x:f>G124+F124/86400</x:f>
        <x:v>0.009490740740740735</x:v>
      </x:c>
      <x:c r="I124" s="99" t="str">
        <x:v>地面中景</x:v>
      </x:c>
      <x:c r="J124" s="99" t="str">
        <x:v>三名航天员按评估结果依次转移到支撑座椅或担架，现场人员保持遮护和固定。</x:v>
      </x:c>
      <x:c r="K124" s="99" t="str">
        <x:v>现场只保留姓名确认、状态报告和简短回应。</x:v>
      </x:c>
      <x:c r="L124" s="100" t="n">
        <x:v>0</x:v>
      </x:c>
      <x:c r="M124" s="100" t="n">
        <x:v>3</x:v>
      </x:c>
      <x:c r="N124" s="100" t="n">
        <x:f>MAX(0,F124-M124)</x:f>
        <x:v>7</x:v>
      </x:c>
      <x:c r="O124" s="100" t="n">
        <x:f>IF(L124=0,0,IF(N124=0,99,L124/N124))</x:f>
        <x:v>0</x:v>
      </x:c>
      <x:c r="P124" s="100" t="n">
        <x:v>3.8</x:v>
      </x:c>
      <x:c r="Q124" s="96" t="str">
        <x:f>IF(F124=0,"已删除",IF(L124=0,"无对白",IF(N124=0,"需跨镜",IF(O124&lt;=P124,"可执行",IF(O124&lt;=P124+0.4,"临界","需压词/跨镜")))))</x:f>
        <x:v>无对白</x:v>
      </x:c>
      <x:c r="R124" s="99" t="str">
        <x:v>只展示一名航天员的代表性转移，其余用任务时码匹配剪辑；不能在10秒实时完成三人。</x:v>
      </x:c>
      <x:c r="S124" s="99" t="str">
        <x:v>F11、F10</x:v>
      </x:c>
      <x:c r="T124" s="99" t="str">
        <x:v>具体转移方式按人物状态分别处理。</x:v>
      </x:c>
    </x:row>
    <x:row r="125" ht="21.600000381469727" hidden="0" customHeight="1">
      <x:c r="A125" s="96" t="n">
        <x:v>15</x:v>
      </x:c>
      <x:c r="B125" s="96" t="str">
        <x:v>116</x:v>
      </x:c>
      <x:c r="C125" s="96" t="str">
        <x:v>16:29–16:36</x:v>
      </x:c>
      <x:c r="D125" s="97" t="n">
        <x:v>7</x:v>
      </x:c>
      <x:c r="E125" s="97" t="str">
        <x:v>压缩</x:v>
      </x:c>
      <x:c r="F125" s="97" t="n">
        <x:v>6</x:v>
      </x:c>
      <x:c r="G125" s="98" t="n">
        <x:f>H124</x:f>
        <x:v>0.009490740740740735</x:v>
      </x:c>
      <x:c r="H125" s="98" t="n">
        <x:f>G125+F125/86400</x:f>
        <x:v>0.00956018518518518</x:v>
      </x:c>
      <x:c r="I125" s="99" t="str">
        <x:v>地面近景</x:v>
      </x:c>
      <x:c r="J125" s="99" t="str">
        <x:v>三名航天员坐在支撑座椅上面向任务相机挥手，救援人员仍在旁监护。</x:v>
      </x:c>
      <x:c r="K125" s="99" t="str">
        <x:v>现场掌声和简短欢呼成立；杨凛：‘谢谢大家。’</x:v>
      </x:c>
      <x:c r="L125" s="100" t="n">
        <x:v>4</x:v>
      </x:c>
      <x:c r="M125" s="100" t="n">
        <x:v>1</x:v>
      </x:c>
      <x:c r="N125" s="100" t="n">
        <x:f>MAX(0,F125-M125)</x:f>
        <x:v>5</x:v>
      </x:c>
      <x:c r="O125" s="100" t="n">
        <x:f>IF(L125=0,0,IF(N125=0,99,L125/N125))</x:f>
        <x:v>0.8</x:v>
      </x:c>
      <x:c r="P125" s="100" t="n">
        <x:v>3.8</x:v>
      </x:c>
      <x:c r="Q125" s="96" t="str">
        <x:f>IF(F125=0,"已删除",IF(L125=0,"无对白",IF(N125=0,"需跨镜",IF(O125&lt;=P125,"可执行",IF(O125&lt;=P125+0.4,"临界","需压词/跨镜")))))</x:f>
        <x:v>可执行</x:v>
      </x:c>
      <x:c r="R125" s="99" t="str">
        <x:v>三人状态区分：坐姿、担架或支撑方式须承接镜115评估结果。</x:v>
      </x:c>
      <x:c r="S125" s="99" t="str">
        <x:v>F11、F10</x:v>
      </x:c>
      <x:c r="T125" s="99" t="str">
        <x:v>挥手不等于已经完成医学处置。</x:v>
      </x:c>
    </x:row>
    <x:row r="126" ht="21.600000381469727" hidden="0" customHeight="1">
      <x:c r="A126" s="96" t="n">
        <x:v>15</x:v>
      </x:c>
      <x:c r="B126" s="96" t="str">
        <x:v>117</x:v>
      </x:c>
      <x:c r="C126" s="96" t="str">
        <x:v>16:36–16:44</x:v>
      </x:c>
      <x:c r="D126" s="97" t="n">
        <x:v>8</x:v>
      </x:c>
      <x:c r="E126" s="97" t="str">
        <x:v>保留</x:v>
      </x:c>
      <x:c r="F126" s="97" t="n">
        <x:v>8</x:v>
      </x:c>
      <x:c r="G126" s="98" t="n">
        <x:f>H125</x:f>
        <x:v>0.00956018518518518</x:v>
      </x:c>
      <x:c r="H126" s="98" t="n">
        <x:f>G126+F126/86400</x:f>
        <x:v>0.009652777777777772</x:v>
      </x:c>
      <x:c r="I126" s="99" t="str">
        <x:v>样品接收与北京飞控交叉</x:v>
      </x:c>
      <x:c r="J126" s="99" t="str">
        <x:v>密封样品箱由专门人员完成编号、交接和转运；北京飞控主屏同时显示乘组安全与样品接收。</x:v>
      </x:c>
      <x:c r="K126" s="99" t="str">
        <x:v>东风：‘乘组三人安全，样品箱完成交接。’ 北京：‘任务状态闭合。’</x:v>
      </x:c>
      <x:c r="L126" s="100" t="n">
        <x:v>19</x:v>
      </x:c>
      <x:c r="M126" s="100" t="n">
        <x:v>1</x:v>
      </x:c>
      <x:c r="N126" s="100" t="n">
        <x:f>MAX(0,F126-M126)</x:f>
        <x:v>7</x:v>
      </x:c>
      <x:c r="O126" s="100" t="n">
        <x:f>IF(L126=0,0,IF(N126=0,99,L126/N126))</x:f>
        <x:v>2.7142857142857144</x:v>
      </x:c>
      <x:c r="P126" s="100" t="n">
        <x:v>3.8</x:v>
      </x:c>
      <x:c r="Q126" s="96" t="str">
        <x:f>IF(F126=0,"已删除",IF(L126=0,"无对白",IF(N126=0,"需跨镜",IF(O126&lt;=P126,"可执行",IF(O126&lt;=P126+0.4,"临界","需压词/跨镜")))))</x:f>
        <x:v>可执行</x:v>
      </x:c>
      <x:c r="R126" s="99" t="str">
        <x:v>保留乘组安全与样品交接双闭环，删第二次‘任务状态闭合’。</x:v>
      </x:c>
      <x:c r="S126" s="99" t="str">
        <x:v>F11、F10</x:v>
      </x:c>
      <x:c r="T126" s="99" t="str">
        <x:v>任务完成由人员和样品两条线共同成立。</x:v>
      </x:c>
    </x:row>
    <x:row r="127" ht="21.600000381469727" hidden="0" customHeight="1">
      <x:c r="A127" s="96" t="n">
        <x:v>15</x:v>
      </x:c>
      <x:c r="B127" s="96" t="str">
        <x:v>118</x:v>
      </x:c>
      <x:c r="C127" s="96" t="str">
        <x:v>16:44–16:54</x:v>
      </x:c>
      <x:c r="D127" s="97" t="n">
        <x:v>10</x:v>
      </x:c>
      <x:c r="E127" s="97" t="str">
        <x:v>删除</x:v>
      </x:c>
      <x:c r="F127" s="97" t="n">
        <x:v>0</x:v>
      </x:c>
      <x:c r="G127" s="98" t="n">
        <x:f>H126</x:f>
        <x:v>0.009652777777777772</x:v>
      </x:c>
      <x:c r="H127" s="98" t="n">
        <x:f>G127+F127/86400</x:f>
        <x:v>0.009652777777777772</x:v>
      </x:c>
      <x:c r="I127" s="99" t="str">
        <x:v>媒体区记者收束</x:v>
      </x:c>
      <x:c r="J127" s="99" t="str">
        <x:v>林知夏面向镜头，身后大屏是三名航天员挥手与返回舱现场。</x:v>
      </x:c>
      <x:c r="K127" s="99" t="str">
        <x:v>林知夏：‘三名航天员平安返回，月球样品已经交接。中国首次载人登月未来纪实推演，到这里完成了它的全部任务链。’</x:v>
      </x:c>
      <x:c r="L127" s="100" t="n">
        <x:v>44</x:v>
      </x:c>
      <x:c r="M127" s="100" t="n">
        <x:v>0</x:v>
      </x:c>
      <x:c r="N127" s="100" t="n">
        <x:f>MAX(0,F127-M127)</x:f>
        <x:v>0</x:v>
      </x:c>
      <x:c r="O127" s="100" t="n">
        <x:f>IF(L127=0,0,IF(N127=0,99,L127/N127))</x:f>
        <x:v>99</x:v>
      </x:c>
      <x:c r="P127" s="100" t="n">
        <x:v>3.2</x:v>
      </x:c>
      <x:c r="Q127" s="96" t="str">
        <x:f>IF(F127=0,"已删除",IF(L127=0,"无对白",IF(N127=0,"需跨镜",IF(O127&lt;=P127,"可执行",IF(O127&lt;=P127+0.4,"临界","需压词/跨镜")))))</x:f>
        <x:v>已删除</x:v>
      </x:c>
      <x:c r="R127" s="99" t="str">
        <x:v>删除元叙事式记者总结；以乘组安全和样品交接的可见事实收束，再进片尾声明。</x:v>
      </x:c>
      <x:c r="S127" s="99" t="str">
        <x:v>F11、F10</x:v>
      </x:c>
      <x:c r="T127" s="99" t="str">
        <x:v>避免把艺术推演说成已经发生的现实事件。</x:v>
      </x:c>
    </x:row>
    <x:row r="128" ht="21.600000381469727" hidden="0" customHeight="1">
      <x:c r="A128" s="96" t="n">
        <x:v>15</x:v>
      </x:c>
      <x:c r="B128" s="96" t="str">
        <x:v>119</x:v>
      </x:c>
      <x:c r="C128" s="96" t="str">
        <x:v>16:54–17:00</x:v>
      </x:c>
      <x:c r="D128" s="97" t="n">
        <x:v>6</x:v>
      </x:c>
      <x:c r="E128" s="97" t="str">
        <x:v>保留</x:v>
      </x:c>
      <x:c r="F128" s="97" t="n">
        <x:v>6</x:v>
      </x:c>
      <x:c r="G128" s="98" t="n">
        <x:f>H127</x:f>
        <x:v>0.009652777777777772</x:v>
      </x:c>
      <x:c r="H128" s="98" t="n">
        <x:f>G128+F128/86400</x:f>
        <x:v>0.009722222222222217</x:v>
      </x:c>
      <x:c r="I128" s="99" t="str">
        <x:v>黑场／片尾推演声明</x:v>
      </x:c>
      <x:c r="J128" s="99" t="str">
        <x:v>黑场字幕重申：本片依据公开信息进行合理艺术推演；任务日期、人物、呼号、着陆坐标、未公开构型及部分流程为艺术创作。</x:v>
      </x:c>
      <x:c r="K128" s="99" t="str">
        <x:v>现场声自然淡出；无配乐。</x:v>
      </x:c>
      <x:c r="L128" s="100" t="n">
        <x:v>0</x:v>
      </x:c>
      <x:c r="M128" s="100" t="n">
        <x:v>2</x:v>
      </x:c>
      <x:c r="N128" s="100" t="n">
        <x:f>MAX(0,F128-M128)</x:f>
        <x:v>4</x:v>
      </x:c>
      <x:c r="O128" s="100" t="n">
        <x:f>IF(L128=0,0,IF(N128=0,99,L128/N128))</x:f>
        <x:v>0</x:v>
      </x:c>
      <x:c r="P128" s="100" t="n">
        <x:v>3.8</x:v>
      </x:c>
      <x:c r="Q128" s="96" t="str">
        <x:f>IF(F128=0,"已删除",IF(L128=0,"无对白",IF(N128=0,"需跨镜",IF(O128&lt;=P128,"可执行",IF(O128&lt;=P128+0.4,"临界","需压词/跨镜")))))</x:f>
        <x:v>无对白</x:v>
      </x:c>
      <x:c r="R128" s="99" t="str">
        <x:v>片尾只保留推演声明和来源边界；不再复述任务意义。</x:v>
      </x:c>
      <x:c r="S128" s="99" t="str">
        <x:v>F11、F10</x:v>
      </x:c>
      <x:c r="T128" s="99" t="str">
        <x:v>片尾声明计入素材时长；最终剪辑可与片尾字幕合并。</x:v>
      </x:c>
    </x:row>
  </x:sheetData>
  <x:mergeCells>
    <x:mergeCell ref="A1:T2"/>
    <x:mergeCell ref="A3:T3"/>
  </x:mergeCells>
  <x:conditionalFormatting sqref="E6:E128">
    <x:cfRule type="containsText" dxfId="0" priority="1" operator="containsText" text="删除"/>
    <x:cfRule type="containsText" dxfId="1" priority="2" operator="containsText" text="新增"/>
    <x:cfRule type="containsText" dxfId="2" priority="3" operator="containsText" text="压缩"/>
  </x:conditionalFormatting>
  <x:conditionalFormatting sqref="Q6:Q128">
    <x:cfRule type="containsText" dxfId="3" priority="4" operator="containsText" text="需压词/跨镜"/>
    <x:cfRule type="containsText" dxfId="4" priority="5" operator="containsText" text="临界"/>
    <x:cfRule type="containsText" dxfId="5" priority="6" operator="containsText" text="可执行"/>
  </x:conditionalFormatting>
  <x:pageMargins left="0.7" right="0.7" top="0.75" bottom="0.75" header="0.3" footer="0.3"/>
  <x:tableParts count="1">
    <x:tablePart xmlns:r="http://schemas.openxmlformats.org/officeDocument/2006/relationships" r:id="R6c08c9e2aa134e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" hidden="0" customWidth="1"/>
    <x:col min="3" max="3" width="9" hidden="0" customWidth="1"/>
    <x:col min="4" max="4" width="12" hidden="0" customWidth="1"/>
    <x:col min="5" max="5" width="14" hidden="0" customWidth="1"/>
    <x:col min="6" max="6" width="13" hidden="0" customWidth="1"/>
    <x:col min="7" max="7" width="10" hidden="0" customWidth="1"/>
    <x:col min="8" max="8" width="16" hidden="0" customWidth="1"/>
    <x:col min="9" max="9" width="58" hidden="0" customWidth="1"/>
    <x:col min="10" max="10" width="38" hidden="0" customWidth="1"/>
  </x:cols>
  <x:sheetData>
    <x:row r="1" ht="32" customHeight="1">
      <x:c r="A1" s="3" t="str">
        <x:v>重点对白时长审计</x:v>
      </x:c>
      <x:c r="B1" s="3" t="str">
        <x:v>重点对白时长审计</x:v>
      </x:c>
      <x:c r="C1" s="3" t="str">
        <x:v>重点对白时长审计</x:v>
      </x:c>
      <x:c r="D1" s="3" t="str">
        <x:v>重点对白时长审计</x:v>
      </x:c>
      <x:c r="E1" s="3" t="str">
        <x:v>重点对白时长审计</x:v>
      </x:c>
      <x:c r="F1" s="3" t="str">
        <x:v>重点对白时长审计</x:v>
      </x:c>
      <x:c r="G1" s="3" t="str">
        <x:v>重点对白时长审计</x:v>
      </x:c>
      <x:c r="H1" s="3" t="str">
        <x:v>重点对白时长审计</x:v>
      </x:c>
      <x:c r="I1" s="3" t="str">
        <x:v>重点对白时长审计</x:v>
      </x:c>
      <x:c r="J1" s="3" t="str">
        <x:v>重点对白时长审计</x:v>
      </x:c>
    </x:row>
    <x:row r="2" ht="32" customHeight="1">
      <x:c r="A2" s="3" t="str">
        <x:v>重点对白时长审计</x:v>
      </x:c>
      <x:c r="B2" s="3" t="str">
        <x:v>重点对白时长审计</x:v>
      </x:c>
      <x:c r="C2" s="3" t="str">
        <x:v>重点对白时长审计</x:v>
      </x:c>
      <x:c r="D2" s="3" t="str">
        <x:v>重点对白时长审计</x:v>
      </x:c>
      <x:c r="E2" s="3" t="str">
        <x:v>重点对白时长审计</x:v>
      </x:c>
      <x:c r="F2" s="3" t="str">
        <x:v>重点对白时长审计</x:v>
      </x:c>
      <x:c r="G2" s="3" t="str">
        <x:v>重点对白时长审计</x:v>
      </x:c>
      <x:c r="H2" s="3" t="str">
        <x:v>重点对白时长审计</x:v>
      </x:c>
      <x:c r="I2" s="3" t="str">
        <x:v>重点对白时长审计</x:v>
      </x:c>
      <x:c r="J2" s="3" t="str">
        <x:v>重点对白时长审计</x:v>
      </x:c>
    </x:row>
    <x:row r="3" ht="15" hidden="0" customHeight="1">
      <x:c r="A3" s="91" t="str">
        <x:v>本表列出最需要压词或跨镜的说明性对白。建议文本是方向稿，正式V1.3.2可继续按人物声线微调；任务口令不机械删减。</x:v>
      </x:c>
      <x:c r="B3" s="91" t="str">
        <x:v>本表列出最需要压词或跨镜的说明性对白。建议文本是方向稿，正式V1.3.2可继续按人物声线微调；任务口令不机械删减。</x:v>
      </x:c>
      <x:c r="C3" s="91" t="str">
        <x:v>本表列出最需要压词或跨镜的说明性对白。建议文本是方向稿，正式V1.3.2可继续按人物声线微调；任务口令不机械删减。</x:v>
      </x:c>
      <x:c r="D3" s="91" t="str">
        <x:v>本表列出最需要压词或跨镜的说明性对白。建议文本是方向稿，正式V1.3.2可继续按人物声线微调；任务口令不机械删减。</x:v>
      </x:c>
      <x:c r="E3" s="91" t="str">
        <x:v>本表列出最需要压词或跨镜的说明性对白。建议文本是方向稿，正式V1.3.2可继续按人物声线微调；任务口令不机械删减。</x:v>
      </x:c>
      <x:c r="F3" s="91" t="str">
        <x:v>本表列出最需要压词或跨镜的说明性对白。建议文本是方向稿，正式V1.3.2可继续按人物声线微调；任务口令不机械删减。</x:v>
      </x:c>
      <x:c r="G3" s="91" t="str">
        <x:v>本表列出最需要压词或跨镜的说明性对白。建议文本是方向稿，正式V1.3.2可继续按人物声线微调；任务口令不机械删减。</x:v>
      </x:c>
      <x:c r="H3" s="91" t="str">
        <x:v>本表列出最需要压词或跨镜的说明性对白。建议文本是方向稿，正式V1.3.2可继续按人物声线微调；任务口令不机械删减。</x:v>
      </x:c>
      <x:c r="I3" s="91" t="str">
        <x:v>本表列出最需要压词或跨镜的说明性对白。建议文本是方向稿，正式V1.3.2可继续按人物声线微调；任务口令不机械删减。</x:v>
      </x:c>
      <x:c r="J3" s="91" t="str">
        <x:v>本表列出最需要压词或跨镜的说明性对白。建议文本是方向稿，正式V1.3.2可继续按人物声线微调；任务口令不机械删减。</x:v>
      </x:c>
    </x:row>
    <x:row r="4" ht="15" hidden="0" customHeight="1">
      <x:c r="A4" s="92"/>
      <x:c r="B4" s="92"/>
      <x:c r="C4" s="92"/>
      <x:c r="D4" s="92"/>
      <x:c r="E4" s="92"/>
      <x:c r="F4" s="92"/>
      <x:c r="G4" s="92"/>
      <x:c r="H4" s="92"/>
      <x:c r="I4" s="92"/>
      <x:c r="J4" s="92"/>
    </x:row>
    <x:row r="5" ht="15" hidden="0" customHeight="1">
      <x:c r="A5" s="93" t="str">
        <x:v>镜号</x:v>
      </x:c>
      <x:c r="B5" s="94" t="str">
        <x:v>场次</x:v>
      </x:c>
      <x:c r="C5" s="94" t="str">
        <x:v>目标秒</x:v>
      </x:c>
      <x:c r="D5" s="94" t="str">
        <x:v>原对白汉字</x:v>
      </x:c>
      <x:c r="E5" s="94" t="str">
        <x:v>动作/延迟余量</x:v>
      </x:c>
      <x:c r="F5" s="94" t="str">
        <x:v>原文所需字速</x:v>
      </x:c>
      <x:c r="G5" s="94" t="str">
        <x:v>建议上限</x:v>
      </x:c>
      <x:c r="H5" s="94" t="str">
        <x:v>建议处理</x:v>
      </x:c>
      <x:c r="I5" s="94" t="str">
        <x:v>建议精简文本／跨镜方案</x:v>
      </x:c>
      <x:c r="J5" s="95" t="str">
        <x:v>判定理由</x:v>
      </x:c>
    </x:row>
    <x:row r="6" ht="21.600000381469727" hidden="0" customHeight="1">
      <x:c r="A6" s="108" t="str">
        <x:v>004</x:v>
      </x:c>
      <x:c r="B6" s="108" t="n">
        <x:v>1</x:v>
      </x:c>
      <x:c r="C6" s="109" t="n">
        <x:v>9</x:v>
      </x:c>
      <x:c r="D6" s="109" t="n">
        <x:v>48</x:v>
      </x:c>
      <x:c r="E6" s="109" t="n">
        <x:v>1</x:v>
      </x:c>
      <x:c r="F6" s="109" t="n">
        <x:v>6</x:v>
      </x:c>
      <x:c r="G6" s="109" t="n">
        <x:v>3.2</x:v>
      </x:c>
      <x:c r="H6" s="108" t="str">
        <x:v>必须压词或跨镜</x:v>
      </x:c>
      <x:c r="I6" s="110" t="str">
        <x:v>揽月先期入轨，梦舟载三名航天员随后抵达。两器正在月球轨道会合。</x:v>
      </x:c>
      <x:c r="J6" s="110" t="str">
        <x:v>说明性对白需留呼吸、视线和图卡反应；不能用抢读补时。</x:v>
      </x:c>
    </x:row>
    <x:row r="7" ht="21.600000381469727" hidden="0" customHeight="1">
      <x:c r="A7" s="111" t="str">
        <x:v>020</x:v>
      </x:c>
      <x:c r="B7" s="111" t="n">
        <x:v>3</x:v>
      </x:c>
      <x:c r="C7" s="112" t="n">
        <x:v>12</x:v>
      </x:c>
      <x:c r="D7" s="112" t="n">
        <x:v>57</x:v>
      </x:c>
      <x:c r="E7" s="112" t="n">
        <x:v>2</x:v>
      </x:c>
      <x:c r="F7" s="112" t="n">
        <x:v>5.7</x:v>
      </x:c>
      <x:c r="G7" s="112" t="n">
        <x:v>3.2</x:v>
      </x:c>
      <x:c r="H7" s="111" t="str">
        <x:v>必须压词或跨镜</x:v>
      </x:c>
      <x:c r="I7" s="113" t="str">
        <x:v>林知夏：‘两天都在休息吗？’ 何文澜：‘他们要调整作息，复核登月服、生命保障和应急程序。’</x:v>
      </x:c>
      <x:c r="J7" s="113" t="str">
        <x:v>说明性对白需留呼吸、视线和图卡反应；不能用抢读补时。</x:v>
      </x:c>
    </x:row>
    <x:row r="8" ht="21.600000381469727" hidden="0" customHeight="1">
      <x:c r="A8" s="111" t="str">
        <x:v>027</x:v>
      </x:c>
      <x:c r="B8" s="111" t="n">
        <x:v>5</x:v>
      </x:c>
      <x:c r="C8" s="112" t="n">
        <x:v>9</x:v>
      </x:c>
      <x:c r="D8" s="112" t="n">
        <x:v>52</x:v>
      </x:c>
      <x:c r="E8" s="112" t="n">
        <x:v>2</x:v>
      </x:c>
      <x:c r="F8" s="112" t="n">
        <x:v>7.428571428571429</x:v>
      </x:c>
      <x:c r="G8" s="112" t="n">
        <x:v>3.2</x:v>
      </x:c>
      <x:c r="H8" s="111" t="str">
        <x:v>必须压词或跨镜</x:v>
      </x:c>
      <x:c r="I8" s="113" t="str">
        <x:v>揽月准备分离。杨凛、陈砚下降月面，刘定槎留守梦舟。</x:v>
      </x:c>
      <x:c r="J8" s="113" t="str">
        <x:v>说明性对白需留呼吸、视线和图卡反应；不能用抢读补时。</x:v>
      </x:c>
    </x:row>
    <x:row r="9" ht="21.600000381469727" hidden="0" customHeight="1">
      <x:c r="A9" s="111" t="str">
        <x:v>035</x:v>
      </x:c>
      <x:c r="B9" s="111" t="n">
        <x:v>6</x:v>
      </x:c>
      <x:c r="C9" s="112" t="n">
        <x:v>10</x:v>
      </x:c>
      <x:c r="D9" s="112" t="n">
        <x:v>59</x:v>
      </x:c>
      <x:c r="E9" s="112" t="n">
        <x:v>2</x:v>
      </x:c>
      <x:c r="F9" s="112" t="n">
        <x:v>7.375</x:v>
      </x:c>
      <x:c r="G9" s="112" t="n">
        <x:v>3.2</x:v>
      </x:c>
      <x:c r="H9" s="111" t="str">
        <x:v>必须压词或跨镜</x:v>
      </x:c>
      <x:c r="I9" s="113" t="str">
        <x:v>下降要同时平衡推进剂、地形和时间窗口。最后几秒，由器上系统和乘组判断。</x:v>
      </x:c>
      <x:c r="J9" s="113" t="str">
        <x:v>说明性对白需留呼吸、视线和图卡反应；不能用抢读补时。</x:v>
      </x:c>
    </x:row>
    <x:row r="10" ht="21.600000381469727" hidden="0" customHeight="1">
      <x:c r="A10" s="111" t="str">
        <x:v>047</x:v>
      </x:c>
      <x:c r="B10" s="111" t="n">
        <x:v>7</x:v>
      </x:c>
      <x:c r="C10" s="112" t="n">
        <x:v>8</x:v>
      </x:c>
      <x:c r="D10" s="112" t="n">
        <x:v>38</x:v>
      </x:c>
      <x:c r="E10" s="112" t="n">
        <x:v>2</x:v>
      </x:c>
      <x:c r="F10" s="112" t="n">
        <x:v>6.333333333333333</x:v>
      </x:c>
      <x:c r="G10" s="112" t="n">
        <x:v>3.2</x:v>
      </x:c>
      <x:c r="H10" s="111" t="str">
        <x:v>必须压词或跨镜</x:v>
      </x:c>
      <x:c r="I10" s="113" t="str">
        <x:v>揽月已经着陆。两名航天员将在舱内整备约六小时，再开始出舱。</x:v>
      </x:c>
      <x:c r="J10" s="113" t="str">
        <x:v>说明性对白需留呼吸、视线和图卡反应；不能用抢读补时。</x:v>
      </x:c>
    </x:row>
    <x:row r="11" ht="21.600000381469727" hidden="0" customHeight="1">
      <x:c r="A11" s="111" t="str">
        <x:v>051</x:v>
      </x:c>
      <x:c r="B11" s="111" t="n">
        <x:v>8</x:v>
      </x:c>
      <x:c r="C11" s="112" t="n">
        <x:v>5</x:v>
      </x:c>
      <x:c r="D11" s="112" t="n">
        <x:v>45</x:v>
      </x:c>
      <x:c r="E11" s="112" t="n">
        <x:v>2</x:v>
      </x:c>
      <x:c r="F11" s="112" t="n">
        <x:v>15</x:v>
      </x:c>
      <x:c r="G11" s="112" t="n">
        <x:v>3.2</x:v>
      </x:c>
      <x:c r="H11" s="111" t="str">
        <x:v>必须压词或跨镜</x:v>
      </x:c>
      <x:c r="I11" s="113" t="str">
        <x:v>出舱程序即将开始，杨凛将首先踏上月面。</x:v>
      </x:c>
      <x:c r="J11" s="113" t="str">
        <x:v>说明性对白需留呼吸、视线和图卡反应；不能用抢读补时。</x:v>
      </x:c>
    </x:row>
    <x:row r="12" ht="21.600000381469727" hidden="0" customHeight="1">
      <x:c r="A12" s="111" t="str">
        <x:v>065</x:v>
      </x:c>
      <x:c r="B12" s="111" t="n">
        <x:v>9</x:v>
      </x:c>
      <x:c r="C12" s="112" t="n">
        <x:v>7</x:v>
      </x:c>
      <x:c r="D12" s="112" t="n">
        <x:v>44</x:v>
      </x:c>
      <x:c r="E12" s="112" t="n">
        <x:v>2</x:v>
      </x:c>
      <x:c r="F12" s="112" t="n">
        <x:v>8.8</x:v>
      </x:c>
      <x:c r="G12" s="112" t="n">
        <x:v>3.2</x:v>
      </x:c>
      <x:c r="H12" s="111" t="str">
        <x:v>必须压词或跨镜</x:v>
      </x:c>
      <x:c r="I12" s="113" t="str">
        <x:v>这面国旗沿用月面任务验证过的玄武岩纤维材料路线。</x:v>
      </x:c>
      <x:c r="J12" s="113" t="str">
        <x:v>说明性对白需留呼吸、视线和图卡反应；不能用抢读补时。</x:v>
      </x:c>
    </x:row>
    <x:row r="13" ht="21.600000381469727" hidden="0" customHeight="1">
      <x:c r="A13" s="111" t="str">
        <x:v>066</x:v>
      </x:c>
      <x:c r="B13" s="111" t="n">
        <x:v>9</x:v>
      </x:c>
      <x:c r="C13" s="112" t="n">
        <x:v>6</x:v>
      </x:c>
      <x:c r="D13" s="112" t="n">
        <x:v>42</x:v>
      </x:c>
      <x:c r="E13" s="112" t="n">
        <x:v>2</x:v>
      </x:c>
      <x:c r="F13" s="112" t="n">
        <x:v>10.5</x:v>
      </x:c>
      <x:c r="G13" s="112" t="n">
        <x:v>3.2</x:v>
      </x:c>
      <x:c r="H13" s="111" t="str">
        <x:v>必须压词或跨镜</x:v>
      </x:c>
      <x:c r="I13" s="113" t="str">
        <x:v>这里靠近月球赤道，多种地质单元集中，短程巡视也能取得不同来源的样品。</x:v>
      </x:c>
      <x:c r="J13" s="113" t="str">
        <x:v>说明性对白需留呼吸、视线和图卡反应；不能用抢读补时。</x:v>
      </x:c>
    </x:row>
    <x:row r="14" ht="21.600000381469727" hidden="0" customHeight="1">
      <x:c r="A14" s="111" t="str">
        <x:v>079</x:v>
      </x:c>
      <x:c r="B14" s="111" t="n">
        <x:v>11</x:v>
      </x:c>
      <x:c r="C14" s="112" t="n">
        <x:v>8</x:v>
      </x:c>
      <x:c r="D14" s="112" t="n">
        <x:v>31</x:v>
      </x:c>
      <x:c r="E14" s="112" t="n">
        <x:v>1</x:v>
      </x:c>
      <x:c r="F14" s="112" t="n">
        <x:v>4.428571428571429</x:v>
      </x:c>
      <x:c r="G14" s="112" t="n">
        <x:v>3.2</x:v>
      </x:c>
      <x:c r="H14" s="111" t="str">
        <x:v>必须压词或跨镜</x:v>
      </x:c>
      <x:c r="I14" s="113" t="str">
        <x:v>T+14:00至T+27:30：人员恢复、样品整理和起飞复核。</x:v>
      </x:c>
      <x:c r="J14" s="113" t="str">
        <x:v>说明性对白需留呼吸、视线和图卡反应；不能用抢读补时。</x:v>
      </x:c>
    </x:row>
    <x:row r="15" ht="21.600000381469727" hidden="0" customHeight="1">
      <x:c r="A15" s="111" t="str">
        <x:v>088</x:v>
      </x:c>
      <x:c r="B15" s="111" t="n">
        <x:v>12</x:v>
      </x:c>
      <x:c r="C15" s="112" t="n">
        <x:v>11</x:v>
      </x:c>
      <x:c r="D15" s="112" t="n">
        <x:v>65</x:v>
      </x:c>
      <x:c r="E15" s="112" t="n">
        <x:v>2</x:v>
      </x:c>
      <x:c r="F15" s="112" t="n">
        <x:v>7.222222222222222</x:v>
      </x:c>
      <x:c r="G15" s="112" t="n">
        <x:v>3.2</x:v>
      </x:c>
      <x:c r="H15" s="111" t="str">
        <x:v>必须压词或跨镜</x:v>
      </x:c>
      <x:c r="I15" s="113" t="str">
        <x:v>返航约三天。梦舟仍要完成轨道修正、热控、生保和再入准备。</x:v>
      </x:c>
      <x:c r="J15" s="113" t="str">
        <x:v>说明性对白需留呼吸、视线和图卡反应；不能用抢读补时。</x:v>
      </x:c>
    </x:row>
    <x:row r="16" ht="21.600000381469727" hidden="0" customHeight="1">
      <x:c r="A16" s="111" t="str">
        <x:v>092</x:v>
      </x:c>
      <x:c r="B16" s="111" t="n">
        <x:v>13</x:v>
      </x:c>
      <x:c r="C16" s="112" t="n">
        <x:v>7</x:v>
      </x:c>
      <x:c r="D16" s="112" t="n">
        <x:v>43</x:v>
      </x:c>
      <x:c r="E16" s="112" t="n">
        <x:v>2</x:v>
      </x:c>
      <x:c r="F16" s="112" t="n">
        <x:v>8.6</x:v>
      </x:c>
      <x:c r="G16" s="112" t="n">
        <x:v>3.2</x:v>
      </x:c>
      <x:c r="H16" s="111" t="str">
        <x:v>必须压词或跨镜</x:v>
      </x:c>
      <x:c r="I16" s="113" t="str">
        <x:v>梦舟即将高速再入。它将两次利用大气减速，并在黑障后恢复通信。</x:v>
      </x:c>
      <x:c r="J16" s="113" t="str">
        <x:v>说明性对白需留呼吸、视线和图卡反应；不能用抢读补时。</x:v>
      </x:c>
    </x:row>
    <x:row r="17" ht="21.600000381469727" hidden="0" customHeight="1">
      <x:c r="A17" s="111" t="str">
        <x:v>095</x:v>
      </x:c>
      <x:c r="B17" s="111" t="n">
        <x:v>13</x:v>
      </x:c>
      <x:c r="C17" s="112" t="n">
        <x:v>4</x:v>
      </x:c>
      <x:c r="D17" s="112" t="n">
        <x:v>37</x:v>
      </x:c>
      <x:c r="E17" s="112" t="n">
        <x:v>1</x:v>
      </x:c>
      <x:c r="F17" s="112" t="n">
        <x:v>12.333333333333334</x:v>
      </x:c>
      <x:c r="G17" s="112" t="n">
        <x:v>3.2</x:v>
      </x:c>
      <x:c r="H17" s="111" t="str">
        <x:v>必须压词或跨镜</x:v>
      </x:c>
      <x:c r="I17" s="113" t="str">
        <x:v>黑障期间，地面改由外测接力。</x:v>
      </x:c>
      <x:c r="J17" s="113" t="str">
        <x:v>说明性对白需留呼吸、视线和图卡反应；不能用抢读补时。</x:v>
      </x:c>
    </x:row>
    <x:row r="18" ht="21.600000381469727" hidden="0" customHeight="1">
      <x:c r="A18" s="111" t="str">
        <x:v>100</x:v>
      </x:c>
      <x:c r="B18" s="111" t="n">
        <x:v>14</x:v>
      </x:c>
      <x:c r="C18" s="112" t="n">
        <x:v>8</x:v>
      </x:c>
      <x:c r="D18" s="112" t="n">
        <x:v>42</x:v>
      </x:c>
      <x:c r="E18" s="112" t="n">
        <x:v>1</x:v>
      </x:c>
      <x:c r="F18" s="112" t="n">
        <x:v>6</x:v>
      </x:c>
      <x:c r="G18" s="112" t="n">
        <x:v>3.2</x:v>
      </x:c>
      <x:c r="H18" s="111" t="str">
        <x:v>必须压词或跨镜</x:v>
      </x:c>
      <x:c r="I18" s="113" t="str">
        <x:v>第一次进入削减能量并调整航程；第二次进入继续降低速度、收敛落点。</x:v>
      </x:c>
      <x:c r="J18" s="113" t="str">
        <x:v>说明性对白需留呼吸、视线和图卡反应；不能用抢读补时。</x:v>
      </x:c>
    </x:row>
    <x:row r="19" ht="21.600000381469727" hidden="0" customHeight="1">
      <x:c r="A19" s="114" t="str">
        <x:v>113</x:v>
      </x:c>
      <x:c r="B19" s="114" t="n">
        <x:v>15</x:v>
      </x:c>
      <x:c r="C19" s="115" t="n">
        <x:v>9</x:v>
      </x:c>
      <x:c r="D19" s="115" t="n">
        <x:v>49</x:v>
      </x:c>
      <x:c r="E19" s="115" t="n">
        <x:v>1</x:v>
      </x:c>
      <x:c r="F19" s="115" t="n">
        <x:v>6.125</x:v>
      </x:c>
      <x:c r="G19" s="115" t="n">
        <x:v>3.2</x:v>
      </x:c>
      <x:c r="H19" s="114" t="str">
        <x:v>必须压词或跨镜</x:v>
      </x:c>
      <x:c r="I19" s="116" t="str">
        <x:v>返回重力环境后，医监将逐人评估，再决定座椅或担架转移。</x:v>
      </x:c>
      <x:c r="J19" s="116" t="str">
        <x:v>说明性对白需留呼吸、视线和图卡反应；不能用抢读补时。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8" hidden="0" customWidth="1"/>
    <x:col min="4" max="4" width="44" hidden="0" customWidth="1"/>
    <x:col min="5" max="5" width="72" hidden="0" customWidth="1"/>
  </x:cols>
  <x:sheetData>
    <x:row r="1" ht="32" customHeight="1">
      <x:c r="A1" s="3" t="str">
        <x:v>事实依据与使用边界</x:v>
      </x:c>
      <x:c r="B1" s="3" t="str">
        <x:v>事实依据与使用边界</x:v>
      </x:c>
      <x:c r="C1" s="3" t="str">
        <x:v>事实依据与使用边界</x:v>
      </x:c>
      <x:c r="D1" s="3" t="str">
        <x:v>事实依据与使用边界</x:v>
      </x:c>
      <x:c r="E1" s="3" t="str">
        <x:v>事实依据与使用边界</x:v>
      </x:c>
    </x:row>
    <x:row r="2" ht="32" customHeight="1">
      <x:c r="A2" s="3" t="str">
        <x:v>事实依据与使用边界</x:v>
      </x:c>
      <x:c r="B2" s="3" t="str">
        <x:v>事实依据与使用边界</x:v>
      </x:c>
      <x:c r="C2" s="3" t="str">
        <x:v>事实依据与使用边界</x:v>
      </x:c>
      <x:c r="D2" s="3" t="str">
        <x:v>事实依据与使用边界</x:v>
      </x:c>
      <x:c r="E2" s="3" t="str">
        <x:v>事实依据与使用边界</x:v>
      </x:c>
    </x:row>
    <x:row r="3"/>
    <x:row r="4" ht="15" hidden="0" customHeight="1">
      <x:c r="A4" s="93" t="str">
        <x:v>编号</x:v>
      </x:c>
      <x:c r="B4" s="94" t="str">
        <x:v>主题</x:v>
      </x:c>
      <x:c r="C4" s="94" t="str">
        <x:v>可用于本片的事实</x:v>
      </x:c>
      <x:c r="D4" s="94" t="str">
        <x:v>使用边界</x:v>
      </x:c>
      <x:c r="E4" s="95" t="str">
        <x:v>URL</x:v>
      </x:c>
    </x:row>
    <x:row r="5" ht="43.20000076293945" hidden="0" customHeight="1">
      <x:c r="A5" s="108" t="str">
        <x:v>F1</x:v>
      </x:c>
      <x:c r="B5" s="108" t="str">
        <x:v>月面光照</x:v>
      </x:c>
      <x:c r="C5" s="110" t="str">
        <x:v>11.97°N、3.21°W在2029-04-22具有低太阳高度，适合硬光和长阴影。</x:v>
      </x:c>
      <x:c r="D5" s="110" t="str">
        <x:v>正式锁稿时按具体UTC时刻重新复算。</x:v>
      </x:c>
      <x:c r="E5" s="110" t="str">
        <x:v>https://ssd.jpl.nasa.gov/api/horizons.api?format=text&amp;COMMAND=%2710%27&amp;CENTER=%27coord%40301%27&amp;COORD_TYPE=%27GEODETIC%27&amp;SITE_COORD=%27-3.21,11.97,0%27&amp;START_TIME=%272029-04-21%2012:00%27&amp;STOP_TIME=%272029-04-23%2012:00%27&amp;STEP_SIZE=%2712h%27&amp;QUANTITIES=%274%27</x:v>
      </x:c>
    </x:row>
    <x:row r="6" ht="21.600000381469727" hidden="0" customHeight="1">
      <x:c r="A6" s="111" t="str">
        <x:v>F2</x:v>
      </x:c>
      <x:c r="B6" s="111" t="str">
        <x:v>中国地月激光通信</x:v>
      </x:c>
      <x:c r="C6" s="113" t="str">
        <x:v>中国已实现40万公里以上双向高速激光通信，上行1.25 Mbps、下行100 Mbps。</x:v>
      </x:c>
      <x:c r="D6" s="113" t="str">
        <x:v>推演为2029年高清影像/科学数据链合理，但不是唯一安全链。</x:v>
      </x:c>
      <x:c r="E6" s="113" t="str">
        <x:v>https://www.cas.cn/cm/202608/t20260827_5119119.shtml</x:v>
      </x:c>
    </x:row>
    <x:row r="7" ht="21.600000381469727" hidden="0" customHeight="1">
      <x:c r="A7" s="111" t="str">
        <x:v>F3</x:v>
      </x:c>
      <x:c r="B7" s="111" t="str">
        <x:v>光/射频混合链路</x:v>
      </x:c>
      <x:c r="C7" s="113" t="str">
        <x:v>光通信高带宽但受精密指向、云雾和湍流影响，多地光学站与射频备份合理。</x:v>
      </x:c>
      <x:c r="D7" s="113" t="str">
        <x:v>激光不减少约1.3秒单程光时延，也不能绕过再入黑障。</x:v>
      </x:c>
      <x:c r="E7" s="113" t="str">
        <x:v>https://www.nasa.gov/technology/space-comms/optical-communications-overview/</x:v>
      </x:c>
    </x:row>
    <x:row r="8" ht="15" hidden="0" customHeight="1">
      <x:c r="A8" s="111" t="str">
        <x:v>F4</x:v>
      </x:c>
      <x:c r="B8" s="111" t="str">
        <x:v>任务年份</x:v>
      </x:c>
      <x:c r="C8" s="113" t="str">
        <x:v>我国公开目标仍为2030年前实现中国人首次登陆月球。</x:v>
      </x:c>
      <x:c r="D8" s="113" t="str">
        <x:v>2029为艺术时间线，不代表官方任务日期。</x:v>
      </x:c>
      <x:c r="E8" s="113" t="str">
        <x:v>https://www.cmse.gov.cn/xwzx/202605/t20260523_57542.html</x:v>
      </x:c>
    </x:row>
    <x:row r="9" ht="15" hidden="0" customHeight="1">
      <x:c r="A9" s="111" t="str">
        <x:v>F5</x:v>
      </x:c>
      <x:c r="B9" s="111" t="str">
        <x:v>揽月功能</x:v>
      </x:c>
      <x:c r="C9" s="113" t="str">
        <x:v>揽月承担两名航天员月轨至月面往返，并可携带月球车和科学载荷。</x:v>
      </x:c>
      <x:c r="D9" s="113" t="str">
        <x:v>具体舱段、推进舱分离和起飞构型仍属艺术推演。</x:v>
      </x:c>
      <x:c r="E9" s="113" t="str">
        <x:v>https://www.cmse.gov.cn/xwzx/202508/t20250807_56817.html</x:v>
      </x:c>
    </x:row>
    <x:row r="10" ht="15" hidden="0" customHeight="1">
      <x:c r="A10" s="111" t="str">
        <x:v>F6</x:v>
      </x:c>
      <x:c r="B10" s="111" t="str">
        <x:v>着陆区</x:v>
      </x:c>
      <x:c r="C10" s="113" t="str">
        <x:v>波得月溪—暑湾附近具有工程可达性与多地质单元科学价值。</x:v>
      </x:c>
      <x:c r="D10" s="113" t="str">
        <x:v>项目坐标仍为艺术锁定点。</x:v>
      </x:c>
      <x:c r="E10" s="113" t="str">
        <x:v>https://www.cug.edu.cn/info/10800/117193.htm</x:v>
      </x:c>
    </x:row>
    <x:row r="11" ht="15" hidden="0" customHeight="1">
      <x:c r="A11" s="111" t="str">
        <x:v>F7</x:v>
      </x:c>
      <x:c r="B11" s="111" t="str">
        <x:v>装备名称</x:v>
      </x:c>
      <x:c r="C11" s="113" t="str">
        <x:v>登月服名称‘望宇’、载人月球车名称‘探索’可各出现一次。</x:v>
      </x:c>
      <x:c r="D11" s="113" t="str">
        <x:v>外形和接口不得写成已经公布的最终方案。</x:v>
      </x:c>
      <x:c r="E11" s="113" t="str">
        <x:v>https://www.cmse.gov.cn/xwzx/202502/t20250212_56288.html</x:v>
      </x:c>
    </x:row>
    <x:row r="12" ht="15" hidden="0" customHeight="1">
      <x:c r="A12" s="111" t="str">
        <x:v>F8</x:v>
      </x:c>
      <x:c r="B12" s="111" t="str">
        <x:v>深空测控</x:v>
      </x:c>
      <x:c r="C12" s="113" t="str">
        <x:v>佳木斯、喀什、阿根廷等深空站可接力支持月球任务。</x:v>
      </x:c>
      <x:c r="D12" s="113" t="str">
        <x:v>66米射电天线不等于光学地面站。</x:v>
      </x:c>
      <x:c r="E12" s="113" t="str">
        <x:v>https://www.cnsa.gov.cn/n6758823/n6758844/n10518102/n10518157/c10526391/content.html</x:v>
      </x:c>
    </x:row>
    <x:row r="13" ht="15" hidden="0" customHeight="1">
      <x:c r="A13" s="111" t="str">
        <x:v>F9</x:v>
      </x:c>
      <x:c r="B13" s="111" t="str">
        <x:v>再入黑障</x:v>
      </x:c>
      <x:c r="C13" s="113" t="str">
        <x:v>黑障期间船载自主制导继续，地面依靠外测与轨迹推算。</x:v>
      </x:c>
      <x:c r="D13" s="113" t="str">
        <x:v>不得用激光通信作为黑障恢复手段。</x:v>
      </x:c>
      <x:c r="E13" s="113" t="str">
        <x:v>https://www.cmse.gov.cn/fxrw/sz15/mtjj/202307/t20230706_54013.html</x:v>
      </x:c>
    </x:row>
    <x:row r="14" ht="21.600000381469727" hidden="0" customHeight="1">
      <x:c r="A14" s="111" t="str">
        <x:v>F10</x:v>
      </x:c>
      <x:c r="B14" s="111" t="str">
        <x:v>东风回收与医学</x:v>
      </x:c>
      <x:c r="C14" s="113" t="str">
        <x:v>搜救抵达、外部安全处置、开舱、医监医保和样品交接需按状态门展开。</x:v>
      </x:c>
      <x:c r="D14" s="113" t="str">
        <x:v>首次载人登月正式返回场尚未公布，东风保持艺术推演标识。</x:v>
      </x:c>
      <x:c r="E14" s="113" t="str">
        <x:v>https://www.cmse.gov.cn/xwzx/202204/t20220416_49536.html</x:v>
      </x:c>
    </x:row>
    <x:row r="15" ht="15" hidden="0" customHeight="1">
      <x:c r="A15" s="111" t="str">
        <x:v>F11</x:v>
      </x:c>
      <x:c r="B15" s="111" t="str">
        <x:v>原稿内部基线</x:v>
      </x:c>
      <x:c r="C15" s="113" t="str">
        <x:v>V1.3.1的119镜、三类视角、真空声学、乘组位置和任务时间链。</x:v>
      </x:c>
      <x:c r="D15" s="113" t="str">
        <x:v>本表只提出V1.3.2执行方案，不修改原稿。</x:v>
      </x:c>
      <x:c r="E15" s="113" t="str">
        <x:v>D:\Ai影视制作\2026项目\002-2026项目\012-《奔月》\文本\奔月_正式分镜稿_V1.3.1.docx</x:v>
      </x:c>
    </x:row>
    <x:row r="16" ht="15" hidden="0" customHeight="1">
      <x:c r="A16" s="114" t="str">
        <x:v>F12</x:v>
      </x:c>
      <x:c r="B16" s="114" t="str">
        <x:v>月面国旗材料</x:v>
      </x:c>
      <x:c r="C16" s="116" t="str">
        <x:v>玄武岩纤维材料路线已有月面任务公开依据。</x:v>
      </x:c>
      <x:c r="D16" s="116" t="str">
        <x:v>载人登月国旗具体结构继续标记为艺术推演。</x:v>
      </x:c>
      <x:c r="E16" s="116" t="str">
        <x:v>https://www.cnsa.gov.cn/n6758823/n6758844/n10518102/n10518157/c10548447/content.html</x:v>
      </x:c>
    </x:row>
  </x:sheetData>
  <x:mergeCells>
    <x:mergeCell ref="A1:E2"/>
  </x:mergeCells>
  <x:pageMargins left="0.7" right="0.7" top="0.75" bottom="0.75" header="0.3" footer="0.3"/>
</x:worksheet>
</file>