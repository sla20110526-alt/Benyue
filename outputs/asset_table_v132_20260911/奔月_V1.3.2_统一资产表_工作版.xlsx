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7463ee9e7646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决策总览" sheetId="1" r:id="R3f9e302516134946"/>
    <x:sheet xmlns:r="http://schemas.openxmlformats.org/officeDocument/2006/relationships" name="资产主表" sheetId="2" r:id="R849cc73f302c4364"/>
    <x:sheet xmlns:r="http://schemas.openxmlformats.org/officeDocument/2006/relationships" name="旧资产复用审计" sheetId="3" r:id="R2d811b548f314e9f"/>
    <x:sheet xmlns:r="http://schemas.openxmlformats.org/officeDocument/2006/relationships" name="Prompt控制项" sheetId="4" r:id="R637399165cca47a9"/>
    <x:sheet xmlns:r="http://schemas.openxmlformats.org/officeDocument/2006/relationships" name="优先级" sheetId="5" r:id="R0128bb80b60a431e"/>
    <x:sheet xmlns:r="http://schemas.openxmlformats.org/officeDocument/2006/relationships" name="屏幕席位重做" sheetId="6" r:id="R47079094c55c412d"/>
    <x:sheet xmlns:r="http://schemas.openxmlformats.org/officeDocument/2006/relationships" name="顾问核查" sheetId="7" r:id="R9a9d914b3ee344ec"/>
    <x:sheet xmlns:r="http://schemas.openxmlformats.org/officeDocument/2006/relationships" name="能力加载" sheetId="8" r:id="R521e4e2a5e854e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6"/>
      <x:color rgb="FFFFFFFF"/>
      <x:name val="Microsoft YaHei"/>
    </x:font>
    <x:font>
      <x:sz val="10"/>
      <x:color rgb="FF17365D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b/>
      <x:sz val="13"/>
      <x:color rgb="FF17365D"/>
      <x:name val="Microsoft YaHei"/>
    </x:font>
    <x:font>
      <x:sz val="9"/>
      <x:name val="Microsoft YaHei"/>
    </x:font>
    <x:font>
      <x:i/>
      <x:sz val="11"/>
      <x:color rgb="FF595959"/>
      <x:name val="Microsoft YaHei"/>
    </x:font>
    <x:font>
      <x:b/>
      <x:sz val="10"/>
      <x:color rgb="FFFFFFFF"/>
      <x:name val="Microsoft YaHei"/>
    </x:font>
    <x:font>
      <x:sz val="9"/>
      <x:color rgb="FF222222"/>
      <x:name val="Microsoft YaHei"/>
    </x:font>
    <x:font>
      <x:b/>
      <x:sz val="9"/>
      <x:color rgb="FF17365D"/>
      <x:name val="Microsoft YaHei"/>
    </x:font>
    <x:font>
      <x:b/>
      <x:sz val="9"/>
      <x:color rgb="FFC00000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vertical="center" wrapText="1"/>
    </x:xf>
    <x:xf numFmtId="0" fontId="9" fillId="8" borderId="1" xfId="0" applyNumberFormat="1" applyFont="1" applyFill="1" applyBorder="1" applyAlignment="1">
      <x:alignment vertical="center" wrapText="1"/>
    </x:xf>
    <x:xf numFmtId="0" fontId="9" fillId="6" borderId="1" xfId="0" applyNumberFormat="1" applyFont="1" applyFill="1" applyBorder="1" applyAlignment="1">
      <x:alignment vertical="center" wrapText="1"/>
    </x:xf>
    <x:xf numFmtId="0" fontId="9" fillId="5" borderId="1" xfId="0" applyNumberFormat="1" applyFont="1" applyFill="1" applyBorder="1" applyAlignment="1">
      <x:alignment vertical="center" wrapText="1"/>
    </x:xf>
    <x:xf numFmtId="0" fontId="10" fillId="0" borderId="1" xfId="0" applyNumberFormat="1" applyFont="1" applyFill="1" applyBorder="1" applyAlignment="1">
      <x:alignment vertical="center" wrapText="1"/>
    </x:xf>
    <x:xf numFmtId="0" fontId="9" fillId="7" borderId="1" xfId="0" applyNumberFormat="1" applyFont="1" applyFill="1" applyBorder="1" applyAlignment="1">
      <x:alignment vertical="center" wrapText="1"/>
    </x:xf>
    <x:xf numFmtId="0" fontId="11" fillId="6" borderId="1" xfId="0" applyNumberFormat="1" applyFont="1" applyFill="1" applyBorder="1" applyAlignment="1">
      <x:alignment vertical="center" wrapText="1"/>
    </x:xf>
    <x:xf numFmtId="0" fontId="10" fillId="5" borderId="1" xfId="0" applyNumberFormat="1" applyFont="1" applyFill="1" applyBorder="1" applyAlignment="1">
      <x:alignment vertical="center" wrapText="1"/>
    </x:xf>
    <x:xf numFmtId="0" fontId="9" fillId="3" borderId="1" xfId="0" applyNumberFormat="1" applyFont="1" applyFill="1" applyBorder="1" applyAlignment="1">
      <x:alignment vertical="center" wrapText="1"/>
    </x:xf>
    <x:xf numFmtId="0" fontId="10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eaa7641fb942ee" /><Relationship Type="http://schemas.openxmlformats.org/officeDocument/2006/relationships/theme" Target="/xl/theme/theme1.xml" Id="R0aabfb45e75f43b2" /><Relationship Type="http://schemas.openxmlformats.org/officeDocument/2006/relationships/sharedStrings" Target="/xl/sharedStrings.xml" Id="R87fefbc8814741cc" /><Relationship Type="http://schemas.openxmlformats.org/officeDocument/2006/relationships/worksheet" Target="/xl/worksheets/sheet1.xml" Id="R3f9e302516134946" /><Relationship Type="http://schemas.openxmlformats.org/officeDocument/2006/relationships/worksheet" Target="/xl/worksheets/sheet2.xml" Id="R849cc73f302c4364" /><Relationship Type="http://schemas.openxmlformats.org/officeDocument/2006/relationships/worksheet" Target="/xl/worksheets/sheet3.xml" Id="R2d811b548f314e9f" /><Relationship Type="http://schemas.openxmlformats.org/officeDocument/2006/relationships/worksheet" Target="/xl/worksheets/sheet4.xml" Id="R637399165cca47a9" /><Relationship Type="http://schemas.openxmlformats.org/officeDocument/2006/relationships/worksheet" Target="/xl/worksheets/sheet5.xml" Id="R0128bb80b60a431e" /><Relationship Type="http://schemas.openxmlformats.org/officeDocument/2006/relationships/worksheet" Target="/xl/worksheets/sheet6.xml" Id="R47079094c55c412d" /><Relationship Type="http://schemas.openxmlformats.org/officeDocument/2006/relationships/worksheet" Target="/xl/worksheets/sheet7.xml" Id="R9a9d914b3ee344ec" /><Relationship Type="http://schemas.openxmlformats.org/officeDocument/2006/relationships/worksheet" Target="/xl/worksheets/sheet8.xml" Id="R521e4e2a5e854e7b" /></Relationships>
</file>

<file path=xl/tables/table1.xml><?xml version="1.0" encoding="utf-8"?>
<x:table xmlns:x="http://schemas.openxmlformats.org/spreadsheetml/2006/main" id="1" name="AssetMaster" displayName="AssetMaster" ref="A5:L111" headerRowCount="1" totalsRowCount="0" totalsRowShown="0">
  <x:tableColumns count="12">
    <x:tableColumn id="1" name="生产资产ID"/>
    <x:tableColumn id="2" name="类型"/>
    <x:tableColumn id="3" name="资产名称"/>
    <x:tableColumn id="4" name="V1.3.2优先级"/>
    <x:tableColumn id="5" name="处置"/>
    <x:tableColumn id="6" name="生产方式"/>
    <x:tableColumn id="7" name="本轮必须处理"/>
    <x:tableColumn id="8" name="关联范围／新依据"/>
    <x:tableColumn id="9" name="执行Skill"/>
    <x:tableColumn id="10" name="Profile／顾问"/>
    <x:tableColumn id="11" name="锁定条件"/>
    <x:tableColumn id="12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useAudit" displayName="ReuseAudit" ref="A5:N186" headerRowCount="1" totalsRowCount="0" totalsRowShown="0">
  <x:tableColumns count="14">
    <x:tableColumn id="1" name="旧／新增资产ID"/>
    <x:tableColumn id="2" name="类型"/>
    <x:tableColumn id="3" name="资产名称"/>
    <x:tableColumn id="4" name="旧优先级"/>
    <x:tableColumn id="5" name="旧确认状态"/>
    <x:tableColumn id="6" name="旧阶段2建议"/>
    <x:tableColumn id="7" name="V1.3.2处置"/>
    <x:tableColumn id="8" name="V1.3.2优先级"/>
    <x:tableColumn id="9" name="生产方式"/>
    <x:tableColumn id="10" name="必须处理／继承边界"/>
    <x:tableColumn id="11" name="处置理由"/>
    <x:tableColumn id="12" name="去向"/>
    <x:tableColumn id="13" name="原关联场次／镜头"/>
    <x:tableColumn id="14" name="原信息来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mptControl" displayName="PromptControl" ref="A5:K68" headerRowCount="1" totalsRowCount="0" totalsRowShown="0">
  <x:tableColumns count="11">
    <x:tableColumn id="1" name="来源／控制ID"/>
    <x:tableColumn id="2" name="类型"/>
    <x:tableColumn id="3" name="控制项"/>
    <x:tableColumn id="4" name="优先级"/>
    <x:tableColumn id="5" name="执行方式"/>
    <x:tableColumn id="6" name="逐镜Prompt与物理约束"/>
    <x:tableColumn id="7" name="独立资产"/>
    <x:tableColumn id="8" name="依赖的稳定资产"/>
    <x:tableColumn id="9" name="关联镜头／场景"/>
    <x:tableColumn id="10" name="验收要点"/>
    <x:tableColumn id="11" name="依据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ssetPriority" displayName="AssetPriority" ref="A5:F111" headerRowCount="1" totalsRowCount="0" totalsRowShown="0">
  <x:tableColumns count="6">
    <x:tableColumn id="1" name="优先级"/>
    <x:tableColumn id="2" name="生产资产ID"/>
    <x:tableColumn id="3" name="类型"/>
    <x:tableColumn id="4" name="资产名称"/>
    <x:tableColumn id="5" name="处置"/>
    <x:tableColumn id="6" name="阻断关系／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creenSeatRedo" displayName="ScreenSeatRedo" ref="A5:H13" headerRowCount="1" totalsRowCount="0" totalsRowShown="0">
  <x:tableColumns count="8">
    <x:tableColumn id="1" name="重做包"/>
    <x:tableColumn id="2" name="对象"/>
    <x:tableColumn id="3" name="相关资产／镜头"/>
    <x:tableColumn id="4" name="为什么必须重做"/>
    <x:tableColumn id="5" name="本轮交付"/>
    <x:tableColumn id="6" name="先决核查"/>
    <x:tableColumn id="7" name="验收红线"/>
    <x:tableColumn id="8" name="优先级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nsultantAudit" displayName="ConsultantAudit" ref="A5:H9" headerRowCount="1" totalsRowCount="0" totalsRowShown="0">
  <x:tableColumns count="8">
    <x:tableColumn id="1" name="核查专题"/>
    <x:tableColumn id="2" name="状态"/>
    <x:tableColumn id="3" name="已核事实"/>
    <x:tableColumn id="4" name="本片可用推断"/>
    <x:tableColumn id="5" name="待核／未锁定"/>
    <x:tableColumn id="6" name="直接影响资产"/>
    <x:tableColumn id="7" name="制作禁项"/>
    <x:tableColumn id="8" name="官方来源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apabilityPlan" displayName="CapabilityPlan" ref="A5:F17" headerRowCount="1" totalsRowCount="0" totalsRowShown="0">
  <x:tableColumns count="6">
    <x:tableColumn id="1" name="能力"/>
    <x:tableColumn id="2" name="类别"/>
    <x:tableColumn id="3" name="版本／状态"/>
    <x:tableColumn id="4" name="当前用途"/>
    <x:tableColumn id="5" name="授权范围"/>
    <x:tableColumn id="6" name="当前决定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54b3614060a49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3fab5cfc2c043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7c5380120f0464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ff1e0e11d47424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d8ae22683e946d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c8629a073fc4cd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6362a3524324924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31" hidden="0" customWidth="1"/>
    <x:col min="4" max="4" width="14" hidden="0" customWidth="1"/>
    <x:col min="5" max="5" width="2" hidden="0" customWidth="1"/>
    <x:col min="6" max="6" width="18" hidden="0" customWidth="1"/>
    <x:col min="7" max="7" width="30" hidden="0" customWidth="1"/>
    <x:col min="8" max="8" width="24" hidden="0" customWidth="1"/>
    <x:col min="9" max="9" width="12" hidden="0" customWidth="1"/>
    <x:col min="10" max="10" width="24" hidden="0" customWidth="1"/>
    <x:col min="11" max="11" width="34" hidden="0" customWidth="1"/>
    <x:col min="12" max="12" width="29" hidden="0" customWidth="1"/>
  </x:cols>
  <x:sheetData>
    <x:row r="1" ht="30" customHeight="1">
      <x:c r="A1" s="3" t="str">
        <x:v>《奔月》V1.3.2 统一资产表｜工作版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7" t="str">
        <x:v>依据用户2026-09-11确认：六名人脸保留为候选身份母图；刘定槎重做年龄；屏幕、席位职责和人员调度强制重做；佳木斯／喀什外景降为P3空镜；VFX／同期声按独立资产与Prompt控制拆分。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</x:row>
    <x:row r="4">
      <x:c r="A4" s="28" t="str">
        <x:v>关键指标</x:v>
      </x:c>
      <x:c r="B4" s="28" t="str">
        <x:v>数量</x:v>
      </x:c>
      <x:c r="C4" s="28" t="str">
        <x:v>口径</x:v>
      </x:c>
      <x:c r="D4" s="28" t="str">
        <x:v>状态</x:v>
      </x:c>
      <x:c r="E4" s="27"/>
      <x:c r="F4" s="29" t="str">
        <x:v>本轮不可回退的决定</x:v>
      </x:c>
      <x:c r="G4" s="29" t="str">
        <x:v>对象</x:v>
      </x:c>
      <x:c r="H4" s="29" t="str">
        <x:v>处置</x:v>
      </x:c>
      <x:c r="I4" s="29" t="str">
        <x:v>优先级</x:v>
      </x:c>
      <x:c r="J4" s="29" t="str">
        <x:v>谁先做</x:v>
      </x:c>
      <x:c r="K4" s="29" t="str">
        <x:v>完成条件</x:v>
      </x:c>
      <x:c r="L4" s="29" t="str">
        <x:v>备注</x:v>
      </x:c>
    </x:row>
    <x:row r="5">
      <x:c r="A5" s="14" t="str">
        <x:v>V1.3.2独立／混合资产</x:v>
      </x:c>
      <x:c r="B5" s="15" t="n">
        <x:f>COUNTA('资产主表'!$A$6:$A$250)</x:f>
        <x:v>106</x:v>
      </x:c>
      <x:c r="C5" s="14" t="str">
        <x:v>进入资产生产主表的稳定对象或P0物理基准测试包</x:v>
      </x:c>
      <x:c r="D5" s="16" t="str">
        <x:v>工作版</x:v>
      </x:c>
      <x:c r="E5" s="27"/>
      <x:c r="F5" s="22" t="str">
        <x:v>人脸身份</x:v>
      </x:c>
      <x:c r="G5" s="21" t="str">
        <x:v>陈砚、杨凛、顾青岚、何文澜、林知夏、孙亦川</x:v>
      </x:c>
      <x:c r="H5" s="23" t="str">
        <x:v>保留候选身份母图</x:v>
      </x:c>
      <x:c r="I5" s="21" t="str">
        <x:v>原P0/P1</x:v>
      </x:c>
      <x:c r="J5" s="21" t="str">
        <x:v>人物资产</x:v>
      </x:c>
      <x:c r="K5" s="21" t="str">
        <x:v>完成最终身份母图选择与登记</x:v>
      </x:c>
      <x:c r="L5" s="21" t="str">
        <x:v>‘孙亦川’为当前角色；历史‘孙屹川’不复活</x:v>
      </x:c>
    </x:row>
    <x:row r="6">
      <x:c r="A6" s="14" t="str">
        <x:v>保留候选</x:v>
      </x:c>
      <x:c r="B6" s="15" t="n">
        <x:f>COUNTIF('资产主表'!$E$6:$E$250,"保留候选")+COUNTIF('资产主表'!$E$6:$E$250,"P3空镜候选")</x:f>
        <x:v>35</x:v>
      </x:c>
      <x:c r="C6" s="14" t="str">
        <x:v>包括人脸／服装／其他待最终确认候选</x:v>
      </x:c>
      <x:c r="D6" s="16" t="str">
        <x:v>需逐项确认</x:v>
      </x:c>
      <x:c r="E6" s="27"/>
      <x:c r="F6" s="22" t="str">
        <x:v>人物年龄</x:v>
      </x:c>
      <x:c r="G6" s="21" t="str">
        <x:v>刘定槎</x:v>
      </x:c>
      <x:c r="H6" s="23" t="str">
        <x:v>重做年龄</x:v>
      </x:c>
      <x:c r="I6" s="21" t="str">
        <x:v>P0</x:v>
      </x:c>
      <x:c r="J6" s="21" t="str">
        <x:v>人物资产</x:v>
      </x:c>
      <x:c r="K6" s="21" t="str">
        <x:v>新年龄层与面声一致性通过</x:v>
      </x:c>
      <x:c r="L6" s="21" t="str">
        <x:v>保留职业气质，不沿用现图年龄</x:v>
      </x:c>
    </x:row>
    <x:row r="7">
      <x:c r="A7" s="14" t="str">
        <x:v>重做／新增重做／强制重做</x:v>
      </x:c>
      <x:c r="B7" s="15" t="n">
        <x:f>COUNTIF('资产主表'!$E$6:$E$250,"重做")+COUNTIF('资产主表'!$E$6:$E$250,"新增重做")+COUNTIF('资产主表'!$E$6:$E$250,"强制重做")</x:f>
        <x:v>36</x:v>
      </x:c>
      <x:c r="C7" s="14" t="str">
        <x:v>含新增屏幕、内部测控区与强制重做项</x:v>
      </x:c>
      <x:c r="D7" s="16" t="str">
        <x:v>立即处理</x:v>
      </x:c>
      <x:c r="E7" s="27"/>
      <x:c r="F7" s="22" t="str">
        <x:v>飞控体系</x:v>
      </x:c>
      <x:c r="G7" s="21" t="str">
        <x:v>屏幕、席位职责、人员调度</x:v>
      </x:c>
      <x:c r="H7" s="23" t="str">
        <x:v>全部重做</x:v>
      </x:c>
      <x:c r="I7" s="21" t="str">
        <x:v>P0</x:v>
      </x:c>
      <x:c r="J7" s="21" t="str">
        <x:v>顾问＋场景／道具＋场戏设计</x:v>
      </x:c>
      <x:c r="K7" s="21" t="str">
        <x:v>职责矩阵、信息源、授权动作和人数闭合</x:v>
      </x:c>
      <x:c r="L7" s="21" t="str">
        <x:v>旧图仅作反例／追溯</x:v>
      </x:c>
    </x:row>
    <x:row r="8">
      <x:c r="A8" s="14" t="str">
        <x:v>Prompt控制行</x:v>
      </x:c>
      <x:c r="B8" s="15" t="n">
        <x:f>COUNTA('Prompt控制项'!$A$6:$A$250)</x:f>
        <x:v>63</x:v>
      </x:c>
      <x:c r="C8" s="14" t="str">
        <x:v>VFX、非人物同期声、动作链、灯光与关系约束</x:v>
      </x:c>
      <x:c r="D8" s="16" t="str">
        <x:v>镜头阶段执行</x:v>
      </x:c>
      <x:c r="E8" s="27"/>
      <x:c r="F8" s="22" t="str">
        <x:v>深空站外景</x:v>
      </x:c>
      <x:c r="G8" s="21" t="str">
        <x:v>佳木斯、喀什天线</x:v>
      </x:c>
      <x:c r="H8" s="23" t="str">
        <x:v>P3空镜候选</x:v>
      </x:c>
      <x:c r="I8" s="21" t="str">
        <x:v>P3</x:v>
      </x:c>
      <x:c r="J8" s="21" t="str">
        <x:v>场景资产</x:v>
      </x:c>
      <x:c r="K8" s="21" t="str">
        <x:v>公开构型校准即可</x:v>
      </x:c>
      <x:c r="L8" s="21" t="str">
        <x:v>通话画面优先内部人员</x:v>
      </x:c>
    </x:row>
    <x:row r="9">
      <x:c r="A9" s="14" t="str">
        <x:v>P3外景空镜</x:v>
      </x:c>
      <x:c r="B9" s="15" t="n">
        <x:f>COUNTIF('资产主表'!$E$6:$E$250,"P3空镜候选")</x:f>
        <x:v>2</x:v>
      </x:c>
      <x:c r="C9" s="14" t="str">
        <x:v>佳木斯66米、喀什35米／阵列外景</x:v>
      </x:c>
      <x:c r="D9" s="16" t="str">
        <x:v>不阻断主生产</x:v>
      </x:c>
      <x:c r="E9" s="27"/>
      <x:c r="F9" s="22" t="str">
        <x:v>深空站内景</x:v>
      </x:c>
      <x:c r="G9" s="21" t="str">
        <x:v>测控内部值班区</x:v>
      </x:c>
      <x:c r="H9" s="23" t="str">
        <x:v>新增重做</x:v>
      </x:c>
      <x:c r="I9" s="21" t="str">
        <x:v>P1</x:v>
      </x:c>
      <x:c r="J9" s="21" t="str">
        <x:v>场景资产＋场戏设计</x:v>
      </x:c>
      <x:c r="K9" s="21" t="str">
        <x:v>岗位与RF职责闭合</x:v>
      </x:c>
      <x:c r="L9" s="21" t="str">
        <x:v>新资产BY-SCN-P1-013</x:v>
      </x:c>
    </x:row>
    <x:row r="10">
      <x:c r="A10" s="14" t="str">
        <x:v>顾问专题</x:v>
      </x:c>
      <x:c r="B10" s="15" t="n">
        <x:f>COUNTA('顾问核查'!$A$6:$A$20)</x:f>
        <x:v>4</x:v>
      </x:c>
      <x:c r="C10" s="14" t="str">
        <x:v>航天器、月面光照、RF／光通信、再入回收</x:v>
      </x:c>
      <x:c r="D10" s="16" t="str">
        <x:v>均已启动</x:v>
      </x:c>
      <x:c r="E10" s="27"/>
      <x:c r="F10" s="22" t="str">
        <x:v>VFX</x:v>
      </x:c>
      <x:c r="G10" s="21" t="str">
        <x:v>关键月尘／再入／伞降／气囊</x:v>
      </x:c>
      <x:c r="H10" s="23" t="str">
        <x:v>基准测试包＋逐镜Prompt</x:v>
      </x:c>
      <x:c r="I10" s="21" t="str">
        <x:v>P0</x:v>
      </x:c>
      <x:c r="J10" s="21" t="str">
        <x:v>VFX＋视频Prompt</x:v>
      </x:c>
      <x:c r="K10" s="21" t="str">
        <x:v>物理边界一致且镜头可执行</x:v>
      </x:c>
      <x:c r="L10" s="21" t="str">
        <x:v>不把每个动态状态都做资产</x:v>
      </x:c>
    </x:row>
    <x:row r="11">
      <x:c r="A11" s="27"/>
      <x:c r="B11" s="27"/>
      <x:c r="C11" s="27"/>
      <x:c r="D11" s="27"/>
      <x:c r="E11" s="27"/>
      <x:c r="F11" s="22" t="str">
        <x:v>同期声</x:v>
      </x:c>
      <x:c r="G11" s="21" t="str">
        <x:v>对白、无线电、设备声、任务通信</x:v>
      </x:c>
      <x:c r="H11" s="23" t="str">
        <x:v>随视频同步生成</x:v>
      </x:c>
      <x:c r="I11" s="21" t="str">
        <x:v>随镜头</x:v>
      </x:c>
      <x:c r="J11" s="21" t="str">
        <x:v>视频Prompt</x:v>
      </x:c>
      <x:c r="K11" s="21" t="str">
        <x:v>声源真实、延迟正确、无配乐</x:v>
      </x:c>
      <x:c r="L11" s="21" t="str">
        <x:v>人物稳定音色仍独立</x:v>
      </x:c>
    </x:row>
    <x:row r="12">
      <x:c r="A12" s="27"/>
      <x:c r="B12" s="27"/>
      <x:c r="C12" s="27"/>
      <x:c r="D12" s="27"/>
      <x:c r="E12" s="27"/>
      <x:c r="F12" s="22" t="str">
        <x:v>月面光</x:v>
      </x:c>
      <x:c r="G12" s="21" t="str">
        <x:v>2029-04-22任务日光</x:v>
      </x:c>
      <x:c r="H12" s="23" t="str">
        <x:v>按日期复算</x:v>
      </x:c>
      <x:c r="I12" s="21" t="str">
        <x:v>P0</x:v>
      </x:c>
      <x:c r="J12" s="21" t="str">
        <x:v>月面光照顾问＋场景资产</x:v>
      </x:c>
      <x:c r="K12" s="21" t="str">
        <x:v>UTC/T+零点锁定后给出精确太阳几何</x:v>
      </x:c>
      <x:c r="L12" s="21" t="str">
        <x:v>废止225°／22°艺术化固定值</x:v>
      </x:c>
    </x:row>
    <x:row r="13">
      <x:c r="A13" s="30" t="str">
        <x:v>优先级说明：P0＝阻断后续的关键资产／基准；P1＝高复用正式资产；P2＝补充或后置；P3＝低频空镜／不阻断。相同优先级内无先后顺序。</x:v>
      </x:c>
      <x:c r="B13" s="30"/>
      <x:c r="C13" s="30"/>
      <x:c r="D13" s="30"/>
      <x:c r="E13" s="30"/>
      <x:c r="F13" s="30"/>
      <x:c r="G13" s="30"/>
      <x:c r="H13" s="30"/>
      <x:c r="I13" s="30"/>
      <x:c r="J13" s="30"/>
      <x:c r="K13" s="30"/>
      <x:c r="L13" s="30"/>
    </x:row>
  </x:sheetData>
  <x:mergeCells>
    <x:mergeCell ref="A1:L1"/>
    <x:mergeCell ref="A2:L2"/>
    <x:mergeCell ref="A13:L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4823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8" hidden="0" customWidth="1"/>
    <x:col min="3" max="3" width="24" hidden="0" customWidth="1"/>
    <x:col min="4" max="4" width="12" hidden="0" customWidth="1"/>
    <x:col min="5" max="5" width="14" hidden="0" customWidth="1"/>
    <x:col min="6" max="6" width="24" hidden="0" customWidth="1"/>
    <x:col min="7" max="7" width="48" hidden="0" customWidth="1"/>
    <x:col min="8" max="8" width="38" hidden="0" customWidth="1"/>
    <x:col min="9" max="9" width="29" hidden="0" customWidth="1"/>
    <x:col min="10" max="10" width="36" hidden="0" customWidth="1"/>
    <x:col min="11" max="11" width="39" hidden="0" customWidth="1"/>
    <x:col min="12" max="12" width="28" hidden="0" customWidth="1"/>
  </x:cols>
  <x:sheetData>
    <x:row r="1" ht="30" customHeight="1">
      <x:c r="A1" s="3" t="str">
        <x:v>V1.3.2 资产主表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7" t="str">
        <x:v>只列稳定、可独立复用的资产，以及P0高风险VFX物理基准测试包。动态效果、同期声、灯光、动作链和关系规则详见“Prompt控制项”。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5" ht="30" customHeight="1">
      <x:c r="A5" s="34" t="str">
        <x:v>生产资产ID</x:v>
      </x:c>
      <x:c r="B5" s="34" t="str">
        <x:v>类型</x:v>
      </x:c>
      <x:c r="C5" s="34" t="str">
        <x:v>资产名称</x:v>
      </x:c>
      <x:c r="D5" s="34" t="str">
        <x:v>V1.3.2优先级</x:v>
      </x:c>
      <x:c r="E5" s="34" t="str">
        <x:v>处置</x:v>
      </x:c>
      <x:c r="F5" s="34" t="str">
        <x:v>生产方式</x:v>
      </x:c>
      <x:c r="G5" s="34" t="str">
        <x:v>本轮必须处理</x:v>
      </x:c>
      <x:c r="H5" s="34" t="str">
        <x:v>关联范围／新依据</x:v>
      </x:c>
      <x:c r="I5" s="34" t="str">
        <x:v>执行Skill</x:v>
      </x:c>
      <x:c r="J5" s="34" t="str">
        <x:v>Profile／顾问</x:v>
      </x:c>
      <x:c r="K5" s="34" t="str">
        <x:v>锁定条件</x:v>
      </x:c>
      <x:c r="L5" s="34" t="str">
        <x:v>备注</x:v>
      </x:c>
    </x:row>
    <x:row r="6">
      <x:c r="A6" s="38" t="str">
        <x:v>BY-CHR-P0-001-杨凛</x:v>
      </x:c>
      <x:c r="B6" s="38" t="str">
        <x:v>CHR</x:v>
      </x:c>
      <x:c r="C6" s="38" t="str">
        <x:v>杨凛</x:v>
      </x:c>
      <x:c r="D6" s="42" t="str">
        <x:v>P0</x:v>
      </x:c>
      <x:c r="E6" s="39" t="str">
        <x:v>保留候选</x:v>
      </x:c>
      <x:c r="F6" s="38" t="str">
        <x:v>独立人物资产</x:v>
      </x:c>
      <x:c r="G6" s="38" t="str">
        <x:v>保留现有人脸图为候选身份母图；仍需一次最终身份母图确认</x:v>
      </x:c>
      <x:c r="H6" s="38" t="str">
        <x:v>V1.3.1旧映射待V1.3.2正式稿收口：场1,2,3,4,5,6,7,8,9,10,12,13,16；镜005,009,015,016,023,029,032,036,040,043,044,046,047,048,049,051,052,054,057,059,060,064,066,067,069,070,071,073,082,086,090,094,112</x:v>
      </x:c>
      <x:c r="I6" s="38" t="str">
        <x:v>xcflow-character-assets</x:v>
      </x:c>
      <x:c r="J6" s="38" t="str"/>
      <x:c r="K6" s="38" t="str">
        <x:v>剧照验证图、基础多视图、服装继承</x:v>
      </x:c>
      <x:c r="L6" s="38" t="str">
        <x:v>用户明确保留候选</x:v>
      </x:c>
    </x:row>
    <x:row r="7">
      <x:c r="A7" s="38" t="str">
        <x:v>BY-CHR-P0-002-陈砚</x:v>
      </x:c>
      <x:c r="B7" s="38" t="str">
        <x:v>CHR</x:v>
      </x:c>
      <x:c r="C7" s="38" t="str">
        <x:v>陈砚</x:v>
      </x:c>
      <x:c r="D7" s="42" t="str">
        <x:v>P0</x:v>
      </x:c>
      <x:c r="E7" s="39" t="str">
        <x:v>保留候选</x:v>
      </x:c>
      <x:c r="F7" s="38" t="str">
        <x:v>独立人物资产</x:v>
      </x:c>
      <x:c r="G7" s="38" t="str">
        <x:v>保留现有人脸图为候选身份母图；仍需一次最终身份母图确认</x:v>
      </x:c>
      <x:c r="H7" s="38" t="str">
        <x:v>V1.3.1旧映射待V1.3.2正式稿收口：场1,2,3,4,5,6,7,8,9,10,12,13；镜005,009,014,015,016,023,029,036,040,043,044,046,048,052,054,057,059,060,062,064,066,067,068,069,070,071,073,082,090</x:v>
      </x:c>
      <x:c r="I7" s="38" t="str">
        <x:v>xcflow-character-assets</x:v>
      </x:c>
      <x:c r="J7" s="38" t="str"/>
      <x:c r="K7" s="38" t="str">
        <x:v>剧照验证图、基础多视图、服装继承</x:v>
      </x:c>
      <x:c r="L7" s="38" t="str">
        <x:v>用户明确保留候选</x:v>
      </x:c>
    </x:row>
    <x:row r="8">
      <x:c r="A8" s="38" t="str">
        <x:v>BY-CHR-P0-003-刘定槎</x:v>
      </x:c>
      <x:c r="B8" s="38" t="str">
        <x:v>CHR</x:v>
      </x:c>
      <x:c r="C8" s="38" t="str">
        <x:v>刘定槎</x:v>
      </x:c>
      <x:c r="D8" s="42" t="str">
        <x:v>P0</x:v>
      </x:c>
      <x:c r="E8" s="40" t="str">
        <x:v>重做</x:v>
      </x:c>
      <x:c r="F8" s="38" t="str">
        <x:v>独立人物资产</x:v>
      </x:c>
      <x:c r="G8" s="38" t="str">
        <x:v>重做年龄层与成熟度；保留飞行工程师的克制、可靠气质，不沿用现图年龄</x:v>
      </x:c>
      <x:c r="H8" s="38" t="str">
        <x:v>V1.3.1旧映射待V1.3.2正式稿收口：场1,2,3,9,11,12,13,14,15；镜004,007,013,015,016,018,063,079,081,086,090,094,100,101,103,106</x:v>
      </x:c>
      <x:c r="I8" s="38" t="str">
        <x:v>xcflow-character-assets</x:v>
      </x:c>
      <x:c r="J8" s="38" t="str"/>
      <x:c r="K8" s="38" t="str">
        <x:v>剧照验证图、基础多视图、空座椅关系图</x:v>
      </x:c>
      <x:c r="L8" s="38" t="str">
        <x:v>用户明确要求重做年龄</x:v>
      </x:c>
    </x:row>
    <x:row r="9">
      <x:c r="A9" s="38" t="str">
        <x:v>BY-CST-P0-001-杨凛舱内飞行服</x:v>
      </x:c>
      <x:c r="B9" s="38" t="str">
        <x:v>CST</x:v>
      </x:c>
      <x:c r="C9" s="38" t="str">
        <x:v>杨凛舱内飞行服</x:v>
      </x:c>
      <x:c r="D9" s="42" t="str">
        <x:v>P0</x:v>
      </x:c>
      <x:c r="E9" s="39" t="str">
        <x:v>保留候选</x:v>
      </x:c>
      <x:c r="F9" s="38" t="str">
        <x:v>独立服装资产</x:v>
      </x:c>
      <x:c r="G9" s="38" t="str">
        <x:v>保留现有服装方向候选，待身份母图与航天器接口确认后锁定</x:v>
      </x:c>
      <x:c r="H9" s="38" t="str">
        <x:v>V1.3.1旧映射待V1.3.2正式稿收口：场1,2,3,4,5,6,7,12,13,16；镜005,009,015,016,023,029,032,036,040,043,082,086,090,094,112</x:v>
      </x:c>
      <x:c r="I9" s="38" t="str">
        <x:v>xcflow-character-assets</x:v>
      </x:c>
      <x:c r="J9" s="38" t="str"/>
      <x:c r="K9" s="38" t="str">
        <x:v>人物服装基础资产</x:v>
      </x:c>
      <x:c r="L9" s="38" t="str">
        <x:v>人物／接口尚未全部闭合</x:v>
      </x:c>
    </x:row>
    <x:row r="10">
      <x:c r="A10" s="38" t="str">
        <x:v>BY-CST-P0-002-陈砚舱内飞行服</x:v>
      </x:c>
      <x:c r="B10" s="38" t="str">
        <x:v>CST</x:v>
      </x:c>
      <x:c r="C10" s="38" t="str">
        <x:v>陈砚舱内飞行服</x:v>
      </x:c>
      <x:c r="D10" s="42" t="str">
        <x:v>P0</x:v>
      </x:c>
      <x:c r="E10" s="39" t="str">
        <x:v>保留候选</x:v>
      </x:c>
      <x:c r="F10" s="38" t="str">
        <x:v>独立服装资产</x:v>
      </x:c>
      <x:c r="G10" s="38" t="str">
        <x:v>保留现有服装方向候选，待身份母图与航天器接口确认后锁定</x:v>
      </x:c>
      <x:c r="H10" s="38" t="str">
        <x:v>V1.3.1旧映射待V1.3.2正式稿收口：场1,2,3,4,5,6,7,12,13；镜005,009,014,015,016,023,029,036,040,043,082,090</x:v>
      </x:c>
      <x:c r="I10" s="38" t="str">
        <x:v>xcflow-character-assets</x:v>
      </x:c>
      <x:c r="J10" s="38" t="str"/>
      <x:c r="K10" s="38" t="str">
        <x:v>人物服装基础资产</x:v>
      </x:c>
      <x:c r="L10" s="38" t="str">
        <x:v>人物／接口尚未全部闭合</x:v>
      </x:c>
    </x:row>
    <x:row r="11">
      <x:c r="A11" s="38" t="str">
        <x:v>BY-CST-P0-003-刘定槎舱内飞行服</x:v>
      </x:c>
      <x:c r="B11" s="38" t="str">
        <x:v>CST</x:v>
      </x:c>
      <x:c r="C11" s="38" t="str">
        <x:v>刘定槎舱内飞行服</x:v>
      </x:c>
      <x:c r="D11" s="42" t="str">
        <x:v>P0</x:v>
      </x:c>
      <x:c r="E11" s="39" t="str">
        <x:v>保留候选</x:v>
      </x:c>
      <x:c r="F11" s="38" t="str">
        <x:v>独立服装资产</x:v>
      </x:c>
      <x:c r="G11" s="38" t="str">
        <x:v>人物年龄重做后重新适配体型与面颈关系</x:v>
      </x:c>
      <x:c r="H11" s="38" t="str">
        <x:v>V1.3.1旧映射待V1.3.2正式稿收口：场1,2,3,9,11,12,13,14,15；镜004,007,013,015,016,018,063,079,081,086,090,094,100,101,103,106</x:v>
      </x:c>
      <x:c r="I11" s="38" t="str">
        <x:v>xcflow-character-assets</x:v>
      </x:c>
      <x:c r="J11" s="38" t="str"/>
      <x:c r="K11" s="38" t="str">
        <x:v>人物服装基础资产</x:v>
      </x:c>
      <x:c r="L11" s="38" t="str">
        <x:v>人物／接口尚未全部闭合</x:v>
      </x:c>
    </x:row>
    <x:row r="12">
      <x:c r="A12" s="38" t="str">
        <x:v>BY-CST-P0-004-杨凛望宇登月服</x:v>
      </x:c>
      <x:c r="B12" s="38" t="str">
        <x:v>CST</x:v>
      </x:c>
      <x:c r="C12" s="38" t="str">
        <x:v>杨凛望宇登月服</x:v>
      </x:c>
      <x:c r="D12" s="42" t="str">
        <x:v>P0</x:v>
      </x:c>
      <x:c r="E12" s="39" t="str">
        <x:v>保留候选</x:v>
      </x:c>
      <x:c r="F12" s="38" t="str">
        <x:v>独立服装资产</x:v>
      </x:c>
      <x:c r="G12" s="38" t="str">
        <x:v>保留现有服装方向候选，待身份母图与航天器接口确认后锁定</x:v>
      </x:c>
      <x:c r="H12" s="38" t="str">
        <x:v>V1.3.1旧映射待V1.3.2正式稿收口：场7,8,9,10；镜044,046,047,048,049,051,052,054,057,059,060,064,066,067,069,070,071,073</x:v>
      </x:c>
      <x:c r="I12" s="38" t="str">
        <x:v>xcflow-character-assets</x:v>
      </x:c>
      <x:c r="J12" s="38" t="str"/>
      <x:c r="K12" s="38" t="str">
        <x:v>基础多视图、动作关节与舷梯尺度测试</x:v>
      </x:c>
      <x:c r="L12" s="38" t="str">
        <x:v>人物／接口尚未全部闭合</x:v>
      </x:c>
    </x:row>
    <x:row r="13">
      <x:c r="A13" s="38" t="str">
        <x:v>BY-CST-P0-005-陈砚望宇登月服</x:v>
      </x:c>
      <x:c r="B13" s="38" t="str">
        <x:v>CST</x:v>
      </x:c>
      <x:c r="C13" s="38" t="str">
        <x:v>陈砚望宇登月服</x:v>
      </x:c>
      <x:c r="D13" s="42" t="str">
        <x:v>P0</x:v>
      </x:c>
      <x:c r="E13" s="39" t="str">
        <x:v>保留候选</x:v>
      </x:c>
      <x:c r="F13" s="38" t="str">
        <x:v>独立服装资产</x:v>
      </x:c>
      <x:c r="G13" s="38" t="str">
        <x:v>保留现有服装方向候选，待身份母图与航天器接口确认后锁定</x:v>
      </x:c>
      <x:c r="H13" s="38" t="str">
        <x:v>V1.3.1旧映射待V1.3.2正式稿收口：场7,8,9,10；镜044,046,048,052,054,057,059,060,062,064,066,067,068,069,070,071,073</x:v>
      </x:c>
      <x:c r="I13" s="38" t="str">
        <x:v>xcflow-character-assets</x:v>
      </x:c>
      <x:c r="J13" s="38" t="str"/>
      <x:c r="K13" s="38" t="str">
        <x:v>基础多视图、工具操作与月球车乘坐测试</x:v>
      </x:c>
      <x:c r="L13" s="38" t="str">
        <x:v>人物／接口尚未全部闭合</x:v>
      </x:c>
    </x:row>
    <x:row r="14">
      <x:c r="A14" s="38" t="str">
        <x:v>BY-VOI-P0-001-杨凛声音</x:v>
      </x:c>
      <x:c r="B14" s="38" t="str">
        <x:v>VOI</x:v>
      </x:c>
      <x:c r="C14" s="38" t="str">
        <x:v>杨凛稳定音色</x:v>
      </x:c>
      <x:c r="D14" s="42" t="str">
        <x:v>P0</x:v>
      </x:c>
      <x:c r="E14" s="39" t="str">
        <x:v>保留</x:v>
      </x:c>
      <x:c r="F14" s="38" t="str">
        <x:v>独立稳定音色资产</x:v>
      </x:c>
      <x:c r="G14" s="38" t="str">
        <x:v>角色音色独立确认登记；具体对白与通信质感仍随视频同步生成</x:v>
      </x:c>
      <x:c r="H14" s="38" t="str">
        <x:v>V1.3.1旧映射待V1.3.2正式稿收口：场1,2,3,4,5,6,7,8,9,10,11,12,13,14,15,16；镜005,009,011,015,019,020,023,025,027,032,036,038,040,044,046,048,050,052,054,061,064,066,069,073,074,076,078,086,087,091,096,101,103,112</x:v>
      </x:c>
      <x:c r="I14" s="38" t="str">
        <x:v>xcflow-voice-assets</x:v>
      </x:c>
      <x:c r="J14" s="38" t="str"/>
      <x:c r="K14" s="38" t="str">
        <x:v>独立制作稳定音色资产</x:v>
      </x:c>
      <x:c r="L14" s="38" t="str">
        <x:v>跨镜头身份稳定需要</x:v>
      </x:c>
    </x:row>
    <x:row r="15">
      <x:c r="A15" s="38" t="str">
        <x:v>BY-VOI-P0-002-陈砚声音</x:v>
      </x:c>
      <x:c r="B15" s="38" t="str">
        <x:v>VOI</x:v>
      </x:c>
      <x:c r="C15" s="38" t="str">
        <x:v>陈砚稳定音色</x:v>
      </x:c>
      <x:c r="D15" s="42" t="str">
        <x:v>P0</x:v>
      </x:c>
      <x:c r="E15" s="39" t="str">
        <x:v>保留</x:v>
      </x:c>
      <x:c r="F15" s="38" t="str">
        <x:v>独立稳定音色资产</x:v>
      </x:c>
      <x:c r="G15" s="38" t="str">
        <x:v>角色音色独立确认登记；具体对白与通信质感仍随视频同步生成</x:v>
      </x:c>
      <x:c r="H15" s="38" t="str">
        <x:v>V1.3.1旧映射待V1.3.2正式稿收口：场2,3,5,6,7,8,9,10,11,12,13；镜009,014,017,029,033,038,040,044,048,052,054,058,060,062,066,068,069,071,075,082,089,092</x:v>
      </x:c>
      <x:c r="I15" s="38" t="str">
        <x:v>xcflow-voice-assets</x:v>
      </x:c>
      <x:c r="J15" s="38" t="str"/>
      <x:c r="K15" s="38" t="str">
        <x:v>独立制作稳定音色资产</x:v>
      </x:c>
      <x:c r="L15" s="38" t="str">
        <x:v>跨镜头身份稳定需要</x:v>
      </x:c>
    </x:row>
    <x:row r="16">
      <x:c r="A16" s="38" t="str">
        <x:v>BY-VOI-P0-003-刘定槎声音</x:v>
      </x:c>
      <x:c r="B16" s="38" t="str">
        <x:v>VOI</x:v>
      </x:c>
      <x:c r="C16" s="38" t="str">
        <x:v>刘定槎稳定音色</x:v>
      </x:c>
      <x:c r="D16" s="42" t="str">
        <x:v>P0</x:v>
      </x:c>
      <x:c r="E16" s="41" t="str">
        <x:v>修订</x:v>
      </x:c>
      <x:c r="F16" s="38" t="str">
        <x:v>独立稳定音色资产</x:v>
      </x:c>
      <x:c r="G16" s="38" t="str">
        <x:v>人物年龄重做后复核音色年龄感，避免面声错龄</x:v>
      </x:c>
      <x:c r="H16" s="38" t="str">
        <x:v>V1.3.1旧映射待V1.3.2正式稿收口：场1,2,3,4,9,11,12,13,14,15；镜004,007,011,013,015,016,018,019,020,063,079,081,084,085,086,087,089,090,092,098,102,108</x:v>
      </x:c>
      <x:c r="I16" s="38" t="str">
        <x:v>xcflow-voice-assets</x:v>
      </x:c>
      <x:c r="J16" s="38" t="str"/>
      <x:c r="K16" s="38" t="str">
        <x:v>独立制作稳定音色资产</x:v>
      </x:c>
      <x:c r="L16" s="38" t="str">
        <x:v>人物年龄改版影响声音绑定</x:v>
      </x:c>
    </x:row>
    <x:row r="17">
      <x:c r="A17" s="38" t="str">
        <x:v>BY-SCN-P0-001-梦舟舱内三座布局</x:v>
      </x:c>
      <x:c r="B17" s="38" t="str">
        <x:v>SCN</x:v>
      </x:c>
      <x:c r="C17" s="38" t="str">
        <x:v>梦舟返回舱三座承力区与四种乘员状态</x:v>
      </x:c>
      <x:c r="D17" s="42" t="str">
        <x:v>P0</x:v>
      </x:c>
      <x:c r="E17" s="40" t="str">
        <x:v>重做</x:v>
      </x:c>
      <x:c r="F17" s="38" t="str">
        <x:v>独立场景母资产</x:v>
      </x:c>
      <x:c r="G17" s="38" t="str">
        <x:v>重建可使用空间、座椅／舱门／设备接口与真实通行动线；屏幕先无字，信息层后置</x:v>
      </x:c>
      <x:c r="H17" s="38" t="str">
        <x:v>V1.3.1旧映射待V1.3.2正式稿收口：第1—3、5、11、14—15场</x:v>
      </x:c>
      <x:c r="I17" s="38" t="str">
        <x:v>xcflow-scene-assets；人员调度另接 xcflow-scene-design</x:v>
      </x:c>
      <x:c r="J17" s="38" t="str">
        <x:v>FP-PD-NATHAN-CROWLEY@v1.1；FP-CIN-ROGER-DEAKINS@v1.1（仅光影校准）；航天器构型顾问</x:v>
      </x:c>
      <x:c r="K17" s="38" t="str">
        <x:v>必须建立一张统一母图和四种状态图；座椅方向、间距、工作界面和舱门轴线不得漂移。</x:v>
      </x:c>
      <x:c r="L17" s="38" t="str">
        <x:v>Crowley工程空间方法＋V1.3.2任务状态变化</x:v>
      </x:c>
    </x:row>
    <x:row r="18">
      <x:c r="A18" s="38" t="str">
        <x:v>BY-SCN-P0-002-梦舟对接通道与舱门区</x:v>
      </x:c>
      <x:c r="B18" s="38" t="str">
        <x:v>SCN</x:v>
      </x:c>
      <x:c r="C18" s="38" t="str">
        <x:v>梦舟—揽月轴向对接转移通道</x:v>
      </x:c>
      <x:c r="D18" s="42" t="str">
        <x:v>P0</x:v>
      </x:c>
      <x:c r="E18" s="40" t="str">
        <x:v>重做</x:v>
      </x:c>
      <x:c r="F18" s="38" t="str">
        <x:v>独立场景母资产</x:v>
      </x:c>
      <x:c r="G18" s="38" t="str">
        <x:v>重建可使用空间、座椅／舱门／设备接口与真实通行动线；屏幕先无字，信息层后置</x:v>
      </x:c>
      <x:c r="H18" s="38" t="str">
        <x:v>V1.3.1旧映射待V1.3.2正式稿收口：场3,13；镜013,014,016,018,019,089,092</x:v>
      </x:c>
      <x:c r="I18" s="38" t="str">
        <x:v>xcflow-scene-assets；人员调度另接 xcflow-scene-design</x:v>
      </x:c>
      <x:c r="J18" s="38" t="str">
        <x:v>FP-PD-NATHAN-CROWLEY@v1.1；FP-CIN-ROGER-DEAKINS@v1.1（仅光影校准）；航天器构型顾问</x:v>
      </x:c>
      <x:c r="K18" s="38" t="str">
        <x:v>母图与轴线双向SV1</x:v>
      </x:c>
      <x:c r="L18" s="38" t="str">
        <x:v>Crowley工程空间方法＋V1.3.2任务状态变化</x:v>
      </x:c>
    </x:row>
    <x:row r="19">
      <x:c r="A19" s="38" t="str">
        <x:v>BY-SCN-P0-003-揽月登月舱舱内</x:v>
      </x:c>
      <x:c r="B19" s="38" t="str">
        <x:v>SCN</x:v>
      </x:c>
      <x:c r="C19" s="38" t="str">
        <x:v>揽月登月舱舱内</x:v>
      </x:c>
      <x:c r="D19" s="42" t="str">
        <x:v>P0</x:v>
      </x:c>
      <x:c r="E19" s="40" t="str">
        <x:v>重做</x:v>
      </x:c>
      <x:c r="F19" s="38" t="str">
        <x:v>独立场景母资产</x:v>
      </x:c>
      <x:c r="G19" s="38" t="str">
        <x:v>重建可使用空间、座椅／舱门／设备接口与真实通行动线；屏幕先无字，信息层后置</x:v>
      </x:c>
      <x:c r="H19" s="38" t="str">
        <x:v>V1.3.1旧映射待V1.3.2正式稿收口：场2,3,4,5,6,7,10,11,12；镜009,011,017,019,023,029,032,036,038,040,043,044,045,046,069,070,071,073,076,082</x:v>
      </x:c>
      <x:c r="I19" s="38" t="str">
        <x:v>xcflow-scene-assets；人员调度另接 xcflow-scene-design</x:v>
      </x:c>
      <x:c r="J19" s="38" t="str">
        <x:v>FP-PD-NATHAN-CROWLEY@v1.1；FP-CIN-ROGER-DEAKINS@v1.1（仅光影校准）；航天器构型顾问</x:v>
      </x:c>
      <x:c r="K19" s="38" t="str">
        <x:v>母图与SV2标准五视图</x:v>
      </x:c>
      <x:c r="L19" s="38" t="str">
        <x:v>Crowley工程空间方法＋V1.3.2任务状态变化</x:v>
      </x:c>
    </x:row>
    <x:row r="20">
      <x:c r="A20" s="38" t="str">
        <x:v>BY-SCN-P0-004-月面着陆与作业区</x:v>
      </x:c>
      <x:c r="B20" s="38" t="str">
        <x:v>SCN</x:v>
      </x:c>
      <x:c r="C20" s="38" t="str">
        <x:v>月面着陆与作业区</x:v>
      </x:c>
      <x:c r="D20" s="42" t="str">
        <x:v>P0</x:v>
      </x:c>
      <x:c r="E20" s="41" t="str">
        <x:v>修订</x:v>
      </x:c>
      <x:c r="F20" s="38" t="str">
        <x:v>独立场景母资产＋光照控制</x:v>
      </x:c>
      <x:c r="G20" s="38" t="str">
        <x:v>地貌空间可作为候选；废止艺术化225°／22°固定值，按2029-04-22具体UTC复算低太阳高度硬光与长阴影</x:v>
      </x:c>
      <x:c r="H20" s="38" t="str">
        <x:v>V1.3.1旧映射待V1.3.2正式稿收口：场5,6,7,8,9,10,11；镜027,030,032,033,034,037,038,039,042,047,048,049,050,051,052,053,054,055,056,057,058,059,060,061,062,064,066,067,068,069,074,075</x:v>
      </x:c>
      <x:c r="I20" s="38" t="str">
        <x:v>xcflow-scene-assets；人员调度另接 xcflow-scene-design</x:v>
      </x:c>
      <x:c r="J20" s="38" t="str">
        <x:v>FP-PD-NATHAN-CROWLEY@v1.1；FP-CIN-ROGER-DEAKINS@v1.1（仅光影校准）；月面光照顾问</x:v>
      </x:c>
      <x:c r="K20" s="38" t="str">
        <x:v>母图与SV2标准五视图</x:v>
      </x:c>
      <x:c r="L20" s="38" t="str">
        <x:v>新时间线已锁定日期，精确太阳几何待UTC闭合</x:v>
      </x:c>
    </x:row>
    <x:row r="21">
      <x:c r="A21" s="38" t="str">
        <x:v>BY-VEH-P0-001-梦舟载人飞船</x:v>
      </x:c>
      <x:c r="B21" s="38" t="str">
        <x:v>VEH</x:v>
      </x:c>
      <x:c r="C21" s="38" t="str">
        <x:v>梦舟载人飞船</x:v>
      </x:c>
      <x:c r="D21" s="42" t="str">
        <x:v>P0</x:v>
      </x:c>
      <x:c r="E21" s="40" t="str">
        <x:v>重做</x:v>
      </x:c>
      <x:c r="F21" s="38" t="str">
        <x:v>独立工程构型资产</x:v>
      </x:c>
      <x:c r="G21" s="38" t="str">
        <x:v>按公开任务功能重建完整构型、舱段关系、承力／使用路径与共享制造逻辑；顾问核查后出母图</x:v>
      </x:c>
      <x:c r="H21" s="38" t="str">
        <x:v>V1.3.1旧映射待V1.3.2正式稿收口：01;03;11;13</x:v>
      </x:c>
      <x:c r="I21" s="38" t="str">
        <x:v>xcflow-prop-assets</x:v>
      </x:c>
      <x:c r="J21" s="38" t="str">
        <x:v>FP-PD-NATHAN-CROWLEY@v1.1；航天器构型顾问</x:v>
      </x:c>
      <x:c r="K21" s="38" t="str">
        <x:v>外部多视图、对接轴视图</x:v>
      </x:c>
      <x:c r="L21" s="38" t="str">
        <x:v>现图不足以支撑V1.3.2工程连续性</x:v>
      </x:c>
    </x:row>
    <x:row r="22">
      <x:c r="A22" s="38" t="str">
        <x:v>BY-VEH-P0-002-揽月完整构型</x:v>
      </x:c>
      <x:c r="B22" s="38" t="str">
        <x:v>VEH</x:v>
      </x:c>
      <x:c r="C22" s="38" t="str">
        <x:v>揽月着陆器＋推进舱月轨组合体</x:v>
      </x:c>
      <x:c r="D22" s="42" t="str">
        <x:v>P0</x:v>
      </x:c>
      <x:c r="E22" s="40" t="str">
        <x:v>重做</x:v>
      </x:c>
      <x:c r="F22" s="38" t="str">
        <x:v>独立工程构型资产</x:v>
      </x:c>
      <x:c r="G22" s="38" t="str">
        <x:v>按公开任务功能重建完整构型、舱段关系、承力／使用路径与共享制造逻辑；顾问核查后出母图</x:v>
      </x:c>
      <x:c r="H22" s="38" t="str">
        <x:v>V1.3.1旧映射待V1.3.2正式稿收口：场1,2,4；镜002,005,008,010,011,020,021,024,025</x:v>
      </x:c>
      <x:c r="I22" s="38" t="str">
        <x:v>xcflow-prop-assets</x:v>
      </x:c>
      <x:c r="J22" s="38" t="str">
        <x:v>FP-PD-NATHAN-CROWLEY@v1.1；航天器构型顾问</x:v>
      </x:c>
      <x:c r="K22" s="38" t="str">
        <x:v>外部多视图与尺度图</x:v>
      </x:c>
      <x:c r="L22" s="38" t="str">
        <x:v>现图不足以支撑V1.3.2工程连续性</x:v>
      </x:c>
    </x:row>
    <x:row r="23">
      <x:c r="A23" s="38" t="str">
        <x:v>BY-VEH-P0-003-揽月登月舱</x:v>
      </x:c>
      <x:c r="B23" s="38" t="str">
        <x:v>VEH</x:v>
      </x:c>
      <x:c r="C23" s="38" t="str">
        <x:v>揽月登月舱</x:v>
      </x:c>
      <x:c r="D23" s="42" t="str">
        <x:v>P0</x:v>
      </x:c>
      <x:c r="E23" s="40" t="str">
        <x:v>重做</x:v>
      </x:c>
      <x:c r="F23" s="38" t="str">
        <x:v>独立工程构型资产</x:v>
      </x:c>
      <x:c r="G23" s="38" t="str">
        <x:v>按公开任务功能重建完整构型、舱段关系、承力／使用路径与共享制造逻辑；顾问核查后出母图</x:v>
      </x:c>
      <x:c r="H23" s="38" t="str">
        <x:v>V1.3.1旧映射待V1.3.2正式稿收口：场4,5,6,7,8,9,10,11；镜025,027,033,037,038,039,042,047,051,054,055,057,058,067,068,074,075</x:v>
      </x:c>
      <x:c r="I23" s="38" t="str">
        <x:v>xcflow-prop-assets</x:v>
      </x:c>
      <x:c r="J23" s="38" t="str">
        <x:v>FP-PD-NATHAN-CROWLEY@v1.1；航天器构型顾问</x:v>
      </x:c>
      <x:c r="K23" s="38" t="str">
        <x:v>外部多视图、着陆与起飞状态</x:v>
      </x:c>
      <x:c r="L23" s="38" t="str">
        <x:v>现图不足以支撑V1.3.2工程连续性</x:v>
      </x:c>
    </x:row>
    <x:row r="24">
      <x:c r="A24" s="38" t="str">
        <x:v>BY-VEH-P0-004-探索载人月球车</x:v>
      </x:c>
      <x:c r="B24" s="38" t="str">
        <x:v>VEH</x:v>
      </x:c>
      <x:c r="C24" s="38" t="str">
        <x:v>探索载人月球车</x:v>
      </x:c>
      <x:c r="D24" s="42" t="str">
        <x:v>P0</x:v>
      </x:c>
      <x:c r="E24" s="40" t="str">
        <x:v>重做</x:v>
      </x:c>
      <x:c r="F24" s="38" t="str">
        <x:v>独立工程构型资产</x:v>
      </x:c>
      <x:c r="G24" s="38" t="str">
        <x:v>按公开任务功能重建完整构型、舱段关系、承力／使用路径与共享制造逻辑；顾问核查后出母图</x:v>
      </x:c>
      <x:c r="H24" s="38" t="str">
        <x:v>V1.3.1旧映射待V1.3.2正式稿收口：场9；镜058,059,066,067</x:v>
      </x:c>
      <x:c r="I24" s="38" t="str">
        <x:v>xcflow-prop-assets</x:v>
      </x:c>
      <x:c r="J24" s="38" t="str">
        <x:v>FP-PD-NATHAN-CROWLEY@v1.1；航天器构型顾问</x:v>
      </x:c>
      <x:c r="K24" s="38" t="str">
        <x:v>多视图、双人尺度、行驶状态</x:v>
      </x:c>
      <x:c r="L24" s="38" t="str">
        <x:v>现图不足以支撑V1.3.2工程连续性</x:v>
      </x:c>
    </x:row>
    <x:row r="25">
      <x:c r="A25" s="38" t="str">
        <x:v>BY-PRP-P0-001-梦舟三座椅与束缚系统</x:v>
      </x:c>
      <x:c r="B25" s="38" t="str">
        <x:v>PRP</x:v>
      </x:c>
      <x:c r="C25" s="38" t="str">
        <x:v>梦舟三座椅与束缚系统</x:v>
      </x:c>
      <x:c r="D25" s="42" t="str">
        <x:v>P0</x:v>
      </x:c>
      <x:c r="E25" s="41" t="str">
        <x:v>修订</x:v>
      </x:c>
      <x:c r="F25" s="38" t="str">
        <x:v>独立工程道具／设备资产</x:v>
      </x:c>
      <x:c r="G25" s="38" t="str">
        <x:v>按真实操作、承力、转移、维护与摄影路径复核后修订</x:v>
      </x:c>
      <x:c r="H25" s="38" t="str">
        <x:v>V1.3.1旧映射待V1.3.2正式稿收口：第1—3、5、11、14—15场</x:v>
      </x:c>
      <x:c r="I25" s="38" t="str">
        <x:v>xcflow-prop-assets</x:v>
      </x:c>
      <x:c r="J25" s="38" t="str">
        <x:v>FP-PD-NATHAN-CROWLEY@v1.1；航天器构型顾问</x:v>
      </x:c>
      <x:c r="K25" s="38" t="str">
        <x:v>同一套座椅保持承力骨架、基座和朝向稳定，四种状态只改变人员、束缚、靠背角度与载荷状态。</x:v>
      </x:c>
      <x:c r="L25" s="38" t="str">
        <x:v>需要与新航天器／舱内／回收设备共享工程逻辑</x:v>
      </x:c>
    </x:row>
    <x:row r="26">
      <x:c r="A26" s="38" t="str">
        <x:v>BY-PRP-P0-002-揽月舷梯与扶手系统</x:v>
      </x:c>
      <x:c r="B26" s="38" t="str">
        <x:v>PRP</x:v>
      </x:c>
      <x:c r="C26" s="38" t="str">
        <x:v>揽月舷梯与扶手系统</x:v>
      </x:c>
      <x:c r="D26" s="42" t="str">
        <x:v>P0</x:v>
      </x:c>
      <x:c r="E26" s="41" t="str">
        <x:v>修订</x:v>
      </x:c>
      <x:c r="F26" s="38" t="str">
        <x:v>独立工程道具／设备资产</x:v>
      </x:c>
      <x:c r="G26" s="38" t="str">
        <x:v>按真实操作、承力、转移、维护与摄影路径复核后修订</x:v>
      </x:c>
      <x:c r="H26" s="38" t="str">
        <x:v>V1.3.1旧映射待V1.3.2正式稿收口：场7,8,10；镜047,048,049,052,069</x:v>
      </x:c>
      <x:c r="I26" s="38" t="str">
        <x:v>xcflow-prop-assets</x:v>
      </x:c>
      <x:c r="J26" s="38" t="str">
        <x:v>FP-PD-NATHAN-CROWLEY@v1.1；航天器构型顾问</x:v>
      </x:c>
      <x:c r="K26" s="38" t="str">
        <x:v>结构多视图、人物动作尺度</x:v>
      </x:c>
      <x:c r="L26" s="38" t="str">
        <x:v>需要与新航天器／舱内／回收设备共享工程逻辑</x:v>
      </x:c>
    </x:row>
    <x:row r="27">
      <x:c r="A27" s="38" t="str">
        <x:v>BY-PRP-P0-003-便携式月面摄像机</x:v>
      </x:c>
      <x:c r="B27" s="38" t="str">
        <x:v>PRP</x:v>
      </x:c>
      <x:c r="C27" s="38" t="str">
        <x:v>便携式月面摄像机</x:v>
      </x:c>
      <x:c r="D27" s="42" t="str">
        <x:v>P0</x:v>
      </x:c>
      <x:c r="E27" s="39" t="str">
        <x:v>保留候选</x:v>
      </x:c>
      <x:c r="F27" s="38" t="str">
        <x:v>独立资产</x:v>
      </x:c>
      <x:c r="G27" s="38" t="str">
        <x:v>保留为V1.3.2候选；按新构型、屏幕、光照与顾问结论做继承检查</x:v>
      </x:c>
      <x:c r="H27" s="38" t="str">
        <x:v>V1.3.1旧映射待V1.3.2正式稿收口：第8—11场</x:v>
      </x:c>
      <x:c r="I27" s="38" t="str">
        <x:v>xcflow-prop-assets</x:v>
      </x:c>
      <x:c r="J27" s="38" t="str">
        <x:v>FP-PD-NATHAN-CROWLEY@v1.1；月面光照顾问</x:v>
      </x:c>
      <x:c r="K27" s="38" t="str">
        <x:v>镜60部署后，镜61、63—64、69、76、81必须复用同一机位与同一设备。</x:v>
      </x:c>
      <x:c r="L27" s="38" t="str">
        <x:v>未触发强制退出或重做规则</x:v>
      </x:c>
    </x:row>
    <x:row r="28">
      <x:c r="A28" s="38" t="str">
        <x:v>BY-PRP-P0-004-工程化国旗展示装置</x:v>
      </x:c>
      <x:c r="B28" s="38" t="str">
        <x:v>PRP</x:v>
      </x:c>
      <x:c r="C28" s="38" t="str">
        <x:v>工程化国旗展示装置</x:v>
      </x:c>
      <x:c r="D28" s="42" t="str">
        <x:v>P0</x:v>
      </x:c>
      <x:c r="E28" s="39" t="str">
        <x:v>保留候选</x:v>
      </x:c>
      <x:c r="F28" s="38" t="str">
        <x:v>独立资产</x:v>
      </x:c>
      <x:c r="G28" s="38" t="str">
        <x:v>保留为V1.3.2候选；按新构型、屏幕、光照与顾问结论做继承检查</x:v>
      </x:c>
      <x:c r="H28" s="38" t="str">
        <x:v>V1.3.1旧映射待V1.3.2正式稿收口：场7,8,9,11；镜045,054,055,056,057,067,074</x:v>
      </x:c>
      <x:c r="I28" s="38" t="str">
        <x:v>xcflow-prop-assets</x:v>
      </x:c>
      <x:c r="J28" s="38" t="str">
        <x:v>FP-PD-NATHAN-CROWLEY@v1.1</x:v>
      </x:c>
      <x:c r="K28" s="38" t="str">
        <x:v>结构多视图、双人部署尺度</x:v>
      </x:c>
      <x:c r="L28" s="38" t="str">
        <x:v>未触发强制退出或重做规则</x:v>
      </x:c>
    </x:row>
    <x:row r="29">
      <x:c r="A29" s="38" t="str">
        <x:v>BY-PRP-P0-005-密封样品转移容器</x:v>
      </x:c>
      <x:c r="B29" s="38" t="str">
        <x:v>PRP</x:v>
      </x:c>
      <x:c r="C29" s="38" t="str">
        <x:v>主样品密封转移容器</x:v>
      </x:c>
      <x:c r="D29" s="42" t="str">
        <x:v>P0</x:v>
      </x:c>
      <x:c r="E29" s="39" t="str">
        <x:v>保留候选</x:v>
      </x:c>
      <x:c r="F29" s="38" t="str">
        <x:v>独立资产</x:v>
      </x:c>
      <x:c r="G29" s="38" t="str">
        <x:v>保留为V1.3.2候选；按新构型、屏幕、光照与顾问结论做继承检查</x:v>
      </x:c>
      <x:c r="H29" s="38" t="str">
        <x:v>V1.3.1旧映射待V1.3.2正式稿收口：场10,11,13,14,16；镜068,071,076,089,101,113</x:v>
      </x:c>
      <x:c r="I29" s="38" t="str">
        <x:v>xcflow-prop-assets</x:v>
      </x:c>
      <x:c r="J29" s="38" t="str">
        <x:v>FP-PD-NATHAN-CROWLEY@v1.1</x:v>
      </x:c>
      <x:c r="K29" s="38" t="str">
        <x:v>多视图、手套与双手交接尺度</x:v>
      </x:c>
      <x:c r="L29" s="38" t="str">
        <x:v>未触发强制退出或重做规则</x:v>
      </x:c>
    </x:row>
    <x:row r="30">
      <x:c r="A30" s="38" t="str">
        <x:v>BY-VFX-P0-001-月面下降羽流与贴地月尘</x:v>
      </x:c>
      <x:c r="B30" s="38" t="str">
        <x:v>VFX</x:v>
      </x:c>
      <x:c r="C30" s="38" t="str">
        <x:v>月面下降羽流与贴地月尘</x:v>
      </x:c>
      <x:c r="D30" s="42" t="str">
        <x:v>P0</x:v>
      </x:c>
      <x:c r="E30" s="41" t="str">
        <x:v>混合制作</x:v>
      </x:c>
      <x:c r="F30" s="38" t="str">
        <x:v>VFX物理基准测试包＋逐镜Prompt</x:v>
      </x:c>
      <x:c r="G30" s="38" t="str">
        <x:v>只固化物理规律、尺度与可接受边界；每镜运动、尘埃、辉光、伞降与冲击仍随视频生成</x:v>
      </x:c>
      <x:c r="H30" s="38" t="str">
        <x:v>V1.3.1旧映射待V1.3.2正式稿收口：场5；镜027,037</x:v>
      </x:c>
      <x:c r="I30" s="38" t="str">
        <x:v>xcflow-vfx-assets＋xcflow-video-prompt</x:v>
      </x:c>
      <x:c r="J30" s="38" t="str">
        <x:v>FP-CIN-ROGER-DEAKINS@v1.1（仅光影校准）；月面光照顾问</x:v>
      </x:c>
      <x:c r="K30" s="38" t="str">
        <x:v>核心物理测试模板</x:v>
      </x:c>
      <x:c r="L30" s="38" t="str">
        <x:v>高风险现象需统一测试，但不应把每个动态状态都制成静态资产</x:v>
      </x:c>
    </x:row>
    <x:row r="31">
      <x:c r="A31" s="38" t="str">
        <x:v>BY-VFX-P0-002-触月关机与月尘回落</x:v>
      </x:c>
      <x:c r="B31" s="38" t="str">
        <x:v>VFX</x:v>
      </x:c>
      <x:c r="C31" s="38" t="str">
        <x:v>触月关机与月尘回落</x:v>
      </x:c>
      <x:c r="D31" s="42" t="str">
        <x:v>P0</x:v>
      </x:c>
      <x:c r="E31" s="41" t="str">
        <x:v>混合制作</x:v>
      </x:c>
      <x:c r="F31" s="38" t="str">
        <x:v>VFX物理基准测试包＋逐镜Prompt</x:v>
      </x:c>
      <x:c r="G31" s="38" t="str">
        <x:v>只固化物理规律、尺度与可接受边界；每镜运动、尘埃、辉光、伞降与冲击仍随视频生成</x:v>
      </x:c>
      <x:c r="H31" s="38" t="str">
        <x:v>V1.3.1旧映射待V1.3.2正式稿收口：场5,6；镜038,039</x:v>
      </x:c>
      <x:c r="I31" s="38" t="str">
        <x:v>xcflow-vfx-assets＋xcflow-video-prompt</x:v>
      </x:c>
      <x:c r="J31" s="38" t="str">
        <x:v>FP-CIN-ROGER-DEAKINS@v1.1（仅光影校准）</x:v>
      </x:c>
      <x:c r="K31" s="38" t="str">
        <x:v>触月技术测试</x:v>
      </x:c>
      <x:c r="L31" s="38" t="str">
        <x:v>高风险现象需统一测试，但不应把每个动态状态都制成静态资产</x:v>
      </x:c>
    </x:row>
    <x:row r="32">
      <x:c r="A32" s="38" t="str">
        <x:v>BY-VFX-P0-003-第一足印月壤形变</x:v>
      </x:c>
      <x:c r="B32" s="38" t="str">
        <x:v>VFX</x:v>
      </x:c>
      <x:c r="C32" s="38" t="str">
        <x:v>第一足印月壤形变</x:v>
      </x:c>
      <x:c r="D32" s="42" t="str">
        <x:v>P0</x:v>
      </x:c>
      <x:c r="E32" s="41" t="str">
        <x:v>混合制作</x:v>
      </x:c>
      <x:c r="F32" s="38" t="str">
        <x:v>VFX物理基准测试包＋逐镜Prompt</x:v>
      </x:c>
      <x:c r="G32" s="38" t="str">
        <x:v>只固化物理规律、尺度与可接受边界；每镜运动、尘埃、辉光、伞降与冲击仍随视频生成</x:v>
      </x:c>
      <x:c r="H32" s="38" t="str">
        <x:v>V1.3.1旧映射待V1.3.2正式稿收口：场8；镜050</x:v>
      </x:c>
      <x:c r="I32" s="38" t="str">
        <x:v>xcflow-vfx-assets＋xcflow-video-prompt</x:v>
      </x:c>
      <x:c r="J32" s="38" t="str">
        <x:v>FP-CIN-ROGER-DEAKINS@v1.1（仅光影校准）</x:v>
      </x:c>
      <x:c r="K32" s="38" t="str">
        <x:v>极近景物理测试</x:v>
      </x:c>
      <x:c r="L32" s="38" t="str">
        <x:v>高风险现象需统一测试，但不应把每个动态状态都制成静态资产</x:v>
      </x:c>
    </x:row>
    <x:row r="33">
      <x:c r="A33" s="38" t="str">
        <x:v>BY-VFX-P0-004-月面起飞羽流与留场余景</x:v>
      </x:c>
      <x:c r="B33" s="38" t="str">
        <x:v>VFX</x:v>
      </x:c>
      <x:c r="C33" s="38" t="str">
        <x:v>月面起飞羽流与留场余景</x:v>
      </x:c>
      <x:c r="D33" s="42" t="str">
        <x:v>P0</x:v>
      </x:c>
      <x:c r="E33" s="41" t="str">
        <x:v>混合制作</x:v>
      </x:c>
      <x:c r="F33" s="38" t="str">
        <x:v>VFX物理基准测试包＋逐镜Prompt</x:v>
      </x:c>
      <x:c r="G33" s="38" t="str">
        <x:v>只固化物理规律、尺度与可接受边界；每镜运动、尘埃、辉光、伞降与冲击仍随视频生成</x:v>
      </x:c>
      <x:c r="H33" s="38" t="str">
        <x:v>V1.3.1旧映射待V1.3.2正式稿收口：场11；镜074,075</x:v>
      </x:c>
      <x:c r="I33" s="38" t="str">
        <x:v>xcflow-vfx-assets＋xcflow-video-prompt</x:v>
      </x:c>
      <x:c r="J33" s="38" t="str">
        <x:v>FP-CIN-ROGER-DEAKINS@v1.1（仅光影校准）；月面光照顾问</x:v>
      </x:c>
      <x:c r="K33" s="38" t="str">
        <x:v>起飞技术测试模板</x:v>
      </x:c>
      <x:c r="L33" s="38" t="str">
        <x:v>高风险现象需统一测试，但不应把每个动态状态都制成静态资产</x:v>
      </x:c>
    </x:row>
    <x:row r="34">
      <x:c r="A34" s="38" t="str">
        <x:v>BY-SYM-P0-001-中华人民共和国国旗图形</x:v>
      </x:c>
      <x:c r="B34" s="38" t="str">
        <x:v>SYM</x:v>
      </x:c>
      <x:c r="C34" s="38" t="str">
        <x:v>中华人民共和国国旗图形</x:v>
      </x:c>
      <x:c r="D34" s="42" t="str">
        <x:v>P0</x:v>
      </x:c>
      <x:c r="E34" s="39" t="str">
        <x:v>保留候选</x:v>
      </x:c>
      <x:c r="F34" s="38" t="str">
        <x:v>独立资产</x:v>
      </x:c>
      <x:c r="G34" s="38" t="str">
        <x:v>保留为V1.3.2候选；按新构型、屏幕、光照与顾问结论做继承检查</x:v>
      </x:c>
      <x:c r="H34" s="38" t="str">
        <x:v>V1.3.1旧映射待V1.3.2正式稿收口：场7,8,9,11；镜045,054,055,056,057,067,074</x:v>
      </x:c>
      <x:c r="I34" s="38" t="str">
        <x:v>xcflow-prop-assets／后期图形</x:v>
      </x:c>
      <x:c r="J34" s="38" t="str"/>
      <x:c r="K34" s="38" t="str">
        <x:v>准确图形资产与贴合测试</x:v>
      </x:c>
      <x:c r="L34" s="38" t="str">
        <x:v>未触发强制退出或重做规则</x:v>
      </x:c>
    </x:row>
    <x:row r="35">
      <x:c r="A35" s="38" t="str">
        <x:v>BY-SCN-P0-005-梦舟环月工作位</x:v>
      </x:c>
      <x:c r="B35" s="38" t="str">
        <x:v>SCN</x:v>
      </x:c>
      <x:c r="C35" s="38" t="str">
        <x:v>梦舟返回舱环月工作位</x:v>
      </x:c>
      <x:c r="D35" s="42" t="str">
        <x:v>P0</x:v>
      </x:c>
      <x:c r="E35" s="40" t="str">
        <x:v>重做</x:v>
      </x:c>
      <x:c r="F35" s="38" t="str">
        <x:v>独立场景母资产</x:v>
      </x:c>
      <x:c r="G35" s="38" t="str">
        <x:v>重建可使用空间、座椅／舱门／设备接口与真实通行动线；屏幕先无字，信息层后置</x:v>
      </x:c>
      <x:c r="H35" s="38" t="str">
        <x:v>V1.3.1旧映射待V1.3.2正式稿收口：第1—3、5、11场</x:v>
      </x:c>
      <x:c r="I35" s="38" t="str">
        <x:v>xcflow-scene-assets；人员调度另接 xcflow-scene-design</x:v>
      </x:c>
      <x:c r="J35" s="38" t="str">
        <x:v>FP-PD-NATHAN-CROWLEY@v1.1；FP-CIN-ROGER-DEAKINS@v1.1（仅光影校准）；航天器构型顾问</x:v>
      </x:c>
      <x:c r="K35" s="38" t="str">
        <x:v>工作位与三座承力区必须属于同一返回舱空间，不生成宽阔独立驾驶舱。</x:v>
      </x:c>
      <x:c r="L35" s="38" t="str">
        <x:v>Crowley工程空间方法＋V1.3.2任务状态变化</x:v>
      </x:c>
    </x:row>
    <x:row r="36">
      <x:c r="A36" s="38" t="str">
        <x:v>BY-SCN-P0-006-北京飞控大厅与任务主屏</x:v>
      </x:c>
      <x:c r="B36" s="38" t="str">
        <x:v>SCN</x:v>
      </x:c>
      <x:c r="C36" s="38" t="str">
        <x:v>北京飞控大厅与任务主屏</x:v>
      </x:c>
      <x:c r="D36" s="42" t="str">
        <x:v>P0</x:v>
      </x:c>
      <x:c r="E36" s="40" t="str">
        <x:v>强制重做</x:v>
      </x:c>
      <x:c r="F36" s="38" t="str">
        <x:v>独立空间／道具资产</x:v>
      </x:c>
      <x:c r="G36" s="38" t="str">
        <x:v>屏幕信息架构、席位职责、人员数量与调度全部从零复核；不得沿用旧图的岗位标签与站位</x:v>
      </x:c>
      <x:c r="H36" s="38" t="str">
        <x:v>V1.3.1旧映射待V1.3.2正式稿收口：场2,4,5,6,8,10,11,12,14,15,16；镜006,012,022,028,031,035,041,053,072,077,083,088,097,104,107,113</x:v>
      </x:c>
      <x:c r="I36" s="38" t="str">
        <x:v>xcflow-scene-assets；人员调度另接 xcflow-scene-design</x:v>
      </x:c>
      <x:c r="J36" s="38" t="str">
        <x:v>FP-PD-NATHAN-CROWLEY@v1.1；FP-CIN-ROGER-DEAKINS@v1.1（仅光影校准）</x:v>
      </x:c>
      <x:c r="K36" s="38" t="str">
        <x:v>MASTER、任务席、主屏、控制台局部</x:v>
      </x:c>
      <x:c r="L36" s="38" t="str">
        <x:v>用户明确要求屏幕、席位职责和人员调度必须重做</x:v>
      </x:c>
    </x:row>
    <x:row r="37">
      <x:c r="A37" s="38" t="str">
        <x:v>BY-SCN-P0-007-返回舱再入视觉环境</x:v>
      </x:c>
      <x:c r="B37" s="38" t="str">
        <x:v>SCN</x:v>
      </x:c>
      <x:c r="C37" s="38" t="str">
        <x:v>返回舱再入视觉环境</x:v>
      </x:c>
      <x:c r="D37" s="42" t="str">
        <x:v>P0</x:v>
      </x:c>
      <x:c r="E37" s="39" t="str">
        <x:v>保留候选</x:v>
      </x:c>
      <x:c r="F37" s="38" t="str">
        <x:v>独立资产</x:v>
      </x:c>
      <x:c r="G37" s="38" t="str">
        <x:v>保留为V1.3.2候选；按新构型、屏幕、光照与顾问结论做继承检查</x:v>
      </x:c>
      <x:c r="H37" s="38" t="str">
        <x:v>V1.3.1旧映射待V1.3.2正式稿收口：场15；镜102,104,105,106,108</x:v>
      </x:c>
      <x:c r="I37" s="38" t="str">
        <x:v>xcflow-scene-assets；人员调度另接 xcflow-scene-design</x:v>
      </x:c>
      <x:c r="J37" s="38" t="str">
        <x:v>FP-PD-NATHAN-CROWLEY@v1.1；FP-CIN-ROGER-DEAKINS@v1.1（仅光影校准）；再入回收顾问</x:v>
      </x:c>
      <x:c r="K37" s="38" t="str">
        <x:v>再入MASTER及关键状态视图</x:v>
      </x:c>
      <x:c r="L37" s="38" t="str">
        <x:v>未触发强制退出或重做规则</x:v>
      </x:c>
    </x:row>
    <x:row r="38">
      <x:c r="A38" s="38" t="str">
        <x:v>BY-SCN-P0-008-预定着陆区与搜救现场</x:v>
      </x:c>
      <x:c r="B38" s="38" t="str">
        <x:v>SCN</x:v>
      </x:c>
      <x:c r="C38" s="38" t="str">
        <x:v>东风着陆场与搜救现场</x:v>
      </x:c>
      <x:c r="D38" s="42" t="str">
        <x:v>P0</x:v>
      </x:c>
      <x:c r="E38" s="40" t="str">
        <x:v>重做</x:v>
      </x:c>
      <x:c r="F38" s="38" t="str">
        <x:v>独立场景／设备资产</x:v>
      </x:c>
      <x:c r="G38" s="38" t="str">
        <x:v>按搜救状态门、空地协同、医监医保与样品双线重建，不做摆拍式大合影</x:v>
      </x:c>
      <x:c r="H38" s="38" t="str">
        <x:v>V1.3.1旧映射待V1.3.2正式稿收口：第13—15场</x:v>
      </x:c>
      <x:c r="I38" s="38" t="str">
        <x:v>xcflow-scene-assets；人员调度另接 xcflow-scene-design</x:v>
      </x:c>
      <x:c r="J38" s="38" t="str">
        <x:v>FP-PD-NATHAN-CROWLEY@v1.1；FP-CIN-ROGER-DEAKINS@v1.1（仅光影校准）；再入回收顾问</x:v>
      </x:c>
      <x:c r="K38" s="38" t="str">
        <x:v>MASTER、航拍、手持长焦、舱门医疗视图</x:v>
      </x:c>
      <x:c r="L38" s="38" t="str">
        <x:v>再入回收顾问核查＋人员调度重做</x:v>
      </x:c>
    </x:row>
    <x:row r="39">
      <x:c r="A39" s="38" t="str">
        <x:v>BY-VEH-P0-005-梦舟月轨组合体</x:v>
      </x:c>
      <x:c r="B39" s="38" t="str">
        <x:v>VEH</x:v>
      </x:c>
      <x:c r="C39" s="38" t="str">
        <x:v>梦舟返回舱＋服务舱月轨组合体</x:v>
      </x:c>
      <x:c r="D39" s="42" t="str">
        <x:v>P0</x:v>
      </x:c>
      <x:c r="E39" s="40" t="str">
        <x:v>重做</x:v>
      </x:c>
      <x:c r="F39" s="38" t="str">
        <x:v>独立工程构型资产</x:v>
      </x:c>
      <x:c r="G39" s="38" t="str">
        <x:v>按公开任务功能重建完整构型、舱段关系、承力／使用路径与共享制造逻辑；顾问核查后出母图</x:v>
      </x:c>
      <x:c r="H39" s="38" t="str">
        <x:v>V1.3.1旧映射待V1.3.2正式稿收口：场1,2,4,12,13,14；镜002,005,008,010,011,020,021,084,085,087,093,095,096,098</x:v>
      </x:c>
      <x:c r="I39" s="38" t="str">
        <x:v>xcflow-prop-assets</x:v>
      </x:c>
      <x:c r="J39" s="38" t="str">
        <x:v>FP-PD-NATHAN-CROWLEY@v1.1；航天器构型顾问</x:v>
      </x:c>
      <x:c r="K39" s="38" t="str">
        <x:v>完整组合体结构验证和关键状态视图</x:v>
      </x:c>
      <x:c r="L39" s="38" t="str">
        <x:v>现图不足以支撑V1.3.2工程连续性</x:v>
      </x:c>
    </x:row>
    <x:row r="40">
      <x:c r="A40" s="38" t="str">
        <x:v>BY-VEH-P0-006-梦舟返回舱独立再入构型</x:v>
      </x:c>
      <x:c r="B40" s="38" t="str">
        <x:v>VEH</x:v>
      </x:c>
      <x:c r="C40" s="38" t="str">
        <x:v>梦舟返回舱独立再入构型</x:v>
      </x:c>
      <x:c r="D40" s="42" t="str">
        <x:v>P0</x:v>
      </x:c>
      <x:c r="E40" s="40" t="str">
        <x:v>重做</x:v>
      </x:c>
      <x:c r="F40" s="38" t="str">
        <x:v>独立工程构型资产</x:v>
      </x:c>
      <x:c r="G40" s="38" t="str">
        <x:v>按公开任务功能重建完整构型、舱段关系、承力／使用路径与共享制造逻辑；顾问核查后出母图</x:v>
      </x:c>
      <x:c r="H40" s="38" t="str">
        <x:v>V1.3.1旧映射待V1.3.2正式稿收口：场15；镜102,104,105,106,108</x:v>
      </x:c>
      <x:c r="I40" s="38" t="str">
        <x:v>xcflow-prop-assets</x:v>
      </x:c>
      <x:c r="J40" s="38" t="str">
        <x:v>FP-PD-NATHAN-CROWLEY@v1.1；航天器构型顾问；再入回收顾问</x:v>
      </x:c>
      <x:c r="K40" s="38" t="str">
        <x:v>结构验证＋再入状态继承</x:v>
      </x:c>
      <x:c r="L40" s="38" t="str">
        <x:v>现图不足以支撑V1.3.2工程连续性</x:v>
      </x:c>
    </x:row>
    <x:row r="41">
      <x:c r="A41" s="38" t="str">
        <x:v>BY-VEH-P0-007-返回舱群伞气囊着陆构型</x:v>
      </x:c>
      <x:c r="B41" s="38" t="str">
        <x:v>VEH</x:v>
      </x:c>
      <x:c r="C41" s="38" t="str">
        <x:v>返回舱群伞／气囊着陆构型</x:v>
      </x:c>
      <x:c r="D41" s="42" t="str">
        <x:v>P0</x:v>
      </x:c>
      <x:c r="E41" s="40" t="str">
        <x:v>重做</x:v>
      </x:c>
      <x:c r="F41" s="38" t="str">
        <x:v>独立工程构型资产</x:v>
      </x:c>
      <x:c r="G41" s="38" t="str">
        <x:v>按公开任务功能重建完整构型、舱段关系、承力／使用路径与共享制造逻辑；顾问核查后出母图</x:v>
      </x:c>
      <x:c r="H41" s="38" t="str">
        <x:v>V1.3.1旧映射待V1.3.2正式稿收口：场15,16；镜108,109,110,111,112,113,114</x:v>
      </x:c>
      <x:c r="I41" s="38" t="str">
        <x:v>xcflow-prop-assets</x:v>
      </x:c>
      <x:c r="J41" s="38" t="str">
        <x:v>FP-PD-NATHAN-CROWLEY@v1.1；航天器构型顾问；再入回收顾问</x:v>
      </x:c>
      <x:c r="K41" s="38" t="str">
        <x:v>与开伞、气囊VFX和搜救场景联合验证</x:v>
      </x:c>
      <x:c r="L41" s="38" t="str">
        <x:v>现图不足以支撑V1.3.2工程连续性</x:v>
      </x:c>
    </x:row>
    <x:row r="42">
      <x:c r="A42" s="38" t="str">
        <x:v>BY-VFX-P0-005-返回舱等离子辉光与黑障视觉</x:v>
      </x:c>
      <x:c r="B42" s="38" t="str">
        <x:v>VFX</x:v>
      </x:c>
      <x:c r="C42" s="38" t="str">
        <x:v>返回舱等离子辉光与黑障视觉</x:v>
      </x:c>
      <x:c r="D42" s="42" t="str">
        <x:v>P0</x:v>
      </x:c>
      <x:c r="E42" s="41" t="str">
        <x:v>混合制作</x:v>
      </x:c>
      <x:c r="F42" s="38" t="str">
        <x:v>VFX物理基准测试包＋逐镜Prompt</x:v>
      </x:c>
      <x:c r="G42" s="38" t="str">
        <x:v>只固化物理规律、尺度与可接受边界；每镜运动、尘埃、辉光、伞降与冲击仍随视频生成</x:v>
      </x:c>
      <x:c r="H42" s="38" t="str">
        <x:v>V1.3.1旧映射待V1.3.2正式稿收口：场15；镜104,106,108</x:v>
      </x:c>
      <x:c r="I42" s="38" t="str">
        <x:v>xcflow-vfx-assets＋xcflow-video-prompt</x:v>
      </x:c>
      <x:c r="J42" s="38" t="str">
        <x:v>FP-CIN-ROGER-DEAKINS@v1.1（仅光影校准）；再入回收顾问</x:v>
      </x:c>
      <x:c r="K42" s="38" t="str">
        <x:v>高风险技术测试</x:v>
      </x:c>
      <x:c r="L42" s="38" t="str">
        <x:v>高风险现象需统一测试，但不应把每个动态状态都制成静态资产</x:v>
      </x:c>
    </x:row>
    <x:row r="43">
      <x:c r="A43" s="38" t="str">
        <x:v>BY-VFX-P0-006-稳定伞与主伞展开</x:v>
      </x:c>
      <x:c r="B43" s="38" t="str">
        <x:v>VFX</x:v>
      </x:c>
      <x:c r="C43" s="38" t="str">
        <x:v>返回舱稳定伞／主伞展开</x:v>
      </x:c>
      <x:c r="D43" s="42" t="str">
        <x:v>P0</x:v>
      </x:c>
      <x:c r="E43" s="41" t="str">
        <x:v>混合制作</x:v>
      </x:c>
      <x:c r="F43" s="38" t="str">
        <x:v>VFX物理基准测试包＋逐镜Prompt</x:v>
      </x:c>
      <x:c r="G43" s="38" t="str">
        <x:v>只固化物理规律、尺度与可接受边界；每镜运动、尘埃、辉光、伞降与冲击仍随视频生成</x:v>
      </x:c>
      <x:c r="H43" s="38" t="str">
        <x:v>V1.3.1旧映射待V1.3.2正式稿收口：场15；镜108</x:v>
      </x:c>
      <x:c r="I43" s="38" t="str">
        <x:v>xcflow-vfx-assets＋xcflow-video-prompt</x:v>
      </x:c>
      <x:c r="J43" s="38" t="str">
        <x:v>FP-CIN-ROGER-DEAKINS@v1.1（仅光影校准）；再入回收顾问</x:v>
      </x:c>
      <x:c r="K43" s="38" t="str">
        <x:v>与返回舱群伞构型联合测试</x:v>
      </x:c>
      <x:c r="L43" s="38" t="str">
        <x:v>高风险现象需统一测试，但不应把每个动态状态都制成静态资产</x:v>
      </x:c>
    </x:row>
    <x:row r="44">
      <x:c r="A44" s="38" t="str">
        <x:v>BY-VFX-P0-007-气囊触地滚摆</x:v>
      </x:c>
      <x:c r="B44" s="38" t="str">
        <x:v>VFX</x:v>
      </x:c>
      <x:c r="C44" s="38" t="str">
        <x:v>返回舱气囊触地与滚摆</x:v>
      </x:c>
      <x:c r="D44" s="42" t="str">
        <x:v>P0</x:v>
      </x:c>
      <x:c r="E44" s="41" t="str">
        <x:v>混合制作</x:v>
      </x:c>
      <x:c r="F44" s="38" t="str">
        <x:v>VFX物理基准测试包＋逐镜Prompt</x:v>
      </x:c>
      <x:c r="G44" s="38" t="str">
        <x:v>只固化物理规律、尺度与可接受边界；每镜运动、尘埃、辉光、伞降与冲击仍随视频生成</x:v>
      </x:c>
      <x:c r="H44" s="38" t="str">
        <x:v>V1.3.1旧映射待V1.3.2正式稿收口：场15；镜109</x:v>
      </x:c>
      <x:c r="I44" s="38" t="str">
        <x:v>xcflow-vfx-assets＋xcflow-video-prompt</x:v>
      </x:c>
      <x:c r="J44" s="38" t="str">
        <x:v>FP-CIN-ROGER-DEAKINS@v1.1（仅光影校准）；再入回收顾问</x:v>
      </x:c>
      <x:c r="K44" s="38" t="str">
        <x:v>与搜救MASTER联合测试</x:v>
      </x:c>
      <x:c r="L44" s="38" t="str">
        <x:v>高风险现象需统一测试，但不应把每个动态状态都制成静态资产</x:v>
      </x:c>
    </x:row>
    <x:row r="45">
      <x:c r="A45" s="38" t="str">
        <x:v>BY-PRP-P0-006-东风医监转移设备</x:v>
      </x:c>
      <x:c r="B45" s="38" t="str">
        <x:v>PRP</x:v>
      </x:c>
      <x:c r="C45" s="38" t="str">
        <x:v>东风医监支撑座椅、担架与生命体征设备</x:v>
      </x:c>
      <x:c r="D45" s="42" t="str">
        <x:v>P0</x:v>
      </x:c>
      <x:c r="E45" s="41" t="str">
        <x:v>修订</x:v>
      </x:c>
      <x:c r="F45" s="38" t="str">
        <x:v>独立工程道具／设备资产</x:v>
      </x:c>
      <x:c r="G45" s="38" t="str">
        <x:v>按真实操作、承力、转移、维护与摄影路径复核后修订</x:v>
      </x:c>
      <x:c r="H45" s="38" t="str">
        <x:v>V1.3.1旧映射待V1.3.2正式稿收口：第15场</x:v>
      </x:c>
      <x:c r="I45" s="38" t="str">
        <x:v>xcflow-prop-assets</x:v>
      </x:c>
      <x:c r="J45" s="38" t="str">
        <x:v>FP-PD-NATHAN-CROWLEY@v1.1；再入回收顾问</x:v>
      </x:c>
      <x:c r="K45" s="38" t="str">
        <x:v>人物状态决定座椅或担架，不允许航天员立即自行步行出舱</x:v>
      </x:c>
      <x:c r="L45" s="38" t="str">
        <x:v>需要与新航天器／舱内／回收设备共享工程逻辑</x:v>
      </x:c>
    </x:row>
    <x:row r="46">
      <x:c r="A46" s="38" t="str">
        <x:v>BY-SYM-P0-003-飞控任务屏信息架构</x:v>
      </x:c>
      <x:c r="B46" s="38" t="str">
        <x:v>SYM</x:v>
      </x:c>
      <x:c r="C46" s="38" t="str">
        <x:v>飞控任务主屏与副屏信息架构</x:v>
      </x:c>
      <x:c r="D46" s="42" t="str">
        <x:v>P0</x:v>
      </x:c>
      <x:c r="E46" s="40" t="str">
        <x:v>新增重做</x:v>
      </x:c>
      <x:c r="F46" s="38" t="str">
        <x:v>独立后期图形资产</x:v>
      </x:c>
      <x:c r="G46" s="38" t="str">
        <x:v>统一对接、下降、出舱、返航、再入、搜救各阶段的信息层级；屏幕内容与席位职责一一对应</x:v>
      </x:c>
      <x:c r="H46" s="38" t="str">
        <x:v>北京飞控全部主屏／副屏镜头</x:v>
      </x:c>
      <x:c r="I46" s="38" t="str">
        <x:v>xcflow-prop-assets／后期图形；xcflow-scene-design</x:v>
      </x:c>
      <x:c r="J46" s="38" t="str">
        <x:v>FP-PD-NATHAN-CROWLEY@v1.1；四项顾问按阶段核查</x:v>
      </x:c>
      <x:c r="K46" s="38" t="str">
        <x:v>先确认席位职责矩阵、信息源和授权动作；再设计屏幕，不反向用屏幕决定流程</x:v>
      </x:c>
      <x:c r="L46" s="38" t="str">
        <x:v>新增总母资产，旧屏一律不得直接复用</x:v>
      </x:c>
    </x:row>
    <x:row r="47">
      <x:c r="A47" s="38" t="str">
        <x:v>BY-CHR-P1-002-林知夏</x:v>
      </x:c>
      <x:c r="B47" s="38" t="str">
        <x:v>CHR</x:v>
      </x:c>
      <x:c r="C47" s="38" t="str">
        <x:v>林知夏</x:v>
      </x:c>
      <x:c r="D47" s="42" t="str">
        <x:v>P1</x:v>
      </x:c>
      <x:c r="E47" s="39" t="str">
        <x:v>保留候选</x:v>
      </x:c>
      <x:c r="F47" s="38" t="str">
        <x:v>独立人物资产</x:v>
      </x:c>
      <x:c r="G47" s="38" t="str">
        <x:v>保留现有人脸图为候选身份母图；仍需一次最终身份母图确认</x:v>
      </x:c>
      <x:c r="H47" s="38" t="str">
        <x:v>V1.3.1旧映射待V1.3.2正式稿收口：场8；镜056</x:v>
      </x:c>
      <x:c r="I47" s="38" t="str">
        <x:v>xcflow-character-assets</x:v>
      </x:c>
      <x:c r="J47" s="38" t="str"/>
      <x:c r="K47" s="38" t="str">
        <x:v>剧照验证图、半身与全身</x:v>
      </x:c>
      <x:c r="L47" s="38" t="str">
        <x:v>用户明确保留候选</x:v>
      </x:c>
    </x:row>
    <x:row r="48">
      <x:c r="A48" s="38" t="str">
        <x:v>BY-CST-P1-001-杨凛登月服轻度月尘状态</x:v>
      </x:c>
      <x:c r="B48" s="38" t="str">
        <x:v>CST</x:v>
      </x:c>
      <x:c r="C48" s="38" t="str">
        <x:v>杨凛登月服轻度月尘状态</x:v>
      </x:c>
      <x:c r="D48" s="42" t="str">
        <x:v>P1</x:v>
      </x:c>
      <x:c r="E48" s="39" t="str">
        <x:v>保留候选</x:v>
      </x:c>
      <x:c r="F48" s="38" t="str">
        <x:v>独立服装资产</x:v>
      </x:c>
      <x:c r="G48" s="38" t="str">
        <x:v>保留现有服装方向候选，待身份母图与航天器接口确认后锁定</x:v>
      </x:c>
      <x:c r="H48" s="38" t="str">
        <x:v>V1.3.1旧映射待V1.3.2正式稿收口：场13；镜090,091,094</x:v>
      </x:c>
      <x:c r="I48" s="38" t="str">
        <x:v>xcflow-character-assets</x:v>
      </x:c>
      <x:c r="J48" s="38" t="str"/>
      <x:c r="K48" s="38" t="str">
        <x:v>基于确认登月服制作状态变体</x:v>
      </x:c>
      <x:c r="L48" s="38" t="str">
        <x:v>人物／接口尚未全部闭合</x:v>
      </x:c>
    </x:row>
    <x:row r="49">
      <x:c r="A49" s="38" t="str">
        <x:v>BY-CST-P1-002-陈砚登月服轻度月尘状态</x:v>
      </x:c>
      <x:c r="B49" s="38" t="str">
        <x:v>CST</x:v>
      </x:c>
      <x:c r="C49" s="38" t="str">
        <x:v>陈砚登月服轻度月尘状态</x:v>
      </x:c>
      <x:c r="D49" s="42" t="str">
        <x:v>P1</x:v>
      </x:c>
      <x:c r="E49" s="39" t="str">
        <x:v>保留候选</x:v>
      </x:c>
      <x:c r="F49" s="38" t="str">
        <x:v>独立服装资产</x:v>
      </x:c>
      <x:c r="G49" s="38" t="str">
        <x:v>保留现有服装方向候选，待身份母图与航天器接口确认后锁定</x:v>
      </x:c>
      <x:c r="H49" s="38" t="str">
        <x:v>V1.3.1旧映射待V1.3.2正式稿收口：场13；镜090,091,094</x:v>
      </x:c>
      <x:c r="I49" s="38" t="str">
        <x:v>xcflow-character-assets</x:v>
      </x:c>
      <x:c r="J49" s="38" t="str"/>
      <x:c r="K49" s="38" t="str">
        <x:v>基于确认登月服制作状态变体</x:v>
      </x:c>
      <x:c r="L49" s="38" t="str">
        <x:v>人物／接口尚未全部闭合</x:v>
      </x:c>
    </x:row>
    <x:row r="50">
      <x:c r="A50" s="38" t="str">
        <x:v>BY-CST-P1-004-林知夏记者服装</x:v>
      </x:c>
      <x:c r="B50" s="38" t="str">
        <x:v>CST</x:v>
      </x:c>
      <x:c r="C50" s="38" t="str">
        <x:v>林知夏记者服装</x:v>
      </x:c>
      <x:c r="D50" s="42" t="str">
        <x:v>P1</x:v>
      </x:c>
      <x:c r="E50" s="39" t="str">
        <x:v>保留候选</x:v>
      </x:c>
      <x:c r="F50" s="38" t="str">
        <x:v>独立服装资产</x:v>
      </x:c>
      <x:c r="G50" s="38" t="str">
        <x:v>保留现有服装方向候选，待身份母图与航天器接口确认后锁定</x:v>
      </x:c>
      <x:c r="H50" s="38" t="str">
        <x:v>V1.3.1旧映射待V1.3.2正式稿收口：场8；镜056</x:v>
      </x:c>
      <x:c r="I50" s="38" t="str">
        <x:v>xcflow-character-assets</x:v>
      </x:c>
      <x:c r="J50" s="38" t="str"/>
      <x:c r="K50" s="38" t="str">
        <x:v>人物定妆服装</x:v>
      </x:c>
      <x:c r="L50" s="38" t="str">
        <x:v>人物／接口尚未全部闭合</x:v>
      </x:c>
    </x:row>
    <x:row r="51">
      <x:c r="A51" s="38" t="str">
        <x:v>BY-VOI-P1-002-林知夏声音</x:v>
      </x:c>
      <x:c r="B51" s="38" t="str">
        <x:v>VOI</x:v>
      </x:c>
      <x:c r="C51" s="38" t="str">
        <x:v>林知夏稳定音色</x:v>
      </x:c>
      <x:c r="D51" s="42" t="str">
        <x:v>P1</x:v>
      </x:c>
      <x:c r="E51" s="39" t="str">
        <x:v>保留</x:v>
      </x:c>
      <x:c r="F51" s="38" t="str">
        <x:v>独立稳定音色资产</x:v>
      </x:c>
      <x:c r="G51" s="38" t="str">
        <x:v>角色音色独立确认登记；具体对白与通信质感仍随视频同步生成</x:v>
      </x:c>
      <x:c r="H51" s="38" t="str">
        <x:v>V1.3.1旧映射待V1.3.2正式稿收口：场1,6,8,15；镜002,042,056,105</x:v>
      </x:c>
      <x:c r="I51" s="38" t="str">
        <x:v>xcflow-voice-assets</x:v>
      </x:c>
      <x:c r="J51" s="38" t="str"/>
      <x:c r="K51" s="38" t="str">
        <x:v>独立制作稳定音色资产</x:v>
      </x:c>
      <x:c r="L51" s="38" t="str">
        <x:v>跨镜头身份稳定需要</x:v>
      </x:c>
    </x:row>
    <x:row r="52">
      <x:c r="A52" s="38" t="str">
        <x:v>BY-VOI-P1-004-北京飞控主调度声音</x:v>
      </x:c>
      <x:c r="B52" s="38" t="str">
        <x:v>VOI</x:v>
      </x:c>
      <x:c r="C52" s="38" t="str">
        <x:v>北京飞控主调度稳定音色</x:v>
      </x:c>
      <x:c r="D52" s="42" t="str">
        <x:v>P1</x:v>
      </x:c>
      <x:c r="E52" s="39" t="str">
        <x:v>保留</x:v>
      </x:c>
      <x:c r="F52" s="38" t="str">
        <x:v>独立稳定音色资产</x:v>
      </x:c>
      <x:c r="G52" s="38" t="str">
        <x:v>角色音色独立确认登记；具体对白与通信质感仍随视频同步生成</x:v>
      </x:c>
      <x:c r="H52" s="38" t="str">
        <x:v>V1.3.1旧映射待V1.3.2正式稿收口：场1,2,4,5,6,7,8,9,10,12,13,14,15,16；镜003,005,006,010,012,021,023,024,026,028,031,036,041,045,050,051,053,057,064,065,067,072,073,080,083,088,093,095,097,102,104,106,108,113</x:v>
      </x:c>
      <x:c r="I52" s="38" t="str">
        <x:v>xcflow-voice-assets</x:v>
      </x:c>
      <x:c r="J52" s="38" t="str"/>
      <x:c r="K52" s="38" t="str">
        <x:v>独立制作稳定音色资产</x:v>
      </x:c>
      <x:c r="L52" s="38" t="str">
        <x:v>跨镜头身份稳定需要</x:v>
      </x:c>
    </x:row>
    <x:row r="53">
      <x:c r="A53" s="38" t="str">
        <x:v>BY-SCN-P1-003-飞控中心媒体区</x:v>
      </x:c>
      <x:c r="B53" s="38" t="str">
        <x:v>SCN</x:v>
      </x:c>
      <x:c r="C53" s="38" t="str">
        <x:v>飞控中心媒体区</x:v>
      </x:c>
      <x:c r="D53" s="42" t="str">
        <x:v>P1</x:v>
      </x:c>
      <x:c r="E53" s="40" t="str">
        <x:v>强制重做</x:v>
      </x:c>
      <x:c r="F53" s="38" t="str">
        <x:v>独立空间／道具资产</x:v>
      </x:c>
      <x:c r="G53" s="38" t="str">
        <x:v>屏幕信息架构、席位职责、人员数量与调度全部从零复核；不得沿用旧图的岗位标签与站位</x:v>
      </x:c>
      <x:c r="H53" s="38" t="str">
        <x:v>V1.3.1旧映射待V1.3.2正式稿收口：场8；镜056</x:v>
      </x:c>
      <x:c r="I53" s="38" t="str">
        <x:v>xcflow-scene-assets；人员调度另接 xcflow-scene-design</x:v>
      </x:c>
      <x:c r="J53" s="38" t="str">
        <x:v>FP-PD-NATHAN-CROWLEY@v1.1；FP-CIN-ROGER-DEAKINS@v1.1（仅光影校准）</x:v>
      </x:c>
      <x:c r="K53" s="38" t="str">
        <x:v>母图SV0</x:v>
      </x:c>
      <x:c r="L53" s="38" t="str">
        <x:v>用户明确要求屏幕、席位职责和人员调度必须重做</x:v>
      </x:c>
    </x:row>
    <x:row r="54">
      <x:c r="A54" s="38" t="str">
        <x:v>BY-SCN-P1-005-月面后段科考区</x:v>
      </x:c>
      <x:c r="B54" s="38" t="str">
        <x:v>SCN</x:v>
      </x:c>
      <x:c r="C54" s="38" t="str">
        <x:v>月面科学任务路线与采样点</x:v>
      </x:c>
      <x:c r="D54" s="42" t="str">
        <x:v>P1</x:v>
      </x:c>
      <x:c r="E54" s="41" t="str">
        <x:v>修订</x:v>
      </x:c>
      <x:c r="F54" s="38" t="str">
        <x:v>独立场景母资产＋光照控制</x:v>
      </x:c>
      <x:c r="G54" s="38" t="str">
        <x:v>地貌空间可作为候选；废止艺术化225°／22°固定值，按2029-04-22具体UTC复算低太阳高度硬光与长阴影</x:v>
      </x:c>
      <x:c r="H54" s="38" t="str">
        <x:v>V1.3.1旧映射待V1.3.2正式稿收口：场9；镜058,059,060,061,062,064,066,067</x:v>
      </x:c>
      <x:c r="I54" s="38" t="str">
        <x:v>xcflow-scene-assets；人员调度另接 xcflow-scene-design</x:v>
      </x:c>
      <x:c r="J54" s="38" t="str">
        <x:v>FP-PD-NATHAN-CROWLEY@v1.1；FP-CIN-ROGER-DEAKINS@v1.1（仅光影校准）；月面光照顾问</x:v>
      </x:c>
      <x:c r="K54" s="38" t="str">
        <x:v>母图与SV1路径视图</x:v>
      </x:c>
      <x:c r="L54" s="38" t="str">
        <x:v>新时间线已锁定日期，精确太阳几何待UTC闭合</x:v>
      </x:c>
    </x:row>
    <x:row r="55">
      <x:c r="A55" s="38" t="str">
        <x:v>BY-SCN-P1-006-环月轨道外部环境</x:v>
      </x:c>
      <x:c r="B55" s="38" t="str">
        <x:v>SCN</x:v>
      </x:c>
      <x:c r="C55" s="38" t="str">
        <x:v>环月轨道外部环境</x:v>
      </x:c>
      <x:c r="D55" s="42" t="str">
        <x:v>P1</x:v>
      </x:c>
      <x:c r="E55" s="39" t="str">
        <x:v>保留候选</x:v>
      </x:c>
      <x:c r="F55" s="38" t="str">
        <x:v>独立资产</x:v>
      </x:c>
      <x:c r="G55" s="38" t="str">
        <x:v>保留为V1.3.2候选；按新构型、屏幕、光照与顾问结论做继承检查</x:v>
      </x:c>
      <x:c r="H55" s="38" t="str">
        <x:v>V1.3.1旧映射待V1.3.2正式稿收口：场1,2,4,11,12,13,14；镜002,008,010,011,020,021,024,025,078,084,085,087,093,095,096,098</x:v>
      </x:c>
      <x:c r="I55" s="38" t="str">
        <x:v>xcflow-scene-assets；人员调度另接 xcflow-scene-design</x:v>
      </x:c>
      <x:c r="J55" s="38" t="str">
        <x:v>FP-PD-NATHAN-CROWLEY@v1.1；FP-CIN-ROGER-DEAKINS@v1.1（仅光影校准）</x:v>
      </x:c>
      <x:c r="K55" s="38" t="str">
        <x:v>环境母图与SV1基准视图</x:v>
      </x:c>
      <x:c r="L55" s="38" t="str">
        <x:v>未触发强制退出或重做规则</x:v>
      </x:c>
    </x:row>
    <x:row r="56">
      <x:c r="A56" s="38" t="str">
        <x:v>BY-VEH-P1-003-揽月推进舱分离状态</x:v>
      </x:c>
      <x:c r="B56" s="38" t="str">
        <x:v>VEH</x:v>
      </x:c>
      <x:c r="C56" s="38" t="str">
        <x:v>揽月推进舱分离状态</x:v>
      </x:c>
      <x:c r="D56" s="42" t="str">
        <x:v>P1</x:v>
      </x:c>
      <x:c r="E56" s="40" t="str">
        <x:v>重做</x:v>
      </x:c>
      <x:c r="F56" s="38" t="str">
        <x:v>独立工程构型资产</x:v>
      </x:c>
      <x:c r="G56" s="38" t="str">
        <x:v>按公开任务功能重建完整构型、舱段关系、承力／使用路径与共享制造逻辑；顾问核查后出母图</x:v>
      </x:c>
      <x:c r="H56" s="38" t="str">
        <x:v>V1.3.1旧映射待V1.3.2正式稿收口：场4；镜025</x:v>
      </x:c>
      <x:c r="I56" s="38" t="str">
        <x:v>xcflow-prop-assets</x:v>
      </x:c>
      <x:c r="J56" s="38" t="str">
        <x:v>FP-PD-NATHAN-CROWLEY@v1.1；航天器构型顾问</x:v>
      </x:c>
      <x:c r="K56" s="38" t="str">
        <x:v>状态对照资产</x:v>
      </x:c>
      <x:c r="L56" s="38" t="str">
        <x:v>现图不足以支撑V1.3.2工程连续性</x:v>
      </x:c>
    </x:row>
    <x:row r="57">
      <x:c r="A57" s="38" t="str">
        <x:v>BY-PRP-P1-001-月面采样工具</x:v>
      </x:c>
      <x:c r="B57" s="38" t="str">
        <x:v>PRP</x:v>
      </x:c>
      <x:c r="C57" s="38" t="str">
        <x:v>月面采样工具</x:v>
      </x:c>
      <x:c r="D57" s="42" t="str">
        <x:v>P1</x:v>
      </x:c>
      <x:c r="E57" s="39" t="str">
        <x:v>保留候选</x:v>
      </x:c>
      <x:c r="F57" s="38" t="str">
        <x:v>独立资产</x:v>
      </x:c>
      <x:c r="G57" s="38" t="str">
        <x:v>保留为V1.3.2候选；按新构型、屏幕、光照与顾问结论做继承检查</x:v>
      </x:c>
      <x:c r="H57" s="38" t="str">
        <x:v>V1.3.1旧映射待V1.3.2正式稿收口：场7,9；镜045,059,062</x:v>
      </x:c>
      <x:c r="I57" s="38" t="str">
        <x:v>xcflow-prop-assets</x:v>
      </x:c>
      <x:c r="J57" s="38" t="str">
        <x:v>FP-PD-NATHAN-CROWLEY@v1.1；月面光照顾问</x:v>
      </x:c>
      <x:c r="K57" s="38" t="str">
        <x:v>多视图与使用动作参考</x:v>
      </x:c>
      <x:c r="L57" s="38" t="str">
        <x:v>未触发强制退出或重做规则</x:v>
      </x:c>
    </x:row>
    <x:row r="58">
      <x:c r="A58" s="38" t="str">
        <x:v>BY-PRP-P1-002-月壤样品容器</x:v>
      </x:c>
      <x:c r="B58" s="38" t="str">
        <x:v>PRP</x:v>
      </x:c>
      <x:c r="C58" s="38" t="str">
        <x:v>月壤样品容器</x:v>
      </x:c>
      <x:c r="D58" s="42" t="str">
        <x:v>P1</x:v>
      </x:c>
      <x:c r="E58" s="39" t="str">
        <x:v>保留候选</x:v>
      </x:c>
      <x:c r="F58" s="38" t="str">
        <x:v>独立资产</x:v>
      </x:c>
      <x:c r="G58" s="38" t="str">
        <x:v>保留为V1.3.2候选；按新构型、屏幕、光照与顾问结论做继承检查</x:v>
      </x:c>
      <x:c r="H58" s="38" t="str">
        <x:v>V1.3.1旧映射待V1.3.2正式稿收口：场7,9；镜045,059,062</x:v>
      </x:c>
      <x:c r="I58" s="38" t="str">
        <x:v>xcflow-prop-assets</x:v>
      </x:c>
      <x:c r="J58" s="38" t="str">
        <x:v>FP-PD-NATHAN-CROWLEY@v1.1</x:v>
      </x:c>
      <x:c r="K58" s="38" t="str">
        <x:v>多视图与手套操作参考</x:v>
      </x:c>
      <x:c r="L58" s="38" t="str">
        <x:v>未触发强制退出或重做规则</x:v>
      </x:c>
    </x:row>
    <x:row r="59">
      <x:c r="A59" s="38" t="str">
        <x:v>BY-PRP-P1-003-月面科学观测设备</x:v>
      </x:c>
      <x:c r="B59" s="38" t="str">
        <x:v>PRP</x:v>
      </x:c>
      <x:c r="C59" s="38" t="str">
        <x:v>小型月面科学载荷</x:v>
      </x:c>
      <x:c r="D59" s="42" t="str">
        <x:v>P1</x:v>
      </x:c>
      <x:c r="E59" s="39" t="str">
        <x:v>保留候选</x:v>
      </x:c>
      <x:c r="F59" s="38" t="str">
        <x:v>独立资产</x:v>
      </x:c>
      <x:c r="G59" s="38" t="str">
        <x:v>保留为V1.3.2候选；按新构型、屏幕、光照与顾问结论做继承检查</x:v>
      </x:c>
      <x:c r="H59" s="38" t="str">
        <x:v>V1.3.1旧映射待V1.3.2正式稿收口：场9；镜064</x:v>
      </x:c>
      <x:c r="I59" s="38" t="str">
        <x:v>xcflow-prop-assets</x:v>
      </x:c>
      <x:c r="J59" s="38" t="str">
        <x:v>FP-PD-NATHAN-CROWLEY@v1.1；月面光照顾问</x:v>
      </x:c>
      <x:c r="K59" s="38" t="str">
        <x:v>多视图与双人部署参考</x:v>
      </x:c>
      <x:c r="L59" s="38" t="str">
        <x:v>未触发强制退出或重做规则</x:v>
      </x:c>
    </x:row>
    <x:row r="60">
      <x:c r="A60" s="38" t="str">
        <x:v>BY-PRP-P1-004-月面工具包与载荷固定系统</x:v>
      </x:c>
      <x:c r="B60" s="38" t="str">
        <x:v>PRP</x:v>
      </x:c>
      <x:c r="C60" s="38" t="str">
        <x:v>月面工具包与载荷固定系统</x:v>
      </x:c>
      <x:c r="D60" s="42" t="str">
        <x:v>P1</x:v>
      </x:c>
      <x:c r="E60" s="39" t="str">
        <x:v>保留候选</x:v>
      </x:c>
      <x:c r="F60" s="38" t="str">
        <x:v>独立资产</x:v>
      </x:c>
      <x:c r="G60" s="38" t="str">
        <x:v>保留为V1.3.2候选；按新构型、屏幕、光照与顾问结论做继承检查</x:v>
      </x:c>
      <x:c r="H60" s="38" t="str">
        <x:v>V1.3.1旧映射待V1.3.2正式稿收口：场7；镜045</x:v>
      </x:c>
      <x:c r="I60" s="38" t="str">
        <x:v>xcflow-prop-assets</x:v>
      </x:c>
      <x:c r="J60" s="38" t="str">
        <x:v>FP-PD-NATHAN-CROWLEY@v1.1；月面光照顾问</x:v>
      </x:c>
      <x:c r="K60" s="38" t="str">
        <x:v>结构图与关系参考</x:v>
      </x:c>
      <x:c r="L60" s="38" t="str">
        <x:v>未触发强制退出或重做规则</x:v>
      </x:c>
    </x:row>
    <x:row r="61">
      <x:c r="A61" s="38" t="str">
        <x:v>BY-PRP-P1-005-两器舱门与对接锁止结果件</x:v>
      </x:c>
      <x:c r="B61" s="38" t="str">
        <x:v>PRP</x:v>
      </x:c>
      <x:c r="C61" s="38" t="str">
        <x:v>两器舱门与对接锁止结果件</x:v>
      </x:c>
      <x:c r="D61" s="42" t="str">
        <x:v>P1</x:v>
      </x:c>
      <x:c r="E61" s="41" t="str">
        <x:v>修订</x:v>
      </x:c>
      <x:c r="F61" s="38" t="str">
        <x:v>独立工程道具／设备资产</x:v>
      </x:c>
      <x:c r="G61" s="38" t="str">
        <x:v>按真实操作、承力、转移、维护与摄影路径复核后修订</x:v>
      </x:c>
      <x:c r="H61" s="38" t="str">
        <x:v>V1.3.1旧映射待V1.3.2正式稿收口：场3,13；镜013,014,016,018,019,089,092</x:v>
      </x:c>
      <x:c r="I61" s="38" t="str">
        <x:v>xcflow-prop-assets</x:v>
      </x:c>
      <x:c r="J61" s="38" t="str">
        <x:v>FP-PD-NATHAN-CROWLEY@v1.1</x:v>
      </x:c>
      <x:c r="K61" s="38" t="str">
        <x:v>结构局部与状态对照</x:v>
      </x:c>
      <x:c r="L61" s="38" t="str">
        <x:v>需要与新航天器／舱内／回收设备共享工程逻辑</x:v>
      </x:c>
    </x:row>
    <x:row r="62">
      <x:c r="A62" s="38" t="str">
        <x:v>BY-PRP-P1-006-舱内操作界面与任务屏</x:v>
      </x:c>
      <x:c r="B62" s="38" t="str">
        <x:v>PRP</x:v>
      </x:c>
      <x:c r="C62" s="38" t="str">
        <x:v>舱内操作界面与任务屏</x:v>
      </x:c>
      <x:c r="D62" s="42" t="str">
        <x:v>P1</x:v>
      </x:c>
      <x:c r="E62" s="40" t="str">
        <x:v>强制重做</x:v>
      </x:c>
      <x:c r="F62" s="38" t="str">
        <x:v>独立空间／道具资产</x:v>
      </x:c>
      <x:c r="G62" s="38" t="str">
        <x:v>屏幕信息架构、席位职责、人员数量与调度全部从零复核；不得沿用旧图的岗位标签与站位</x:v>
      </x:c>
      <x:c r="H62" s="38" t="str">
        <x:v>V1.3.1旧映射待V1.3.2正式稿收口：梦舟、揽月与飞控任务镜头</x:v>
      </x:c>
      <x:c r="I62" s="38" t="str">
        <x:v>xcflow-prop-assets</x:v>
      </x:c>
      <x:c r="J62" s="38" t="str">
        <x:v>FP-PD-NATHAN-CROWLEY@v1.1</x:v>
      </x:c>
      <x:c r="K62" s="38" t="str">
        <x:v>建立可读但非官方复刻的统一任务UI组件库；屏幕保持工作状态。</x:v>
      </x:c>
      <x:c r="L62" s="38" t="str">
        <x:v>用户明确要求屏幕、席位职责和人员调度必须重做</x:v>
      </x:c>
    </x:row>
    <x:row r="63">
      <x:c r="A63" s="38" t="str">
        <x:v>BY-SYM-P1-001-未来纪实推演标识</x:v>
      </x:c>
      <x:c r="B63" s="38" t="str">
        <x:v>SYM</x:v>
      </x:c>
      <x:c r="C63" s="38" t="str">
        <x:v>未来纪实推演标识</x:v>
      </x:c>
      <x:c r="D63" s="42" t="str">
        <x:v>P1</x:v>
      </x:c>
      <x:c r="E63" s="39" t="str">
        <x:v>保留候选</x:v>
      </x:c>
      <x:c r="F63" s="38" t="str">
        <x:v>独立资产</x:v>
      </x:c>
      <x:c r="G63" s="38" t="str">
        <x:v>保留为V1.3.2候选；按新构型、屏幕、光照与顾问结论做继承检查</x:v>
      </x:c>
      <x:c r="H63" s="38" t="str">
        <x:v>V1.3.1旧映射待V1.3.2正式稿收口：场1,16；镜001,114</x:v>
      </x:c>
      <x:c r="I63" s="38" t="str">
        <x:v>xcflow-prop-assets／后期图形</x:v>
      </x:c>
      <x:c r="J63" s="38" t="str"/>
      <x:c r="K63" s="38" t="str">
        <x:v>统一包装资产</x:v>
      </x:c>
      <x:c r="L63" s="38" t="str">
        <x:v>未触发强制退出或重做规则</x:v>
      </x:c>
    </x:row>
    <x:row r="64">
      <x:c r="A64" s="38" t="str">
        <x:v>BY-SYM-P1-003-任务阶段与时间跳跃标牌</x:v>
      </x:c>
      <x:c r="B64" s="38" t="str">
        <x:v>SYM</x:v>
      </x:c>
      <x:c r="C64" s="38" t="str">
        <x:v>任务阶段与时间跳跃标牌</x:v>
      </x:c>
      <x:c r="D64" s="42" t="str">
        <x:v>P1</x:v>
      </x:c>
      <x:c r="E64" s="40" t="str">
        <x:v>重做</x:v>
      </x:c>
      <x:c r="F64" s="38" t="str">
        <x:v>独立后期图形资产</x:v>
      </x:c>
      <x:c r="G64" s="38" t="str">
        <x:v>按V1.3.2日期、任务阶段、RF／光通信分工及新席位体系重建；不得继承旧屏内容</x:v>
      </x:c>
      <x:c r="H64" s="38" t="str">
        <x:v>V1.3.1旧映射待V1.3.2正式稿收口：第1、4、7、10—13、15场</x:v>
      </x:c>
      <x:c r="I64" s="38" t="str">
        <x:v>xcflow-prop-assets／后期图形</x:v>
      </x:c>
      <x:c r="J64" s="38" t="str"/>
      <x:c r="K64" s="38" t="str">
        <x:v>时间标牌必须与119镜时间线一致，并显式区分直播、延时和视觉重建。</x:v>
      </x:c>
      <x:c r="L64" s="38" t="str">
        <x:v>屏幕体系强制重做</x:v>
      </x:c>
    </x:row>
    <x:row r="65">
      <x:c r="A65" s="38" t="str">
        <x:v>BY-CRO-P1-001-北京飞控任务团队</x:v>
      </x:c>
      <x:c r="B65" s="38" t="str">
        <x:v>CRO</x:v>
      </x:c>
      <x:c r="C65" s="38" t="str">
        <x:v>北京飞控任务团队</x:v>
      </x:c>
      <x:c r="D65" s="42" t="str">
        <x:v>P1</x:v>
      </x:c>
      <x:c r="E65" s="40" t="str">
        <x:v>强制重做</x:v>
      </x:c>
      <x:c r="F65" s="38" t="str">
        <x:v>独立团队／群组资产</x:v>
      </x:c>
      <x:c r="G65" s="38" t="str">
        <x:v>屏幕信息架构、席位职责、人员数量与调度全部从零复核；不得沿用旧图的岗位标签与站位</x:v>
      </x:c>
      <x:c r="H65" s="38" t="str">
        <x:v>V1.3.1旧映射待V1.3.2正式稿收口：场2,4,5,6,8,10,11,12,14,15,16；镜006,012,022,028,031,035,041,053,072,077,083,088,097,104,107,113</x:v>
      </x:c>
      <x:c r="I65" s="38" t="str">
        <x:v>xcflow-scene-assets；人员调度另接 xcflow-scene-design</x:v>
      </x:c>
      <x:c r="J65" s="38" t="str">
        <x:v>FP-PD-NATHAN-CROWLEY@v1.1</x:v>
      </x:c>
      <x:c r="K65" s="38" t="str">
        <x:v>群演构成表与群像资产</x:v>
      </x:c>
      <x:c r="L65" s="38" t="str">
        <x:v>用户明确要求屏幕、席位职责和人员调度必须重做</x:v>
      </x:c>
    </x:row>
    <x:row r="66">
      <x:c r="A66" s="38" t="str">
        <x:v>BY-SCN-P1-009-VLBI测轨席</x:v>
      </x:c>
      <x:c r="B66" s="38" t="str">
        <x:v>SCN</x:v>
      </x:c>
      <x:c r="C66" s="38" t="str">
        <x:v>VLBI测轨席／天衡界面</x:v>
      </x:c>
      <x:c r="D66" s="42" t="str">
        <x:v>P1</x:v>
      </x:c>
      <x:c r="E66" s="40" t="str">
        <x:v>强制重做</x:v>
      </x:c>
      <x:c r="F66" s="38" t="str">
        <x:v>独立空间／道具资产</x:v>
      </x:c>
      <x:c r="G66" s="38" t="str">
        <x:v>屏幕信息架构、席位职责、人员数量与调度全部从零复核；不得沿用旧图的岗位标签与站位</x:v>
      </x:c>
      <x:c r="H66" s="38" t="str">
        <x:v>V1.3.1旧映射待V1.3.2正式稿收口：场12；镜083</x:v>
      </x:c>
      <x:c r="I66" s="38" t="str">
        <x:v>xcflow-scene-assets；人员调度另接 xcflow-scene-design</x:v>
      </x:c>
      <x:c r="J66" s="38" t="str">
        <x:v>FP-PD-NATHAN-CROWLEY@v1.1；FP-CIN-ROGER-DEAKINS@v1.1（仅光影校准）；RF／光通信顾问</x:v>
      </x:c>
      <x:c r="K66" s="38" t="str">
        <x:v>席位MASTER和控制台局部</x:v>
      </x:c>
      <x:c r="L66" s="38" t="str">
        <x:v>用户明确要求屏幕、席位职责和人员调度必须重做</x:v>
      </x:c>
    </x:row>
    <x:row r="67">
      <x:c r="A67" s="38" t="str">
        <x:v>BY-SCN-P1-010-北京飞控地质席</x:v>
      </x:c>
      <x:c r="B67" s="38" t="str">
        <x:v>SCN</x:v>
      </x:c>
      <x:c r="C67" s="38" t="str">
        <x:v>北京飞控地质席</x:v>
      </x:c>
      <x:c r="D67" s="42" t="str">
        <x:v>P1</x:v>
      </x:c>
      <x:c r="E67" s="40" t="str">
        <x:v>强制重做</x:v>
      </x:c>
      <x:c r="F67" s="38" t="str">
        <x:v>独立空间／道具资产</x:v>
      </x:c>
      <x:c r="G67" s="38" t="str">
        <x:v>屏幕信息架构、席位职责、人员数量与调度全部从零复核；不得沿用旧图的岗位标签与站位</x:v>
      </x:c>
      <x:c r="H67" s="38" t="str">
        <x:v>V1.3.1旧映射待V1.3.2正式稿收口：场9；镜061</x:v>
      </x:c>
      <x:c r="I67" s="38" t="str">
        <x:v>xcflow-scene-assets；人员调度另接 xcflow-scene-design</x:v>
      </x:c>
      <x:c r="J67" s="38" t="str">
        <x:v>FP-PD-NATHAN-CROWLEY@v1.1；FP-CIN-ROGER-DEAKINS@v1.1（仅光影校准）</x:v>
      </x:c>
      <x:c r="K67" s="38" t="str">
        <x:v>席位MASTER、分屏局部</x:v>
      </x:c>
      <x:c r="L67" s="38" t="str">
        <x:v>用户明确要求屏幕、席位职责和人员调度必须重做</x:v>
      </x:c>
    </x:row>
    <x:row r="68">
      <x:c r="A68" s="38" t="str">
        <x:v>BY-SCN-P1-011-搜救指挥中心</x:v>
      </x:c>
      <x:c r="B68" s="38" t="str">
        <x:v>SCN</x:v>
      </x:c>
      <x:c r="C68" s="38" t="str">
        <x:v>返回器搜救指挥中心</x:v>
      </x:c>
      <x:c r="D68" s="42" t="str">
        <x:v>P1</x:v>
      </x:c>
      <x:c r="E68" s="40" t="str">
        <x:v>强制重做</x:v>
      </x:c>
      <x:c r="F68" s="38" t="str">
        <x:v>独立空间／道具资产</x:v>
      </x:c>
      <x:c r="G68" s="38" t="str">
        <x:v>屏幕信息架构、席位职责、人员数量与调度全部从零复核；不得沿用旧图的岗位标签与站位</x:v>
      </x:c>
      <x:c r="H68" s="38" t="str">
        <x:v>V1.3.1旧映射待V1.3.2正式稿收口：场16；镜110</x:v>
      </x:c>
      <x:c r="I68" s="38" t="str">
        <x:v>xcflow-scene-assets；人员调度另接 xcflow-scene-design</x:v>
      </x:c>
      <x:c r="J68" s="38" t="str">
        <x:v>FP-PD-NATHAN-CROWLEY@v1.1；FP-CIN-ROGER-DEAKINS@v1.1（仅光影校准）；再入回收顾问</x:v>
      </x:c>
      <x:c r="K68" s="38" t="str">
        <x:v>MASTER、主屏／席位局部</x:v>
      </x:c>
      <x:c r="L68" s="38" t="str">
        <x:v>用户明确要求屏幕、席位职责和人员调度必须重做</x:v>
      </x:c>
    </x:row>
    <x:row r="69">
      <x:c r="A69" s="38" t="str">
        <x:v>BY-VEH-P1-004-揽月月面起飞状态</x:v>
      </x:c>
      <x:c r="B69" s="38" t="str">
        <x:v>VEH</x:v>
      </x:c>
      <x:c r="C69" s="38" t="str">
        <x:v>揽月整器月面起飞状态</x:v>
      </x:c>
      <x:c r="D69" s="42" t="str">
        <x:v>P1</x:v>
      </x:c>
      <x:c r="E69" s="40" t="str">
        <x:v>重做</x:v>
      </x:c>
      <x:c r="F69" s="38" t="str">
        <x:v>独立工程构型资产</x:v>
      </x:c>
      <x:c r="G69" s="38" t="str">
        <x:v>按公开任务功能重建完整构型、舱段关系、承力／使用路径与共享制造逻辑；顾问核查后出母图</x:v>
      </x:c>
      <x:c r="H69" s="38" t="str">
        <x:v>V1.3.1旧映射待V1.3.2正式稿收口：场11；镜074,075,078</x:v>
      </x:c>
      <x:c r="I69" s="38" t="str">
        <x:v>xcflow-prop-assets</x:v>
      </x:c>
      <x:c r="J69" s="38" t="str">
        <x:v>FP-PD-NATHAN-CROWLEY@v1.1；航天器构型顾问；月面光照顾问</x:v>
      </x:c>
      <x:c r="K69" s="38" t="str">
        <x:v>由揽月基础资产派生状态</x:v>
      </x:c>
      <x:c r="L69" s="38" t="str">
        <x:v>现图不足以支撑V1.3.2工程连续性</x:v>
      </x:c>
    </x:row>
    <x:row r="70">
      <x:c r="A70" s="38" t="str">
        <x:v>BY-VEH-P1-005-揽月月轨再对接状态</x:v>
      </x:c>
      <x:c r="B70" s="38" t="str">
        <x:v>VEH</x:v>
      </x:c>
      <x:c r="C70" s="38" t="str">
        <x:v>揽月月轨再交会对接状态</x:v>
      </x:c>
      <x:c r="D70" s="42" t="str">
        <x:v>P1</x:v>
      </x:c>
      <x:c r="E70" s="40" t="str">
        <x:v>重做</x:v>
      </x:c>
      <x:c r="F70" s="38" t="str">
        <x:v>独立工程构型资产</x:v>
      </x:c>
      <x:c r="G70" s="38" t="str">
        <x:v>按公开任务功能重建完整构型、舱段关系、承力／使用路径与共享制造逻辑；顾问核查后出母图</x:v>
      </x:c>
      <x:c r="H70" s="38" t="str">
        <x:v>V1.3.1旧映射待V1.3.2正式稿收口：场12；镜084,085,087</x:v>
      </x:c>
      <x:c r="I70" s="38" t="str">
        <x:v>xcflow-prop-assets</x:v>
      </x:c>
      <x:c r="J70" s="38" t="str">
        <x:v>FP-PD-NATHAN-CROWLEY@v1.1；航天器构型顾问</x:v>
      </x:c>
      <x:c r="K70" s="38" t="str">
        <x:v>两器尺度与对接轴线验证</x:v>
      </x:c>
      <x:c r="L70" s="38" t="str">
        <x:v>现图不足以支撑V1.3.2工程连续性</x:v>
      </x:c>
    </x:row>
    <x:row r="71">
      <x:c r="A71" s="38" t="str">
        <x:v>BY-VEH-P1-006-揽月受控处置状态</x:v>
      </x:c>
      <x:c r="B71" s="38" t="str">
        <x:v>VEH</x:v>
      </x:c>
      <x:c r="C71" s="38" t="str">
        <x:v>揽月受控分离处置状态</x:v>
      </x:c>
      <x:c r="D71" s="42" t="str">
        <x:v>P1</x:v>
      </x:c>
      <x:c r="E71" s="40" t="str">
        <x:v>重做</x:v>
      </x:c>
      <x:c r="F71" s="38" t="str">
        <x:v>独立工程构型资产</x:v>
      </x:c>
      <x:c r="G71" s="38" t="str">
        <x:v>按公开任务功能重建完整构型、舱段关系、承力／使用路径与共享制造逻辑；顾问核查后出母图</x:v>
      </x:c>
      <x:c r="H71" s="38" t="str">
        <x:v>V1.3.1旧映射待V1.3.2正式稿收口：场13；镜093,095</x:v>
      </x:c>
      <x:c r="I71" s="38" t="str">
        <x:v>xcflow-prop-assets</x:v>
      </x:c>
      <x:c r="J71" s="38" t="str">
        <x:v>FP-PD-NATHAN-CROWLEY@v1.1；航天器构型顾问</x:v>
      </x:c>
      <x:c r="K71" s="38" t="str">
        <x:v>与处置轨迹VFX联合制作</x:v>
      </x:c>
      <x:c r="L71" s="38" t="str">
        <x:v>现图不足以支撑V1.3.2工程连续性</x:v>
      </x:c>
    </x:row>
    <x:row r="72">
      <x:c r="A72" s="38" t="str">
        <x:v>BY-VEH-P1-007-梦舟服务舱近地分离状态</x:v>
      </x:c>
      <x:c r="B72" s="38" t="str">
        <x:v>VEH</x:v>
      </x:c>
      <x:c r="C72" s="38" t="str">
        <x:v>梦舟服务舱近地分离状态</x:v>
      </x:c>
      <x:c r="D72" s="42" t="str">
        <x:v>P1</x:v>
      </x:c>
      <x:c r="E72" s="40" t="str">
        <x:v>重做</x:v>
      </x:c>
      <x:c r="F72" s="38" t="str">
        <x:v>独立工程构型资产</x:v>
      </x:c>
      <x:c r="G72" s="38" t="str">
        <x:v>按公开任务功能重建完整构型、舱段关系、承力／使用路径与共享制造逻辑；顾问核查后出母图</x:v>
      </x:c>
      <x:c r="H72" s="38" t="str">
        <x:v>V1.3.1旧映射待V1.3.2正式稿收口：场15；镜102</x:v>
      </x:c>
      <x:c r="I72" s="38" t="str">
        <x:v>xcflow-prop-assets</x:v>
      </x:c>
      <x:c r="J72" s="38" t="str">
        <x:v>FP-PD-NATHAN-CROWLEY@v1.1；航天器构型顾问</x:v>
      </x:c>
      <x:c r="K72" s="38" t="str">
        <x:v>外部构型状态验证</x:v>
      </x:c>
      <x:c r="L72" s="38" t="str">
        <x:v>现图不足以支撑V1.3.2工程连续性</x:v>
      </x:c>
    </x:row>
    <x:row r="73">
      <x:c r="A73" s="38" t="str">
        <x:v>BY-VEH-P1-008-搜救直升机与地面车辆</x:v>
      </x:c>
      <x:c r="B73" s="38" t="str">
        <x:v>VEH</x:v>
      </x:c>
      <x:c r="C73" s="38" t="str">
        <x:v>搜救直升机与地面车辆配置</x:v>
      </x:c>
      <x:c r="D73" s="42" t="str">
        <x:v>P1</x:v>
      </x:c>
      <x:c r="E73" s="41" t="str">
        <x:v>修订</x:v>
      </x:c>
      <x:c r="F73" s="38" t="str">
        <x:v>独立工程道具／设备资产</x:v>
      </x:c>
      <x:c r="G73" s="38" t="str">
        <x:v>按真实操作、承力、转移、维护与摄影路径复核后修订</x:v>
      </x:c>
      <x:c r="H73" s="38" t="str">
        <x:v>V1.3.1旧映射待V1.3.2正式稿收口：场16；镜110</x:v>
      </x:c>
      <x:c r="I73" s="38" t="str">
        <x:v>xcflow-prop-assets</x:v>
      </x:c>
      <x:c r="J73" s="38" t="str">
        <x:v>FP-PD-NATHAN-CROWLEY@v1.1；航天器构型顾问；再入回收顾问</x:v>
      </x:c>
      <x:c r="K73" s="38" t="str">
        <x:v>载具配置与尺度验证</x:v>
      </x:c>
      <x:c r="L73" s="38" t="str">
        <x:v>需要与新航天器／舱内／回收设备共享工程逻辑</x:v>
      </x:c>
    </x:row>
    <x:row r="74">
      <x:c r="A74" s="38" t="str">
        <x:v>BY-PRP-P1-007-任务数据盒与随身救生包</x:v>
      </x:c>
      <x:c r="B74" s="38" t="str">
        <x:v>PRP</x:v>
      </x:c>
      <x:c r="C74" s="38" t="str">
        <x:v>任务数据盒与随身救生包</x:v>
      </x:c>
      <x:c r="D74" s="42" t="str">
        <x:v>P1</x:v>
      </x:c>
      <x:c r="E74" s="41" t="str">
        <x:v>修订</x:v>
      </x:c>
      <x:c r="F74" s="38" t="str">
        <x:v>独立工程道具／设备资产</x:v>
      </x:c>
      <x:c r="G74" s="38" t="str">
        <x:v>按真实操作、承力、转移、维护与摄影路径复核后修订</x:v>
      </x:c>
      <x:c r="H74" s="38" t="str">
        <x:v>V1.3.1旧映射待V1.3.2正式稿收口：场3；镜014</x:v>
      </x:c>
      <x:c r="I74" s="38" t="str">
        <x:v>xcflow-prop-assets</x:v>
      </x:c>
      <x:c r="J74" s="38" t="str">
        <x:v>FP-PD-NATHAN-CROWLEY@v1.1</x:v>
      </x:c>
      <x:c r="K74" s="38" t="str">
        <x:v>道具结构与手套尺度验证</x:v>
      </x:c>
      <x:c r="L74" s="38" t="str">
        <x:v>需要与新航天器／舱内／回收设备共享工程逻辑</x:v>
      </x:c>
    </x:row>
    <x:row r="75">
      <x:c r="A75" s="38" t="str">
        <x:v>BY-PRP-P1-008-主样品容器编号与固定座</x:v>
      </x:c>
      <x:c r="B75" s="38" t="str">
        <x:v>PRP</x:v>
      </x:c>
      <x:c r="C75" s="38" t="str">
        <x:v>主样品容器编号、封签与固定座</x:v>
      </x:c>
      <x:c r="D75" s="42" t="str">
        <x:v>P1</x:v>
      </x:c>
      <x:c r="E75" s="39" t="str">
        <x:v>保留候选</x:v>
      </x:c>
      <x:c r="F75" s="38" t="str">
        <x:v>独立资产</x:v>
      </x:c>
      <x:c r="G75" s="38" t="str">
        <x:v>保留为V1.3.2候选；按新构型、屏幕、光照与顾问结论做继承检查</x:v>
      </x:c>
      <x:c r="H75" s="38" t="str">
        <x:v>V1.3.1旧映射待V1.3.2正式稿收口：场10,11,13,14,16；镜068,071,076,089,101,113</x:v>
      </x:c>
      <x:c r="I75" s="38" t="str">
        <x:v>xcflow-prop-assets</x:v>
      </x:c>
      <x:c r="J75" s="38" t="str">
        <x:v>FP-PD-NATHAN-CROWLEY@v1.1</x:v>
      </x:c>
      <x:c r="K75" s="38" t="str">
        <x:v>与BY-PRP-P0-005形成容器系统</x:v>
      </x:c>
      <x:c r="L75" s="38" t="str">
        <x:v>未触发强制退出或重做规则</x:v>
      </x:c>
    </x:row>
    <x:row r="76">
      <x:c r="A76" s="38" t="str">
        <x:v>BY-PRP-P1-009-污染控制用品</x:v>
      </x:c>
      <x:c r="B76" s="38" t="str">
        <x:v>PRP</x:v>
      </x:c>
      <x:c r="C76" s="38" t="str">
        <x:v>月尘污染控制用品</x:v>
      </x:c>
      <x:c r="D76" s="42" t="str">
        <x:v>P1</x:v>
      </x:c>
      <x:c r="E76" s="39" t="str">
        <x:v>保留候选</x:v>
      </x:c>
      <x:c r="F76" s="38" t="str">
        <x:v>独立资产</x:v>
      </x:c>
      <x:c r="G76" s="38" t="str">
        <x:v>保留为V1.3.2候选；按新构型、屏幕、光照与顾问结论做继承检查</x:v>
      </x:c>
      <x:c r="H76" s="38" t="str">
        <x:v>V1.3.1旧映射待V1.3.2正式稿收口：场10；镜071</x:v>
      </x:c>
      <x:c r="I76" s="38" t="str">
        <x:v>xcflow-prop-assets</x:v>
      </x:c>
      <x:c r="J76" s="38" t="str">
        <x:v>FP-PD-NATHAN-CROWLEY@v1.1</x:v>
      </x:c>
      <x:c r="K76" s="38" t="str">
        <x:v>道具组轻量结构验证</x:v>
      </x:c>
      <x:c r="L76" s="38" t="str">
        <x:v>未触发强制退出或重做规则</x:v>
      </x:c>
    </x:row>
    <x:row r="77">
      <x:c r="A77" s="38" t="str">
        <x:v>BY-PRP-P1-010-返回舱样品柜与锁止</x:v>
      </x:c>
      <x:c r="B77" s="38" t="str">
        <x:v>PRP</x:v>
      </x:c>
      <x:c r="C77" s="38" t="str">
        <x:v>梦舟返回舱样品柜与锁止</x:v>
      </x:c>
      <x:c r="D77" s="42" t="str">
        <x:v>P1</x:v>
      </x:c>
      <x:c r="E77" s="41" t="str">
        <x:v>修订</x:v>
      </x:c>
      <x:c r="F77" s="38" t="str">
        <x:v>独立工程道具／设备资产</x:v>
      </x:c>
      <x:c r="G77" s="38" t="str">
        <x:v>按真实操作、承力、转移、维护与摄影路径复核后修订</x:v>
      </x:c>
      <x:c r="H77" s="38" t="str">
        <x:v>V1.3.1旧映射待V1.3.2正式稿收口：场14；镜101</x:v>
      </x:c>
      <x:c r="I77" s="38" t="str">
        <x:v>xcflow-prop-assets</x:v>
      </x:c>
      <x:c r="J77" s="38" t="str">
        <x:v>FP-PD-NATHAN-CROWLEY@v1.1；再入回收顾问</x:v>
      </x:c>
      <x:c r="K77" s="38" t="str">
        <x:v>与梦舟返航构型联合验证</x:v>
      </x:c>
      <x:c r="L77" s="38" t="str">
        <x:v>需要与新航天器／舱内／回收设备共享工程逻辑</x:v>
      </x:c>
    </x:row>
    <x:row r="78">
      <x:c r="A78" s="38" t="str">
        <x:v>BY-PRP-P1-011-返回舱信标与现场安全工具</x:v>
      </x:c>
      <x:c r="B78" s="38" t="str">
        <x:v>PRP</x:v>
      </x:c>
      <x:c r="C78" s="38" t="str">
        <x:v>返回舱信标与现场安全处置工具</x:v>
      </x:c>
      <x:c r="D78" s="42" t="str">
        <x:v>P1</x:v>
      </x:c>
      <x:c r="E78" s="41" t="str">
        <x:v>修订</x:v>
      </x:c>
      <x:c r="F78" s="38" t="str">
        <x:v>独立工程道具／设备资产</x:v>
      </x:c>
      <x:c r="G78" s="38" t="str">
        <x:v>按真实操作、承力、转移、维护与摄影路径复核后修订</x:v>
      </x:c>
      <x:c r="H78" s="38" t="str">
        <x:v>V1.3.1旧映射待V1.3.2正式稿收口：场16；镜111</x:v>
      </x:c>
      <x:c r="I78" s="38" t="str">
        <x:v>xcflow-prop-assets</x:v>
      </x:c>
      <x:c r="J78" s="38" t="str">
        <x:v>FP-PD-NATHAN-CROWLEY@v1.1；再入回收顾问</x:v>
      </x:c>
      <x:c r="K78" s="38" t="str">
        <x:v>搜救场景道具组</x:v>
      </x:c>
      <x:c r="L78" s="38" t="str">
        <x:v>需要与新航天器／舱内／回收设备共享工程逻辑</x:v>
      </x:c>
    </x:row>
    <x:row r="79">
      <x:c r="A79" s="38" t="str">
        <x:v>BY-SYM-P1-004-任务轨迹与相位图模板</x:v>
      </x:c>
      <x:c r="B79" s="38" t="str">
        <x:v>SYM</x:v>
      </x:c>
      <x:c r="C79" s="38" t="str">
        <x:v>任务轨迹、相位与走廊图后期模板</x:v>
      </x:c>
      <x:c r="D79" s="42" t="str">
        <x:v>P1</x:v>
      </x:c>
      <x:c r="E79" s="40" t="str">
        <x:v>重做</x:v>
      </x:c>
      <x:c r="F79" s="38" t="str">
        <x:v>独立后期图形资产</x:v>
      </x:c>
      <x:c r="G79" s="38" t="str">
        <x:v>按V1.3.2日期、任务阶段、RF／光通信分工及新席位体系重建；不得继承旧屏内容</x:v>
      </x:c>
      <x:c r="H79" s="38" t="str">
        <x:v>V1.3.1旧映射待V1.3.2正式稿收口：场1,2,3,4,5,6,7,8,9,10,14,16；镜003,004,006,007,012,018,019,022,023,026,028,029,034,042,046,053,065,070,099,113</x:v>
      </x:c>
      <x:c r="I79" s="38" t="str">
        <x:v>xcflow-prop-assets／后期图形</x:v>
      </x:c>
      <x:c r="J79" s="38" t="str"/>
      <x:c r="K79" s="38" t="str">
        <x:v>跨场复用后期模板</x:v>
      </x:c>
      <x:c r="L79" s="38" t="str">
        <x:v>屏幕体系强制重做</x:v>
      </x:c>
    </x:row>
    <x:row r="80">
      <x:c r="A80" s="38" t="str">
        <x:v>BY-SYM-P1-005-样品编号与封签模板</x:v>
      </x:c>
      <x:c r="B80" s="38" t="str">
        <x:v>SYM</x:v>
      </x:c>
      <x:c r="C80" s="38" t="str">
        <x:v>样品编号、封签与接收状态模板</x:v>
      </x:c>
      <x:c r="D80" s="42" t="str">
        <x:v>P1</x:v>
      </x:c>
      <x:c r="E80" s="39" t="str">
        <x:v>保留候选</x:v>
      </x:c>
      <x:c r="F80" s="38" t="str">
        <x:v>独立资产</x:v>
      </x:c>
      <x:c r="G80" s="38" t="str">
        <x:v>保留为V1.3.2候选；按新构型、屏幕、光照与顾问结论做继承检查</x:v>
      </x:c>
      <x:c r="H80" s="38" t="str">
        <x:v>V1.3.1旧映射待V1.3.2正式稿收口：场7,9；镜045,059,062</x:v>
      </x:c>
      <x:c r="I80" s="38" t="str">
        <x:v>xcflow-prop-assets／后期图形</x:v>
      </x:c>
      <x:c r="J80" s="38" t="str"/>
      <x:c r="K80" s="38" t="str">
        <x:v>与样品道具同步设计</x:v>
      </x:c>
      <x:c r="L80" s="38" t="str">
        <x:v>未触发强制退出或重做规则</x:v>
      </x:c>
    </x:row>
    <x:row r="81">
      <x:c r="A81" s="38" t="str">
        <x:v>BY-CRO-P1-002-深空测控值班团队</x:v>
      </x:c>
      <x:c r="B81" s="38" t="str">
        <x:v>CRO</x:v>
      </x:c>
      <x:c r="C81" s="38" t="str">
        <x:v>深空测控值班团队</x:v>
      </x:c>
      <x:c r="D81" s="42" t="str">
        <x:v>P1</x:v>
      </x:c>
      <x:c r="E81" s="40" t="str">
        <x:v>强制重做</x:v>
      </x:c>
      <x:c r="F81" s="38" t="str">
        <x:v>独立团队／群组资产</x:v>
      </x:c>
      <x:c r="G81" s="38" t="str">
        <x:v>屏幕信息架构、席位职责、人员数量与调度全部从零复核；不得沿用旧图的岗位标签与站位</x:v>
      </x:c>
      <x:c r="H81" s="38" t="str">
        <x:v>V1.3.1旧映射待V1.3.2正式稿收口：场1,4,5,8,11；镜003,022,035,053,077</x:v>
      </x:c>
      <x:c r="I81" s="38" t="str">
        <x:v>xcflow-scene-assets；人员调度另接 xcflow-scene-design</x:v>
      </x:c>
      <x:c r="J81" s="38" t="str">
        <x:v>FP-PD-NATHAN-CROWLEY@v1.1；RF／光通信顾问</x:v>
      </x:c>
      <x:c r="K81" s="38" t="str">
        <x:v>与测控场景配套</x:v>
      </x:c>
      <x:c r="L81" s="38" t="str">
        <x:v>用户明确要求屏幕、席位职责和人员调度必须重做</x:v>
      </x:c>
    </x:row>
    <x:row r="82">
      <x:c r="A82" s="38" t="str">
        <x:v>BY-CRO-P1-003-搜救与医疗团队</x:v>
      </x:c>
      <x:c r="B82" s="38" t="str">
        <x:v>CRO</x:v>
      </x:c>
      <x:c r="C82" s="38" t="str">
        <x:v>搜救、安全处置与医疗团队</x:v>
      </x:c>
      <x:c r="D82" s="42" t="str">
        <x:v>P1</x:v>
      </x:c>
      <x:c r="E82" s="40" t="str">
        <x:v>强制重做</x:v>
      </x:c>
      <x:c r="F82" s="38" t="str">
        <x:v>独立团队／群组资产</x:v>
      </x:c>
      <x:c r="G82" s="38" t="str">
        <x:v>屏幕信息架构、席位职责、人员数量与调度全部从零复核；不得沿用旧图的岗位标签与站位</x:v>
      </x:c>
      <x:c r="H82" s="38" t="str">
        <x:v>V1.3.1旧映射待V1.3.2正式稿收口：场16；镜110,111,112,113,114</x:v>
      </x:c>
      <x:c r="I82" s="38" t="str">
        <x:v>xcflow-scene-assets；人员调度另接 xcflow-scene-design</x:v>
      </x:c>
      <x:c r="J82" s="38" t="str">
        <x:v>FP-PD-NATHAN-CROWLEY@v1.1；再入回收顾问</x:v>
      </x:c>
      <x:c r="K82" s="38" t="str">
        <x:v>与搜救场景和载具配套</x:v>
      </x:c>
      <x:c r="L82" s="38" t="str">
        <x:v>用户明确要求屏幕、席位职责和人员调度必须重做</x:v>
      </x:c>
    </x:row>
    <x:row r="83">
      <x:c r="A83" s="38" t="str">
        <x:v>BY-VOI-P1-005-林海深空测控声音</x:v>
      </x:c>
      <x:c r="B83" s="38" t="str">
        <x:v>VOI</x:v>
      </x:c>
      <x:c r="C83" s="38" t="str">
        <x:v>林海深空测控稳定音色</x:v>
      </x:c>
      <x:c r="D83" s="42" t="str">
        <x:v>P1</x:v>
      </x:c>
      <x:c r="E83" s="39" t="str">
        <x:v>保留</x:v>
      </x:c>
      <x:c r="F83" s="38" t="str">
        <x:v>独立稳定音色资产</x:v>
      </x:c>
      <x:c r="G83" s="38" t="str">
        <x:v>角色音色独立确认登记；具体对白与通信质感仍随视频同步生成</x:v>
      </x:c>
      <x:c r="H83" s="38" t="str">
        <x:v>V1.3.1旧映射待V1.3.2正式稿收口：场1,5,8,11,14；镜003,028,035,053,077,097</x:v>
      </x:c>
      <x:c r="I83" s="38" t="str">
        <x:v>xcflow-voice-assets</x:v>
      </x:c>
      <x:c r="J83" s="38" t="str">
        <x:v>RF／光通信顾问</x:v>
      </x:c>
      <x:c r="K83" s="38" t="str">
        <x:v>独立音色验证</x:v>
      </x:c>
      <x:c r="L83" s="38" t="str">
        <x:v>跨镜头身份稳定需要</x:v>
      </x:c>
    </x:row>
    <x:row r="84">
      <x:c r="A84" s="38" t="str">
        <x:v>BY-VOI-P1-006-叶河深空测控声音</x:v>
      </x:c>
      <x:c r="B84" s="38" t="str">
        <x:v>VOI</x:v>
      </x:c>
      <x:c r="C84" s="38" t="str">
        <x:v>叶河深空测控稳定音色</x:v>
      </x:c>
      <x:c r="D84" s="42" t="str">
        <x:v>P1</x:v>
      </x:c>
      <x:c r="E84" s="39" t="str">
        <x:v>保留</x:v>
      </x:c>
      <x:c r="F84" s="38" t="str">
        <x:v>独立稳定音色资产</x:v>
      </x:c>
      <x:c r="G84" s="38" t="str">
        <x:v>角色音色独立确认登记；具体对白与通信质感仍随视频同步生成</x:v>
      </x:c>
      <x:c r="H84" s="38" t="str">
        <x:v>V1.3.1旧映射待V1.3.2正式稿收口：场4,5,11；镜022,035,077</x:v>
      </x:c>
      <x:c r="I84" s="38" t="str">
        <x:v>xcflow-voice-assets</x:v>
      </x:c>
      <x:c r="J84" s="38" t="str">
        <x:v>RF／光通信顾问</x:v>
      </x:c>
      <x:c r="K84" s="38" t="str">
        <x:v>独立音色验证</x:v>
      </x:c>
      <x:c r="L84" s="38" t="str">
        <x:v>跨镜头身份稳定需要</x:v>
      </x:c>
    </x:row>
    <x:row r="85">
      <x:c r="A85" s="38" t="str">
        <x:v>BY-VOI-P1-007-天衡测轨声音</x:v>
      </x:c>
      <x:c r="B85" s="38" t="str">
        <x:v>VOI</x:v>
      </x:c>
      <x:c r="C85" s="38" t="str">
        <x:v>天衡VLBI测轨稳定音色</x:v>
      </x:c>
      <x:c r="D85" s="42" t="str">
        <x:v>P1</x:v>
      </x:c>
      <x:c r="E85" s="39" t="str">
        <x:v>保留</x:v>
      </x:c>
      <x:c r="F85" s="38" t="str">
        <x:v>独立稳定音色资产</x:v>
      </x:c>
      <x:c r="G85" s="38" t="str">
        <x:v>角色音色独立确认登记；具体对白与通信质感仍随视频同步生成</x:v>
      </x:c>
      <x:c r="H85" s="38" t="str">
        <x:v>V1.3.1旧映射待V1.3.2正式稿收口：场4,5,10,12,14；镜022,035,072,083,099</x:v>
      </x:c>
      <x:c r="I85" s="38" t="str">
        <x:v>xcflow-voice-assets</x:v>
      </x:c>
      <x:c r="J85" s="38" t="str"/>
      <x:c r="K85" s="38" t="str">
        <x:v>独立音色验证</x:v>
      </x:c>
      <x:c r="L85" s="38" t="str">
        <x:v>跨镜头身份稳定需要</x:v>
      </x:c>
    </x:row>
    <x:row r="86">
      <x:c r="A86" s="38" t="str">
        <x:v>BY-VOI-P1-008-搜救指挥声音</x:v>
      </x:c>
      <x:c r="B86" s="38" t="str">
        <x:v>VOI</x:v>
      </x:c>
      <x:c r="C86" s="38" t="str">
        <x:v>东风着陆场调度／搜救指挥稳定音色</x:v>
      </x:c>
      <x:c r="D86" s="42" t="str">
        <x:v>P1</x:v>
      </x:c>
      <x:c r="E86" s="39" t="str">
        <x:v>保留</x:v>
      </x:c>
      <x:c r="F86" s="38" t="str">
        <x:v>独立稳定音色资产</x:v>
      </x:c>
      <x:c r="G86" s="38" t="str">
        <x:v>角色音色独立确认登记；具体对白与通信质感仍随视频同步生成</x:v>
      </x:c>
      <x:c r="H86" s="38" t="str">
        <x:v>V1.3.1旧映射待V1.3.2正式稿收口：第13—15场</x:v>
      </x:c>
      <x:c r="I86" s="38" t="str">
        <x:v>xcflow-voice-assets</x:v>
      </x:c>
      <x:c r="J86" s="38" t="str">
        <x:v>再入回收顾问</x:v>
      </x:c>
      <x:c r="K86" s="38" t="str">
        <x:v>独立音色资产；正式镜头中的通话随视频同步生成。</x:v>
      </x:c>
      <x:c r="L86" s="38" t="str">
        <x:v>跨镜头身份稳定需要</x:v>
      </x:c>
    </x:row>
    <x:row r="87">
      <x:c r="A87" s="38" t="str">
        <x:v>BY-VOI-P1-009-小天任务智能体声音</x:v>
      </x:c>
      <x:c r="B87" s="38" t="str">
        <x:v>VOI</x:v>
      </x:c>
      <x:c r="C87" s="38" t="str">
        <x:v>小天任务智能体稳定音色</x:v>
      </x:c>
      <x:c r="D87" s="42" t="str">
        <x:v>P1</x:v>
      </x:c>
      <x:c r="E87" s="39" t="str">
        <x:v>保留</x:v>
      </x:c>
      <x:c r="F87" s="38" t="str">
        <x:v>独立稳定音色资产</x:v>
      </x:c>
      <x:c r="G87" s="38" t="str">
        <x:v>角色音色独立确认登记；具体对白与通信质感仍随视频同步生成</x:v>
      </x:c>
      <x:c r="H87" s="38" t="str">
        <x:v>V1.3.1旧映射待V1.3.2正式稿收口：场1,2,3,5,7,10,11,12,13,15；镜004,007,018,030,032,034,046,070,076,085,094,103</x:v>
      </x:c>
      <x:c r="I87" s="38" t="str">
        <x:v>xcflow-voice-assets</x:v>
      </x:c>
      <x:c r="J87" s="38" t="str"/>
      <x:c r="K87" s="38" t="str">
        <x:v>独立音色验证</x:v>
      </x:c>
      <x:c r="L87" s="38" t="str">
        <x:v>跨镜头身份稳定需要</x:v>
      </x:c>
    </x:row>
    <x:row r="88">
      <x:c r="A88" s="38" t="str">
        <x:v>BY-VOI-P1-010-北京地质席声音</x:v>
      </x:c>
      <x:c r="B88" s="38" t="str">
        <x:v>VOI</x:v>
      </x:c>
      <x:c r="C88" s="38" t="str">
        <x:v>北京地质席稳定音色</x:v>
      </x:c>
      <x:c r="D88" s="42" t="str">
        <x:v>P1</x:v>
      </x:c>
      <x:c r="E88" s="39" t="str">
        <x:v>保留</x:v>
      </x:c>
      <x:c r="F88" s="38" t="str">
        <x:v>独立稳定音色资产</x:v>
      </x:c>
      <x:c r="G88" s="38" t="str">
        <x:v>角色音色独立确认登记；具体对白与通信质感仍随视频同步生成</x:v>
      </x:c>
      <x:c r="H88" s="38" t="str">
        <x:v>V1.3.1旧映射待V1.3.2正式稿收口：场9；镜061</x:v>
      </x:c>
      <x:c r="I88" s="38" t="str">
        <x:v>xcflow-voice-assets</x:v>
      </x:c>
      <x:c r="J88" s="38" t="str"/>
      <x:c r="K88" s="38" t="str">
        <x:v>独立音色验证</x:v>
      </x:c>
      <x:c r="L88" s="38" t="str">
        <x:v>跨镜头身份稳定需要</x:v>
      </x:c>
    </x:row>
    <x:row r="89">
      <x:c r="A89" s="38" t="str">
        <x:v>BY-VOI-P1-011-现场指挥声音</x:v>
      </x:c>
      <x:c r="B89" s="38" t="str">
        <x:v>VOI</x:v>
      </x:c>
      <x:c r="C89" s="38" t="str">
        <x:v>回收现场指挥稳定音色</x:v>
      </x:c>
      <x:c r="D89" s="42" t="str">
        <x:v>P1</x:v>
      </x:c>
      <x:c r="E89" s="39" t="str">
        <x:v>保留</x:v>
      </x:c>
      <x:c r="F89" s="38" t="str">
        <x:v>独立稳定音色资产</x:v>
      </x:c>
      <x:c r="G89" s="38" t="str">
        <x:v>角色音色独立确认登记；具体对白与通信质感仍随视频同步生成</x:v>
      </x:c>
      <x:c r="H89" s="38" t="str">
        <x:v>V1.3.1旧映射待V1.3.2正式稿收口：场16；镜111</x:v>
      </x:c>
      <x:c r="I89" s="38" t="str">
        <x:v>xcflow-voice-assets</x:v>
      </x:c>
      <x:c r="J89" s="38" t="str"/>
      <x:c r="K89" s="38" t="str">
        <x:v>独立音色验证</x:v>
      </x:c>
      <x:c r="L89" s="38" t="str">
        <x:v>跨镜头身份稳定需要</x:v>
      </x:c>
    </x:row>
    <x:row r="90">
      <x:c r="A90" s="38" t="str">
        <x:v>BY-CHR-P1-004-何文澜</x:v>
      </x:c>
      <x:c r="B90" s="38" t="str">
        <x:v>CHR</x:v>
      </x:c>
      <x:c r="C90" s="38" t="str">
        <x:v>何文澜</x:v>
      </x:c>
      <x:c r="D90" s="42" t="str">
        <x:v>P1</x:v>
      </x:c>
      <x:c r="E90" s="39" t="str">
        <x:v>保留候选</x:v>
      </x:c>
      <x:c r="F90" s="38" t="str">
        <x:v>独立人物资产</x:v>
      </x:c>
      <x:c r="G90" s="38" t="str">
        <x:v>保留现有人脸图为候选身份母图；仍需一次最终身份母图确认</x:v>
      </x:c>
      <x:c r="H90" s="38" t="str">
        <x:v>V1.3.1旧映射待V1.3.2正式稿收口：第3、7、11、15场</x:v>
      </x:c>
      <x:c r="I90" s="38" t="str">
        <x:v>xcflow-character-assets</x:v>
      </x:c>
      <x:c r="J90" s="38" t="str"/>
      <x:c r="K90" s="38" t="str">
        <x:v>建立正面、三分之四与双人采访构图</x:v>
      </x:c>
      <x:c r="L90" s="38" t="str">
        <x:v>用户明确保留候选</x:v>
      </x:c>
    </x:row>
    <x:row r="91">
      <x:c r="A91" s="38" t="str">
        <x:v>BY-CHR-P1-005-孙亦川</x:v>
      </x:c>
      <x:c r="B91" s="38" t="str">
        <x:v>CHR</x:v>
      </x:c>
      <x:c r="C91" s="38" t="str">
        <x:v>孙亦川</x:v>
      </x:c>
      <x:c r="D91" s="42" t="str">
        <x:v>P1</x:v>
      </x:c>
      <x:c r="E91" s="39" t="str">
        <x:v>保留候选</x:v>
      </x:c>
      <x:c r="F91" s="38" t="str">
        <x:v>独立人物资产</x:v>
      </x:c>
      <x:c r="G91" s="38" t="str">
        <x:v>保留现有人脸图为候选身份母图；仍需一次最终身份母图确认</x:v>
      </x:c>
      <x:c r="H91" s="38" t="str">
        <x:v>V1.3.1旧映射待V1.3.2正式稿收口：第6、12—14场</x:v>
      </x:c>
      <x:c r="I91" s="38" t="str">
        <x:v>xcflow-character-assets</x:v>
      </x:c>
      <x:c r="J91" s="38" t="str"/>
      <x:c r="K91" s="38" t="str">
        <x:v>与历史停用角色“孙屹川”严格区分，不复用旧脸与旧音色</x:v>
      </x:c>
      <x:c r="L91" s="38" t="str">
        <x:v>用户明确保留候选</x:v>
      </x:c>
    </x:row>
    <x:row r="92">
      <x:c r="A92" s="38" t="str">
        <x:v>BY-CHR-P1-006-顾青岚</x:v>
      </x:c>
      <x:c r="B92" s="38" t="str">
        <x:v>CHR</x:v>
      </x:c>
      <x:c r="C92" s="38" t="str">
        <x:v>顾青岚</x:v>
      </x:c>
      <x:c r="D92" s="42" t="str">
        <x:v>P1</x:v>
      </x:c>
      <x:c r="E92" s="39" t="str">
        <x:v>保留候选</x:v>
      </x:c>
      <x:c r="F92" s="38" t="str">
        <x:v>独立人物资产</x:v>
      </x:c>
      <x:c r="G92" s="38" t="str">
        <x:v>保留现有人脸图为候选身份母图；仍需一次最终身份母图确认</x:v>
      </x:c>
      <x:c r="H92" s="38" t="str">
        <x:v>V1.3.1旧映射待V1.3.2正式稿收口：第9—10场</x:v>
      </x:c>
      <x:c r="I92" s="38" t="str">
        <x:v>xcflow-character-assets</x:v>
      </x:c>
      <x:c r="J92" s="38" t="str"/>
      <x:c r="K92" s="38" t="str">
        <x:v>建立与地质图双人采访和指图动作</x:v>
      </x:c>
      <x:c r="L92" s="38" t="str">
        <x:v>用户明确保留候选</x:v>
      </x:c>
    </x:row>
    <x:row r="93">
      <x:c r="A93" s="38" t="str">
        <x:v>BY-CST-P1-006-何文澜专家服装</x:v>
      </x:c>
      <x:c r="B93" s="38" t="str">
        <x:v>CST</x:v>
      </x:c>
      <x:c r="C93" s="38" t="str">
        <x:v>何文澜专家服装</x:v>
      </x:c>
      <x:c r="D93" s="42" t="str">
        <x:v>P1</x:v>
      </x:c>
      <x:c r="E93" s="39" t="str">
        <x:v>保留候选</x:v>
      </x:c>
      <x:c r="F93" s="38" t="str">
        <x:v>独立服装资产</x:v>
      </x:c>
      <x:c r="G93" s="38" t="str">
        <x:v>保留现有服装方向候选，待身份母图与航天器接口确认后锁定</x:v>
      </x:c>
      <x:c r="H93" s="38" t="str">
        <x:v>V1.3.1旧映射待V1.3.2正式稿收口：第3、7、15场</x:v>
      </x:c>
      <x:c r="I93" s="38" t="str">
        <x:v>xcflow-character-assets</x:v>
      </x:c>
      <x:c r="J93" s="38" t="str"/>
      <x:c r="K93" s="38" t="str">
        <x:v>与何文澜人物资产绑定</x:v>
      </x:c>
      <x:c r="L93" s="38" t="str">
        <x:v>人物／接口尚未全部闭合</x:v>
      </x:c>
    </x:row>
    <x:row r="94">
      <x:c r="A94" s="38" t="str">
        <x:v>BY-CST-P1-007-孙亦川专家服装</x:v>
      </x:c>
      <x:c r="B94" s="38" t="str">
        <x:v>CST</x:v>
      </x:c>
      <x:c r="C94" s="38" t="str">
        <x:v>孙亦川专家服装</x:v>
      </x:c>
      <x:c r="D94" s="42" t="str">
        <x:v>P1</x:v>
      </x:c>
      <x:c r="E94" s="39" t="str">
        <x:v>保留候选</x:v>
      </x:c>
      <x:c r="F94" s="38" t="str">
        <x:v>独立服装资产</x:v>
      </x:c>
      <x:c r="G94" s="38" t="str">
        <x:v>保留现有服装方向候选，待身份母图与航天器接口确认后锁定</x:v>
      </x:c>
      <x:c r="H94" s="38" t="str">
        <x:v>V1.3.1旧映射待V1.3.2正式稿收口：第6、12—13场</x:v>
      </x:c>
      <x:c r="I94" s="38" t="str">
        <x:v>xcflow-character-assets</x:v>
      </x:c>
      <x:c r="J94" s="38" t="str"/>
      <x:c r="K94" s="38" t="str">
        <x:v>与孙亦川人物资产绑定</x:v>
      </x:c>
      <x:c r="L94" s="38" t="str">
        <x:v>人物／接口尚未全部闭合</x:v>
      </x:c>
    </x:row>
    <x:row r="95">
      <x:c r="A95" s="38" t="str">
        <x:v>BY-CST-P1-008-顾青岚专家服装</x:v>
      </x:c>
      <x:c r="B95" s="38" t="str">
        <x:v>CST</x:v>
      </x:c>
      <x:c r="C95" s="38" t="str">
        <x:v>顾青岚专家服装</x:v>
      </x:c>
      <x:c r="D95" s="42" t="str">
        <x:v>P1</x:v>
      </x:c>
      <x:c r="E95" s="39" t="str">
        <x:v>保留候选</x:v>
      </x:c>
      <x:c r="F95" s="38" t="str">
        <x:v>独立服装资产</x:v>
      </x:c>
      <x:c r="G95" s="38" t="str">
        <x:v>保留现有服装方向候选，待身份母图与航天器接口确认后锁定</x:v>
      </x:c>
      <x:c r="H95" s="38" t="str">
        <x:v>V1.3.1旧映射待V1.3.2正式稿收口：第9场</x:v>
      </x:c>
      <x:c r="I95" s="38" t="str">
        <x:v>xcflow-character-assets</x:v>
      </x:c>
      <x:c r="J95" s="38" t="str"/>
      <x:c r="K95" s="38" t="str">
        <x:v>与顾青岚人物资产绑定</x:v>
      </x:c>
      <x:c r="L95" s="38" t="str">
        <x:v>人物／接口尚未全部闭合</x:v>
      </x:c>
    </x:row>
    <x:row r="96">
      <x:c r="A96" s="38" t="str">
        <x:v>BY-VOI-P1-012-何文澜声音</x:v>
      </x:c>
      <x:c r="B96" s="38" t="str">
        <x:v>VOI</x:v>
      </x:c>
      <x:c r="C96" s="38" t="str">
        <x:v>何文澜稳定音色</x:v>
      </x:c>
      <x:c r="D96" s="42" t="str">
        <x:v>P1</x:v>
      </x:c>
      <x:c r="E96" s="39" t="str">
        <x:v>保留</x:v>
      </x:c>
      <x:c r="F96" s="38" t="str">
        <x:v>独立稳定音色资产</x:v>
      </x:c>
      <x:c r="G96" s="38" t="str">
        <x:v>角色音色独立确认登记；具体对白与通信质感仍随视频同步生成</x:v>
      </x:c>
      <x:c r="H96" s="38" t="str">
        <x:v>V1.3.1旧映射待V1.3.2正式稿收口：第3、7、11、15场</x:v>
      </x:c>
      <x:c r="I96" s="38" t="str">
        <x:v>xcflow-voice-assets</x:v>
      </x:c>
      <x:c r="J96" s="38" t="str"/>
      <x:c r="K96" s="38" t="str">
        <x:v>独立制作、确认和登记；正式镜头对白同步生成</x:v>
      </x:c>
      <x:c r="L96" s="38" t="str">
        <x:v>跨镜头身份稳定需要</x:v>
      </x:c>
    </x:row>
    <x:row r="97">
      <x:c r="A97" s="38" t="str">
        <x:v>BY-VOI-P1-013-孙亦川声音</x:v>
      </x:c>
      <x:c r="B97" s="38" t="str">
        <x:v>VOI</x:v>
      </x:c>
      <x:c r="C97" s="38" t="str">
        <x:v>孙亦川稳定音色</x:v>
      </x:c>
      <x:c r="D97" s="42" t="str">
        <x:v>P1</x:v>
      </x:c>
      <x:c r="E97" s="39" t="str">
        <x:v>保留</x:v>
      </x:c>
      <x:c r="F97" s="38" t="str">
        <x:v>独立稳定音色资产</x:v>
      </x:c>
      <x:c r="G97" s="38" t="str">
        <x:v>角色音色独立确认登记；具体对白与通信质感仍随视频同步生成</x:v>
      </x:c>
      <x:c r="H97" s="38" t="str">
        <x:v>V1.3.1旧映射待V1.3.2正式稿收口：第6、12—14场</x:v>
      </x:c>
      <x:c r="I97" s="38" t="str">
        <x:v>xcflow-voice-assets</x:v>
      </x:c>
      <x:c r="J97" s="38" t="str"/>
      <x:c r="K97" s="38" t="str">
        <x:v>独立制作、确认和登记；正式镜头对白同步生成</x:v>
      </x:c>
      <x:c r="L97" s="38" t="str">
        <x:v>跨镜头身份稳定需要</x:v>
      </x:c>
    </x:row>
    <x:row r="98">
      <x:c r="A98" s="38" t="str">
        <x:v>BY-VOI-P1-014-顾青岚声音</x:v>
      </x:c>
      <x:c r="B98" s="38" t="str">
        <x:v>VOI</x:v>
      </x:c>
      <x:c r="C98" s="38" t="str">
        <x:v>顾青岚稳定音色</x:v>
      </x:c>
      <x:c r="D98" s="42" t="str">
        <x:v>P1</x:v>
      </x:c>
      <x:c r="E98" s="39" t="str">
        <x:v>保留</x:v>
      </x:c>
      <x:c r="F98" s="38" t="str">
        <x:v>独立稳定音色资产</x:v>
      </x:c>
      <x:c r="G98" s="38" t="str">
        <x:v>角色音色独立确认登记；具体对白与通信质感仍随视频同步生成</x:v>
      </x:c>
      <x:c r="H98" s="38" t="str">
        <x:v>V1.3.1旧映射待V1.3.2正式稿收口：第9—10场</x:v>
      </x:c>
      <x:c r="I98" s="38" t="str">
        <x:v>xcflow-voice-assets</x:v>
      </x:c>
      <x:c r="J98" s="38" t="str"/>
      <x:c r="K98" s="38" t="str">
        <x:v>独立制作、确认和登记；正式镜头对白同步生成</x:v>
      </x:c>
      <x:c r="L98" s="38" t="str">
        <x:v>跨镜头身份稳定需要</x:v>
      </x:c>
    </x:row>
    <x:row r="99">
      <x:c r="A99" s="38" t="str">
        <x:v>BY-VOI-P1-015-医监人员声音</x:v>
      </x:c>
      <x:c r="B99" s="38" t="str">
        <x:v>VOI</x:v>
      </x:c>
      <x:c r="C99" s="38" t="str">
        <x:v>东风医监人员稳定音色</x:v>
      </x:c>
      <x:c r="D99" s="42" t="str">
        <x:v>P1</x:v>
      </x:c>
      <x:c r="E99" s="39" t="str">
        <x:v>保留</x:v>
      </x:c>
      <x:c r="F99" s="38" t="str">
        <x:v>独立稳定音色资产</x:v>
      </x:c>
      <x:c r="G99" s="38" t="str">
        <x:v>角色音色独立确认登记；具体对白与通信质感仍随视频同步生成</x:v>
      </x:c>
      <x:c r="H99" s="38" t="str">
        <x:v>V1.3.1旧映射待V1.3.2正式稿收口：第15场</x:v>
      </x:c>
      <x:c r="I99" s="38" t="str">
        <x:v>xcflow-voice-assets</x:v>
      </x:c>
      <x:c r="J99" s="38" t="str"/>
      <x:c r="K99" s="38" t="str">
        <x:v>独立登记；正式镜头通话同步生成</x:v>
      </x:c>
      <x:c r="L99" s="38" t="str">
        <x:v>跨镜头身份稳定需要</x:v>
      </x:c>
    </x:row>
    <x:row r="100">
      <x:c r="A100" s="38" t="str">
        <x:v>BY-SCN-P1-012-东风医监开舱作业区</x:v>
      </x:c>
      <x:c r="B100" s="38" t="str">
        <x:v>SCN</x:v>
      </x:c>
      <x:c r="C100" s="38" t="str">
        <x:v>东风医监医保与开舱作业区</x:v>
      </x:c>
      <x:c r="D100" s="42" t="str">
        <x:v>P1</x:v>
      </x:c>
      <x:c r="E100" s="40" t="str">
        <x:v>强制重做</x:v>
      </x:c>
      <x:c r="F100" s="38" t="str">
        <x:v>独立空间／道具资产</x:v>
      </x:c>
      <x:c r="G100" s="38" t="str">
        <x:v>屏幕信息架构、席位职责、人员数量与调度全部从零复核；不得沿用旧图的岗位标签与站位</x:v>
      </x:c>
      <x:c r="H100" s="38" t="str">
        <x:v>V1.3.1旧映射待V1.3.2正式稿收口：第15场</x:v>
      </x:c>
      <x:c r="I100" s="38" t="str">
        <x:v>xcflow-scene-assets；人员调度另接 xcflow-scene-design</x:v>
      </x:c>
      <x:c r="J100" s="38" t="str">
        <x:v>FP-PD-NATHAN-CROWLEY@v1.1；FP-CIN-ROGER-DEAKINS@v1.1（仅光影校准）；再入回收顾问</x:v>
      </x:c>
      <x:c r="K100" s="38" t="str">
        <x:v>建立俯视总图、开舱侧视、医疗转移和样品交接四类视图</x:v>
      </x:c>
      <x:c r="L100" s="38" t="str">
        <x:v>用户明确要求屏幕、席位职责和人员调度必须重做</x:v>
      </x:c>
    </x:row>
    <x:row r="101">
      <x:c r="A101" s="38" t="str">
        <x:v>BY-PRP-P1-012-月球车任务相机组</x:v>
      </x:c>
      <x:c r="B101" s="38" t="str">
        <x:v>PRP</x:v>
      </x:c>
      <x:c r="C101" s="38" t="str">
        <x:v>月球车前向与侧后固定相机组</x:v>
      </x:c>
      <x:c r="D101" s="42" t="str">
        <x:v>P1</x:v>
      </x:c>
      <x:c r="E101" s="39" t="str">
        <x:v>保留候选</x:v>
      </x:c>
      <x:c r="F101" s="38" t="str">
        <x:v>独立资产</x:v>
      </x:c>
      <x:c r="G101" s="38" t="str">
        <x:v>保留为V1.3.2候选；按新构型、屏幕、光照与顾问结论做继承检查</x:v>
      </x:c>
      <x:c r="H101" s="38" t="str">
        <x:v>V1.3.1旧映射待V1.3.2正式稿收口：第9—10场</x:v>
      </x:c>
      <x:c r="I101" s="38" t="str">
        <x:v>xcflow-prop-assets</x:v>
      </x:c>
      <x:c r="J101" s="38" t="str">
        <x:v>FP-PD-NATHAN-CROWLEY@v1.1；航天器构型顾问</x:v>
      </x:c>
      <x:c r="K101" s="38" t="str">
        <x:v>所有月球车视角复用同一标定参数</x:v>
      </x:c>
      <x:c r="L101" s="38" t="str">
        <x:v>未触发强制退出或重做规则</x:v>
      </x:c>
    </x:row>
    <x:row r="102">
      <x:c r="A102" s="38" t="str">
        <x:v>BY-PRP-P1-013-东风样品接收设备</x:v>
      </x:c>
      <x:c r="B102" s="38" t="str">
        <x:v>PRP</x:v>
      </x:c>
      <x:c r="C102" s="38" t="str">
        <x:v>东风样品接收箱、封签与交接设备</x:v>
      </x:c>
      <x:c r="D102" s="42" t="str">
        <x:v>P1</x:v>
      </x:c>
      <x:c r="E102" s="41" t="str">
        <x:v>修订</x:v>
      </x:c>
      <x:c r="F102" s="38" t="str">
        <x:v>独立工程道具／设备资产</x:v>
      </x:c>
      <x:c r="G102" s="38" t="str">
        <x:v>按真实操作、承力、转移、维护与摄影路径复核后修订</x:v>
      </x:c>
      <x:c r="H102" s="38" t="str">
        <x:v>V1.3.1旧映射待V1.3.2正式稿收口：第13、15场</x:v>
      </x:c>
      <x:c r="I102" s="38" t="str">
        <x:v>xcflow-prop-assets</x:v>
      </x:c>
      <x:c r="J102" s="38" t="str">
        <x:v>FP-PD-NATHAN-CROWLEY@v1.1；再入回收顾问</x:v>
      </x:c>
      <x:c r="K102" s="38" t="str">
        <x:v>与BY-SYM-P1-005共同使用</x:v>
      </x:c>
      <x:c r="L102" s="38" t="str">
        <x:v>需要与新航天器／舱内／回收设备共享工程逻辑</x:v>
      </x:c>
    </x:row>
    <x:row r="103">
      <x:c r="A103" s="38" t="str">
        <x:v>BY-PRP-P1-014-宇航服任务相机</x:v>
      </x:c>
      <x:c r="B103" s="38" t="str">
        <x:v>PRP</x:v>
      </x:c>
      <x:c r="C103" s="38" t="str">
        <x:v>望宇登月服任务相机与图像链路</x:v>
      </x:c>
      <x:c r="D103" s="42" t="str">
        <x:v>P1</x:v>
      </x:c>
      <x:c r="E103" s="39" t="str">
        <x:v>保留候选</x:v>
      </x:c>
      <x:c r="F103" s="38" t="str">
        <x:v>独立资产</x:v>
      </x:c>
      <x:c r="G103" s="38" t="str">
        <x:v>保留为V1.3.2候选；按新构型、屏幕、光照与顾问结论做继承检查</x:v>
      </x:c>
      <x:c r="H103" s="38" t="str">
        <x:v>V1.3.1旧映射待V1.3.2正式稿收口：第8—10场</x:v>
      </x:c>
      <x:c r="I103" s="38" t="str">
        <x:v>xcflow-prop-assets</x:v>
      </x:c>
      <x:c r="J103" s="38" t="str">
        <x:v>FP-PD-NATHAN-CROWLEY@v1.1</x:v>
      </x:c>
      <x:c r="K103" s="38" t="str">
        <x:v>分别绑定杨凛与陈砚服装资产</x:v>
      </x:c>
      <x:c r="L103" s="38" t="str">
        <x:v>未触发强制退出或重做规则</x:v>
      </x:c>
    </x:row>
    <x:row r="104">
      <x:c r="A104" s="38" t="str">
        <x:v>BY-PRP-P1-015-航天器任务相机组</x:v>
      </x:c>
      <x:c r="B104" s="38" t="str">
        <x:v>PRP</x:v>
      </x:c>
      <x:c r="C104" s="38" t="str">
        <x:v>梦舟／揽月任务相机组</x:v>
      </x:c>
      <x:c r="D104" s="42" t="str">
        <x:v>P1</x:v>
      </x:c>
      <x:c r="E104" s="41" t="str">
        <x:v>修订</x:v>
      </x:c>
      <x:c r="F104" s="38" t="str">
        <x:v>独立工程道具／设备资产</x:v>
      </x:c>
      <x:c r="G104" s="38" t="str">
        <x:v>按真实操作、承力、转移、维护与摄影路径复核后修订</x:v>
      </x:c>
      <x:c r="H104" s="38" t="str">
        <x:v>V1.3.1旧映射待V1.3.2正式稿收口：第2、5—8、11、14场</x:v>
      </x:c>
      <x:c r="I104" s="38" t="str">
        <x:v>xcflow-prop-assets</x:v>
      </x:c>
      <x:c r="J104" s="38" t="str">
        <x:v>FP-PD-NATHAN-CROWLEY@v1.1</x:v>
      </x:c>
      <x:c r="K104" s="38" t="str">
        <x:v>任务证据视角优先于视觉重建</x:v>
      </x:c>
      <x:c r="L104" s="38" t="str">
        <x:v>需要与新航天器／舱内／回收设备共享工程逻辑</x:v>
      </x:c>
    </x:row>
    <x:row r="105">
      <x:c r="A105" s="38" t="str">
        <x:v>BY-SYM-P1-006-视觉重建来源标识</x:v>
      </x:c>
      <x:c r="B105" s="38" t="str">
        <x:v>SYM</x:v>
      </x:c>
      <x:c r="C105" s="38" t="str">
        <x:v>“基于实时遥测的视觉重建”来源标识</x:v>
      </x:c>
      <x:c r="D105" s="42" t="str">
        <x:v>P1</x:v>
      </x:c>
      <x:c r="E105" s="40" t="str">
        <x:v>重做</x:v>
      </x:c>
      <x:c r="F105" s="38" t="str">
        <x:v>独立后期图形资产</x:v>
      </x:c>
      <x:c r="G105" s="38" t="str">
        <x:v>按V1.3.2日期、任务阶段、RF／光通信分工及新席位体系重建；不得继承旧屏内容</x:v>
      </x:c>
      <x:c r="H105" s="38" t="str">
        <x:v>V1.3.1旧映射待V1.3.2正式稿收口：第1—2、4—7、11—14场</x:v>
      </x:c>
      <x:c r="I105" s="38" t="str">
        <x:v>xcflow-prop-assets／后期图形</x:v>
      </x:c>
      <x:c r="J105" s="38" t="str"/>
      <x:c r="K105" s="38" t="str">
        <x:v>后期叠加，不写入载具屏幕</x:v>
      </x:c>
      <x:c r="L105" s="38" t="str">
        <x:v>屏幕体系强制重做</x:v>
      </x:c>
    </x:row>
    <x:row r="106">
      <x:c r="A106" s="38" t="str">
        <x:v>BY-SYM-P1-007-直播进口出口与倒计时</x:v>
      </x:c>
      <x:c r="B106" s="38" t="str">
        <x:v>SYM</x:v>
      </x:c>
      <x:c r="C106" s="38" t="str">
        <x:v>三段直播进口、出口与任务倒计时图形</x:v>
      </x:c>
      <x:c r="D106" s="42" t="str">
        <x:v>P1</x:v>
      </x:c>
      <x:c r="E106" s="40" t="str">
        <x:v>重做</x:v>
      </x:c>
      <x:c r="F106" s="38" t="str">
        <x:v>独立后期图形资产</x:v>
      </x:c>
      <x:c r="G106" s="38" t="str">
        <x:v>按V1.3.2日期、任务阶段、RF／光通信分工及新席位体系重建；不得继承旧屏内容</x:v>
      </x:c>
      <x:c r="H106" s="38" t="str">
        <x:v>V1.3.1旧映射待V1.3.2正式稿收口：三段直播</x:v>
      </x:c>
      <x:c r="I106" s="38" t="str">
        <x:v>xcflow-prop-assets／后期图形</x:v>
      </x:c>
      <x:c r="J106" s="38" t="str"/>
      <x:c r="K106" s="38" t="str">
        <x:v>与任务时间标牌统一设计语言</x:v>
      </x:c>
      <x:c r="L106" s="38" t="str">
        <x:v>屏幕体系强制重做</x:v>
      </x:c>
    </x:row>
    <x:row r="107">
      <x:c r="A107" s="38" t="str">
        <x:v>BY-SYM-P1-008-东风搜救时间压缩</x:v>
      </x:c>
      <x:c r="B107" s="38" t="str">
        <x:v>SYM</x:v>
      </x:c>
      <x:c r="C107" s="38" t="str">
        <x:v>东风搜救抵达时间压缩标牌</x:v>
      </x:c>
      <x:c r="D107" s="42" t="str">
        <x:v>P1</x:v>
      </x:c>
      <x:c r="E107" s="40" t="str">
        <x:v>重做</x:v>
      </x:c>
      <x:c r="F107" s="38" t="str">
        <x:v>独立后期图形资产</x:v>
      </x:c>
      <x:c r="G107" s="38" t="str">
        <x:v>按V1.3.2日期、任务阶段、RF／光通信分工及新席位体系重建；不得继承旧屏内容</x:v>
      </x:c>
      <x:c r="H107" s="38" t="str">
        <x:v>V1.3.1旧映射待V1.3.2正式稿收口：第15场</x:v>
      </x:c>
      <x:c r="I107" s="38" t="str">
        <x:v>xcflow-prop-assets／后期图形</x:v>
      </x:c>
      <x:c r="J107" s="38" t="str">
        <x:v>再入回收顾问</x:v>
      </x:c>
      <x:c r="K107" s="38" t="str">
        <x:v>给足阅读时间</x:v>
      </x:c>
      <x:c r="L107" s="38" t="str">
        <x:v>屏幕体系强制重做</x:v>
      </x:c>
    </x:row>
    <x:row r="108">
      <x:c r="A108" s="38" t="str">
        <x:v>BY-SCN-P1-013-深空测控内部值班区</x:v>
      </x:c>
      <x:c r="B108" s="38" t="str">
        <x:v>SCN</x:v>
      </x:c>
      <x:c r="C108" s="38" t="str">
        <x:v>深空测控内部值班区</x:v>
      </x:c>
      <x:c r="D108" s="42" t="str">
        <x:v>P1</x:v>
      </x:c>
      <x:c r="E108" s="40" t="str">
        <x:v>新增重做</x:v>
      </x:c>
      <x:c r="F108" s="38" t="str">
        <x:v>独立场景母资产</x:v>
      </x:c>
      <x:c r="G108" s="38" t="str">
        <x:v>承接佳木斯／喀什通话时的内部人员画面；按席位职责、值班人数、显示层级与声学分区重建，可做站点小差异变体</x:v>
      </x:c>
      <x:c r="H108" s="38" t="str">
        <x:v>镜007、082及后续深空测控通话</x:v>
      </x:c>
      <x:c r="I108" s="38" t="str">
        <x:v>xcflow-scene-assets；人员调度另接 xcflow-scene-design</x:v>
      </x:c>
      <x:c r="J108" s="38" t="str">
        <x:v>FP-PD-NATHAN-CROWLEY@v1.1；RF／光通信顾问</x:v>
      </x:c>
      <x:c r="K108" s="38" t="str">
        <x:v>先闭合RF席位职责与内部画面逻辑，再生成；外部天线不替代内部通话画面</x:v>
      </x:c>
      <x:c r="L108" s="38" t="str">
        <x:v>新增；不把66米／35米射电天线画成光学地面站</x:v>
      </x:c>
    </x:row>
    <x:row r="109">
      <x:c r="A109" s="38" t="str">
        <x:v>BY-SYM-P1-009-RF光通信双链路状态界面</x:v>
      </x:c>
      <x:c r="B109" s="38" t="str">
        <x:v>SYM</x:v>
      </x:c>
      <x:c r="C109" s="38" t="str">
        <x:v>RF与光通信双链路状态界面</x:v>
      </x:c>
      <x:c r="D109" s="42" t="str">
        <x:v>P1</x:v>
      </x:c>
      <x:c r="E109" s="40" t="str">
        <x:v>新增重做</x:v>
      </x:c>
      <x:c r="F109" s="38" t="str">
        <x:v>独立后期图形资产</x:v>
      </x:c>
      <x:c r="G109" s="38" t="str">
        <x:v>明确RF测控／语音／关键指令／安全备份与光链高清影像／科学数据／大文件的职责分流、转站与缓存补传</x:v>
      </x:c>
      <x:c r="H109" s="38" t="str">
        <x:v>镜060A、061A及相关飞控副屏</x:v>
      </x:c>
      <x:c r="I109" s="38" t="str">
        <x:v>xcflow-prop-assets／后期图形</x:v>
      </x:c>
      <x:c r="J109" s="38" t="str">
        <x:v>RF／光通信顾问；Deakins仅校准屏幕对人物的来源光</x:v>
      </x:c>
      <x:c r="K109" s="38" t="str">
        <x:v>不得把射电天线画成激光站；不得表现光链消除地月时延或绕过黑障</x:v>
      </x:c>
      <x:c r="L109" s="38" t="str">
        <x:v>新增；屏幕画面先于任何光学地面站外景资产</x:v>
      </x:c>
    </x:row>
    <x:row r="110">
      <x:c r="A110" s="38" t="str">
        <x:v>BY-SCN-P1-007-佳木斯66米深空测控站</x:v>
      </x:c>
      <x:c r="B110" s="38" t="str">
        <x:v>SCN</x:v>
      </x:c>
      <x:c r="C110" s="38" t="str">
        <x:v>佳木斯66米深空测控站</x:v>
      </x:c>
      <x:c r="D110" s="42" t="str">
        <x:v>P3</x:v>
      </x:c>
      <x:c r="E110" s="39" t="str">
        <x:v>P3空镜候选</x:v>
      </x:c>
      <x:c r="F110" s="38" t="str">
        <x:v>低频外景空镜资产</x:v>
      </x:c>
      <x:c r="G110" s="38" t="str">
        <x:v>保留作短空镜候选；通话主体切内部人员，不作为主叙事画面；射电天线不得画成光学站</x:v>
      </x:c>
      <x:c r="H110" s="38" t="str">
        <x:v>V1.3.2镜007、082附近（仅在需要地点建立时用短空镜）</x:v>
      </x:c>
      <x:c r="I110" s="38" t="str">
        <x:v>xcflow-scene-assets；人员调度另接 xcflow-scene-design</x:v>
      </x:c>
      <x:c r="J110" s="38" t="str">
        <x:v>FP-PD-NATHAN-CROWLEY@v1.1；FP-CIN-ROGER-DEAKINS@v1.1（仅光影校准）；RF／光通信顾问</x:v>
      </x:c>
      <x:c r="K110" s="38" t="str">
        <x:v>天线MASTER、长焦跟踪、值班工作区</x:v>
      </x:c>
      <x:c r="L110" s="38" t="str">
        <x:v>用户明确降为P3；外部使用频率低</x:v>
      </x:c>
    </x:row>
    <x:row r="111">
      <x:c r="A111" s="38" t="str">
        <x:v>BY-SCN-P1-008-喀什35米深空测控站</x:v>
      </x:c>
      <x:c r="B111" s="38" t="str">
        <x:v>SCN</x:v>
      </x:c>
      <x:c r="C111" s="38" t="str">
        <x:v>喀什35米深空测控站</x:v>
      </x:c>
      <x:c r="D111" s="42" t="str">
        <x:v>P3</x:v>
      </x:c>
      <x:c r="E111" s="39" t="str">
        <x:v>P3空镜候选</x:v>
      </x:c>
      <x:c r="F111" s="38" t="str">
        <x:v>低频外景空镜资产</x:v>
      </x:c>
      <x:c r="G111" s="38" t="str">
        <x:v>保留作短空镜候选；通话主体切内部人员，不作为主叙事画面；射电天线不得画成光学站</x:v>
      </x:c>
      <x:c r="H111" s="38" t="str">
        <x:v>V1.3.2当前无必须外景；仅作站点备用空镜</x:v>
      </x:c>
      <x:c r="I111" s="38" t="str">
        <x:v>xcflow-scene-assets；人员调度另接 xcflow-scene-design</x:v>
      </x:c>
      <x:c r="J111" s="38" t="str">
        <x:v>FP-PD-NATHAN-CROWLEY@v1.1；FP-CIN-ROGER-DEAKINS@v1.1（仅光影校准）；RF／光通信顾问</x:v>
      </x:c>
      <x:c r="K111" s="38" t="str">
        <x:v>天线MASTER、跟踪状态视图</x:v>
      </x:c>
      <x:c r="L111" s="38" t="str">
        <x:v>用户明确降为P3；外部使用频率低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954b3614060a499e"/>
  </x:tableParts>
</x:worksheet>
</file>

<file path=xl/worksheets/sheet3.xml><?xml version="1.0" encoding="utf-8"?>
<x:worksheet xmlns:x="http://schemas.openxmlformats.org/spreadsheetml/2006/main">
  <x:sheetPr>
    <x:tabColor rgb="FF59595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8" hidden="0" customWidth="1"/>
    <x:col min="3" max="3" width="26" hidden="0" customWidth="1"/>
    <x:col min="4" max="4" width="11" hidden="0" customWidth="1"/>
    <x:col min="5" max="5" width="20" hidden="0" customWidth="1"/>
    <x:col min="6" max="6" width="24" hidden="0" customWidth="1"/>
    <x:col min="7" max="7" width="17" hidden="0" customWidth="1"/>
    <x:col min="8" max="8" width="13" hidden="0" customWidth="1"/>
    <x:col min="9" max="9" width="25" hidden="0" customWidth="1"/>
    <x:col min="10" max="10" width="49" hidden="0" customWidth="1"/>
    <x:col min="11" max="11" width="31" hidden="0" customWidth="1"/>
    <x:col min="12" max="12" width="16" hidden="0" customWidth="1"/>
    <x:col min="13" max="13" width="43" hidden="0" customWidth="1"/>
    <x:col min="14" max="14" width="24" hidden="0" customWidth="1"/>
  </x:cols>
  <x:sheetData>
    <x:row r="1" ht="30" customHeight="1">
      <x:c r="A1" s="3" t="str">
        <x:v>V1.3.1 → V1.3.2 旧资产复用审计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4" customHeight="1">
      <x:c r="A2" s="7" t="str">
        <x:v>旧表不覆盖；每一条资产均给出V1.3.2去向。ID中的旧P0/P1仅作稳定身份；如佳木斯／喀什现降为P3，以“V1.3.2优先级”列为准。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5" ht="30" customHeight="1">
      <x:c r="A5" s="34" t="str">
        <x:v>旧／新增资产ID</x:v>
      </x:c>
      <x:c r="B5" s="34" t="str">
        <x:v>类型</x:v>
      </x:c>
      <x:c r="C5" s="34" t="str">
        <x:v>资产名称</x:v>
      </x:c>
      <x:c r="D5" s="34" t="str">
        <x:v>旧优先级</x:v>
      </x:c>
      <x:c r="E5" s="34" t="str">
        <x:v>旧确认状态</x:v>
      </x:c>
      <x:c r="F5" s="34" t="str">
        <x:v>旧阶段2建议</x:v>
      </x:c>
      <x:c r="G5" s="34" t="str">
        <x:v>V1.3.2处置</x:v>
      </x:c>
      <x:c r="H5" s="34" t="str">
        <x:v>V1.3.2优先级</x:v>
      </x:c>
      <x:c r="I5" s="34" t="str">
        <x:v>生产方式</x:v>
      </x:c>
      <x:c r="J5" s="34" t="str">
        <x:v>必须处理／继承边界</x:v>
      </x:c>
      <x:c r="K5" s="34" t="str">
        <x:v>处置理由</x:v>
      </x:c>
      <x:c r="L5" s="34" t="str">
        <x:v>去向</x:v>
      </x:c>
      <x:c r="M5" s="34" t="str">
        <x:v>原关联场次／镜头</x:v>
      </x:c>
      <x:c r="N5" s="34" t="str">
        <x:v>原信息来源</x:v>
      </x:c>
    </x:row>
    <x:row r="6">
      <x:c r="A6" s="38" t="str">
        <x:v>BY-CHR-P0-001-杨凛</x:v>
      </x:c>
      <x:c r="B6" s="38" t="str">
        <x:v>CHR</x:v>
      </x:c>
      <x:c r="C6" s="38" t="str">
        <x:v>杨凛</x:v>
      </x:c>
      <x:c r="D6" s="38" t="str">
        <x:v>P0</x:v>
      </x:c>
      <x:c r="E6" s="38" t="str">
        <x:v>已确认</x:v>
      </x:c>
      <x:c r="F6" s="38" t="str">
        <x:v>阶段2A首批人物测试</x:v>
      </x:c>
      <x:c r="G6" s="39" t="str">
        <x:v>保留候选</x:v>
      </x:c>
      <x:c r="H6" s="42" t="str">
        <x:v>P0</x:v>
      </x:c>
      <x:c r="I6" s="38" t="str">
        <x:v>独立人物资产</x:v>
      </x:c>
      <x:c r="J6" s="38" t="str">
        <x:v>保留现有人脸图为候选身份母图；仍需一次最终身份母图确认</x:v>
      </x:c>
      <x:c r="K6" s="38" t="str">
        <x:v>用户明确保留候选</x:v>
      </x:c>
      <x:c r="L6" s="38" t="str">
        <x:v>资产主表</x:v>
      </x:c>
      <x:c r="M6" s="38" t="str">
        <x:v>场1,2,3,4,5,6,7,8,9,10,12,13,16；镜005,009,015,016,023,029,032,036,040,043,044,046,047,048,049,051,052,054,057,059,060,064,066,067,069,070,071,073,082,086,090,094,112</x:v>
      </x:c>
      <x:c r="N6" s="38" t="str">
        <x:v>剧本明确;创作者建议</x:v>
      </x:c>
    </x:row>
    <x:row r="7">
      <x:c r="A7" s="38" t="str">
        <x:v>BY-CHR-P0-002-陈砚</x:v>
      </x:c>
      <x:c r="B7" s="38" t="str">
        <x:v>CHR</x:v>
      </x:c>
      <x:c r="C7" s="38" t="str">
        <x:v>陈砚</x:v>
      </x:c>
      <x:c r="D7" s="38" t="str">
        <x:v>P0</x:v>
      </x:c>
      <x:c r="E7" s="38" t="str">
        <x:v>已确认</x:v>
      </x:c>
      <x:c r="F7" s="38" t="str">
        <x:v>阶段2A／2B首批</x:v>
      </x:c>
      <x:c r="G7" s="39" t="str">
        <x:v>保留候选</x:v>
      </x:c>
      <x:c r="H7" s="42" t="str">
        <x:v>P0</x:v>
      </x:c>
      <x:c r="I7" s="38" t="str">
        <x:v>独立人物资产</x:v>
      </x:c>
      <x:c r="J7" s="38" t="str">
        <x:v>保留现有人脸图为候选身份母图；仍需一次最终身份母图确认</x:v>
      </x:c>
      <x:c r="K7" s="38" t="str">
        <x:v>用户明确保留候选</x:v>
      </x:c>
      <x:c r="L7" s="38" t="str">
        <x:v>资产主表</x:v>
      </x:c>
      <x:c r="M7" s="38" t="str">
        <x:v>场1,2,3,4,5,6,7,8,9,10,12,13；镜005,009,014,015,016,023,029,036,040,043,044,046,048,052,054,057,059,060,062,064,066,067,068,069,070,071,073,082,090</x:v>
      </x:c>
      <x:c r="N7" s="38" t="str">
        <x:v>剧本明确;创作者建议</x:v>
      </x:c>
    </x:row>
    <x:row r="8">
      <x:c r="A8" s="38" t="str">
        <x:v>BY-CHR-P0-003-刘定槎</x:v>
      </x:c>
      <x:c r="B8" s="38" t="str">
        <x:v>CHR</x:v>
      </x:c>
      <x:c r="C8" s="38" t="str">
        <x:v>刘定槎</x:v>
      </x:c>
      <x:c r="D8" s="38" t="str">
        <x:v>P0</x:v>
      </x:c>
      <x:c r="E8" s="38" t="str">
        <x:v>已确认</x:v>
      </x:c>
      <x:c r="F8" s="38" t="str">
        <x:v>阶段2A／2B首批</x:v>
      </x:c>
      <x:c r="G8" s="40" t="str">
        <x:v>重做</x:v>
      </x:c>
      <x:c r="H8" s="42" t="str">
        <x:v>P0</x:v>
      </x:c>
      <x:c r="I8" s="38" t="str">
        <x:v>独立人物资产</x:v>
      </x:c>
      <x:c r="J8" s="38" t="str">
        <x:v>重做年龄层与成熟度；保留飞行工程师的克制、可靠气质，不沿用现图年龄</x:v>
      </x:c>
      <x:c r="K8" s="38" t="str">
        <x:v>用户明确要求重做年龄</x:v>
      </x:c>
      <x:c r="L8" s="38" t="str">
        <x:v>资产主表</x:v>
      </x:c>
      <x:c r="M8" s="38" t="str">
        <x:v>场1,2,3,9,11,12,13,14,15；镜004,007,013,015,016,018,063,079,081,086,090,094,100,101,103,106</x:v>
      </x:c>
      <x:c r="N8" s="38" t="str">
        <x:v>剧本明确;创作者建议</x:v>
      </x:c>
    </x:row>
    <x:row r="9">
      <x:c r="A9" s="38" t="str">
        <x:v>BY-CHR-P1-001-周明远</x:v>
      </x:c>
      <x:c r="B9" s="38" t="str">
        <x:v>CHR</x:v>
      </x:c>
      <x:c r="C9" s="38" t="str">
        <x:v>周明远</x:v>
      </x:c>
      <x:c r="D9" s="38" t="str">
        <x:v>P1</x:v>
      </x:c>
      <x:c r="E9" s="38" t="str">
        <x:v>历史停用（V1.2不调用）</x:v>
      </x:c>
      <x:c r="F9" s="38" t="str">
        <x:v>V1.2不出场</x:v>
      </x:c>
      <x:c r="G9" s="43" t="str">
        <x:v>历史停用</x:v>
      </x:c>
      <x:c r="H9" s="42" t="str">
        <x:v>P1</x:v>
      </x:c>
      <x:c r="I9" s="38" t="str">
        <x:v>不进入V1.3.2生产</x:v>
      </x:c>
      <x:c r="J9" s="38" t="str">
        <x:v>仅保留追溯，不复活旧段落与旧身份</x:v>
      </x:c>
      <x:c r="K9" s="38" t="str">
        <x:v>V1.3.2不调用</x:v>
      </x:c>
      <x:c r="L9" s="38" t="str">
        <x:v>仅审计追溯</x:v>
      </x:c>
      <x:c r="M9" s="38" t="str">
        <x:v>历史V1.1</x:v>
      </x:c>
      <x:c r="N9" s="38" t="str">
        <x:v>剧本明确;创作者建议</x:v>
      </x:c>
    </x:row>
    <x:row r="10">
      <x:c r="A10" s="38" t="str">
        <x:v>BY-CHR-P1-002-林知夏</x:v>
      </x:c>
      <x:c r="B10" s="38" t="str">
        <x:v>CHR</x:v>
      </x:c>
      <x:c r="C10" s="38" t="str">
        <x:v>林知夏</x:v>
      </x:c>
      <x:c r="D10" s="38" t="str">
        <x:v>P1</x:v>
      </x:c>
      <x:c r="E10" s="38" t="str">
        <x:v>已确认</x:v>
      </x:c>
      <x:c r="F10" s="38" t="str">
        <x:v>新闻支持资产包</x:v>
      </x:c>
      <x:c r="G10" s="39" t="str">
        <x:v>保留候选</x:v>
      </x:c>
      <x:c r="H10" s="42" t="str">
        <x:v>P1</x:v>
      </x:c>
      <x:c r="I10" s="38" t="str">
        <x:v>独立人物资产</x:v>
      </x:c>
      <x:c r="J10" s="38" t="str">
        <x:v>保留现有人脸图为候选身份母图；仍需一次最终身份母图确认</x:v>
      </x:c>
      <x:c r="K10" s="38" t="str">
        <x:v>用户明确保留候选</x:v>
      </x:c>
      <x:c r="L10" s="38" t="str">
        <x:v>资产主表</x:v>
      </x:c>
      <x:c r="M10" s="38" t="str">
        <x:v>场8；镜056</x:v>
      </x:c>
      <x:c r="N10" s="38" t="str">
        <x:v>剧本明确;创作者建议</x:v>
      </x:c>
    </x:row>
    <x:row r="11">
      <x:c r="A11" s="38" t="str">
        <x:v>BY-CHR-P1-003-孙屹川</x:v>
      </x:c>
      <x:c r="B11" s="38" t="str">
        <x:v>CHR</x:v>
      </x:c>
      <x:c r="C11" s="38" t="str">
        <x:v>孙屹川</x:v>
      </x:c>
      <x:c r="D11" s="38" t="str">
        <x:v>P1</x:v>
      </x:c>
      <x:c r="E11" s="38" t="str">
        <x:v>历史停用（V1.2不调用）</x:v>
      </x:c>
      <x:c r="F11" s="38" t="str">
        <x:v>V1.2不出场</x:v>
      </x:c>
      <x:c r="G11" s="43" t="str">
        <x:v>历史停用</x:v>
      </x:c>
      <x:c r="H11" s="42" t="str">
        <x:v>P1</x:v>
      </x:c>
      <x:c r="I11" s="38" t="str">
        <x:v>不进入V1.3.2生产</x:v>
      </x:c>
      <x:c r="J11" s="38" t="str">
        <x:v>仅保留追溯，不复活旧段落与旧身份</x:v>
      </x:c>
      <x:c r="K11" s="38" t="str">
        <x:v>V1.3.2不调用</x:v>
      </x:c>
      <x:c r="L11" s="38" t="str">
        <x:v>仅审计追溯</x:v>
      </x:c>
      <x:c r="M11" s="38" t="str">
        <x:v>历史V1.1</x:v>
      </x:c>
      <x:c r="N11" s="38" t="str">
        <x:v>剧本明确;创作者建议</x:v>
      </x:c>
    </x:row>
    <x:row r="12">
      <x:c r="A12" s="38" t="str">
        <x:v>BY-CST-P0-001-杨凛舱内飞行服</x:v>
      </x:c>
      <x:c r="B12" s="38" t="str">
        <x:v>CST</x:v>
      </x:c>
      <x:c r="C12" s="38" t="str">
        <x:v>杨凛舱内飞行服</x:v>
      </x:c>
      <x:c r="D12" s="38" t="str">
        <x:v>P0</x:v>
      </x:c>
      <x:c r="E12" s="38" t="str">
        <x:v>已确认</x:v>
      </x:c>
      <x:c r="F12" s="38" t="str">
        <x:v>随杨凛基础人物制作</x:v>
      </x:c>
      <x:c r="G12" s="39" t="str">
        <x:v>保留候选</x:v>
      </x:c>
      <x:c r="H12" s="42" t="str">
        <x:v>P0</x:v>
      </x:c>
      <x:c r="I12" s="38" t="str">
        <x:v>独立服装资产</x:v>
      </x:c>
      <x:c r="J12" s="38" t="str">
        <x:v>保留现有服装方向候选，待身份母图与航天器接口确认后锁定</x:v>
      </x:c>
      <x:c r="K12" s="38" t="str">
        <x:v>人物／接口尚未全部闭合</x:v>
      </x:c>
      <x:c r="L12" s="38" t="str">
        <x:v>资产主表</x:v>
      </x:c>
      <x:c r="M12" s="38" t="str">
        <x:v>场1,2,3,4,5,6,7,12,13,16；镜005,009,015,016,023,029,032,036,040,043,082,086,090,094,112</x:v>
      </x:c>
      <x:c r="N12" s="38" t="str">
        <x:v>剧本明确;创作者建议</x:v>
      </x:c>
    </x:row>
    <x:row r="13">
      <x:c r="A13" s="38" t="str">
        <x:v>BY-CST-P0-002-陈砚舱内飞行服</x:v>
      </x:c>
      <x:c r="B13" s="38" t="str">
        <x:v>CST</x:v>
      </x:c>
      <x:c r="C13" s="38" t="str">
        <x:v>陈砚舱内飞行服</x:v>
      </x:c>
      <x:c r="D13" s="38" t="str">
        <x:v>P0</x:v>
      </x:c>
      <x:c r="E13" s="38" t="str">
        <x:v>已确认</x:v>
      </x:c>
      <x:c r="F13" s="38" t="str">
        <x:v>随陈砚基础人物制作</x:v>
      </x:c>
      <x:c r="G13" s="39" t="str">
        <x:v>保留候选</x:v>
      </x:c>
      <x:c r="H13" s="42" t="str">
        <x:v>P0</x:v>
      </x:c>
      <x:c r="I13" s="38" t="str">
        <x:v>独立服装资产</x:v>
      </x:c>
      <x:c r="J13" s="38" t="str">
        <x:v>保留现有服装方向候选，待身份母图与航天器接口确认后锁定</x:v>
      </x:c>
      <x:c r="K13" s="38" t="str">
        <x:v>人物／接口尚未全部闭合</x:v>
      </x:c>
      <x:c r="L13" s="38" t="str">
        <x:v>资产主表</x:v>
      </x:c>
      <x:c r="M13" s="38" t="str">
        <x:v>场1,2,3,4,5,6,7,12,13；镜005,009,014,015,016,023,029,036,040,043,082,090</x:v>
      </x:c>
      <x:c r="N13" s="38" t="str">
        <x:v>剧本明确;创作者建议</x:v>
      </x:c>
    </x:row>
    <x:row r="14">
      <x:c r="A14" s="38" t="str">
        <x:v>BY-CST-P0-003-刘定槎舱内飞行服</x:v>
      </x:c>
      <x:c r="B14" s="38" t="str">
        <x:v>CST</x:v>
      </x:c>
      <x:c r="C14" s="38" t="str">
        <x:v>刘定槎舱内飞行服</x:v>
      </x:c>
      <x:c r="D14" s="38" t="str">
        <x:v>P0</x:v>
      </x:c>
      <x:c r="E14" s="38" t="str">
        <x:v>已确认</x:v>
      </x:c>
      <x:c r="F14" s="38" t="str">
        <x:v>随刘定槎基础人物制作</x:v>
      </x:c>
      <x:c r="G14" s="39" t="str">
        <x:v>保留候选</x:v>
      </x:c>
      <x:c r="H14" s="42" t="str">
        <x:v>P0</x:v>
      </x:c>
      <x:c r="I14" s="38" t="str">
        <x:v>独立服装资产</x:v>
      </x:c>
      <x:c r="J14" s="38" t="str">
        <x:v>人物年龄重做后重新适配体型与面颈关系</x:v>
      </x:c>
      <x:c r="K14" s="38" t="str">
        <x:v>人物／接口尚未全部闭合</x:v>
      </x:c>
      <x:c r="L14" s="38" t="str">
        <x:v>资产主表</x:v>
      </x:c>
      <x:c r="M14" s="38" t="str">
        <x:v>场1,2,3,9,11,12,13,14,15；镜004,007,013,015,016,018,063,079,081,086,090,094,100,101,103,106</x:v>
      </x:c>
      <x:c r="N14" s="38" t="str">
        <x:v>剧本明确;创作者建议</x:v>
      </x:c>
    </x:row>
    <x:row r="15">
      <x:c r="A15" s="38" t="str">
        <x:v>BY-CST-P0-004-杨凛望宇登月服</x:v>
      </x:c>
      <x:c r="B15" s="38" t="str">
        <x:v>CST</x:v>
      </x:c>
      <x:c r="C15" s="38" t="str">
        <x:v>杨凛望宇登月服</x:v>
      </x:c>
      <x:c r="D15" s="38" t="str">
        <x:v>P0</x:v>
      </x:c>
      <x:c r="E15" s="38" t="str">
        <x:v>已确认</x:v>
      </x:c>
      <x:c r="F15" s="38" t="str">
        <x:v>月面人物状态包</x:v>
      </x:c>
      <x:c r="G15" s="39" t="str">
        <x:v>保留候选</x:v>
      </x:c>
      <x:c r="H15" s="42" t="str">
        <x:v>P0</x:v>
      </x:c>
      <x:c r="I15" s="38" t="str">
        <x:v>独立服装资产</x:v>
      </x:c>
      <x:c r="J15" s="38" t="str">
        <x:v>保留现有服装方向候选，待身份母图与航天器接口确认后锁定</x:v>
      </x:c>
      <x:c r="K15" s="38" t="str">
        <x:v>人物／接口尚未全部闭合</x:v>
      </x:c>
      <x:c r="L15" s="38" t="str">
        <x:v>资产主表</x:v>
      </x:c>
      <x:c r="M15" s="38" t="str">
        <x:v>场7,8,9,10；镜044,046,047,048,049,051,052,054,057,059,060,064,066,067,069,070,071,073</x:v>
      </x:c>
      <x:c r="N15" s="38" t="str">
        <x:v>项目锁定;公开资料;创作者建议</x:v>
      </x:c>
    </x:row>
    <x:row r="16">
      <x:c r="A16" s="38" t="str">
        <x:v>BY-CST-P0-005-陈砚望宇登月服</x:v>
      </x:c>
      <x:c r="B16" s="38" t="str">
        <x:v>CST</x:v>
      </x:c>
      <x:c r="C16" s="38" t="str">
        <x:v>陈砚望宇登月服</x:v>
      </x:c>
      <x:c r="D16" s="38" t="str">
        <x:v>P0</x:v>
      </x:c>
      <x:c r="E16" s="38" t="str">
        <x:v>已确认</x:v>
      </x:c>
      <x:c r="F16" s="38" t="str">
        <x:v>月面人物状态包</x:v>
      </x:c>
      <x:c r="G16" s="39" t="str">
        <x:v>保留候选</x:v>
      </x:c>
      <x:c r="H16" s="42" t="str">
        <x:v>P0</x:v>
      </x:c>
      <x:c r="I16" s="38" t="str">
        <x:v>独立服装资产</x:v>
      </x:c>
      <x:c r="J16" s="38" t="str">
        <x:v>保留现有服装方向候选，待身份母图与航天器接口确认后锁定</x:v>
      </x:c>
      <x:c r="K16" s="38" t="str">
        <x:v>人物／接口尚未全部闭合</x:v>
      </x:c>
      <x:c r="L16" s="38" t="str">
        <x:v>资产主表</x:v>
      </x:c>
      <x:c r="M16" s="38" t="str">
        <x:v>场7,8,9,10；镜044,046,048,052,054,057,059,060,062,064,066,067,068,069,070,071,073</x:v>
      </x:c>
      <x:c r="N16" s="38" t="str">
        <x:v>项目锁定;公开资料;创作者建议</x:v>
      </x:c>
    </x:row>
    <x:row r="17">
      <x:c r="A17" s="38" t="str">
        <x:v>BY-CST-P1-001-杨凛登月服轻度月尘状态</x:v>
      </x:c>
      <x:c r="B17" s="38" t="str">
        <x:v>CST</x:v>
      </x:c>
      <x:c r="C17" s="38" t="str">
        <x:v>杨凛登月服轻度月尘状态</x:v>
      </x:c>
      <x:c r="D17" s="38" t="str">
        <x:v>P1</x:v>
      </x:c>
      <x:c r="E17" s="38" t="str">
        <x:v>已确认采用</x:v>
      </x:c>
      <x:c r="F17" s="38" t="str">
        <x:v>基础登月服确认后制作</x:v>
      </x:c>
      <x:c r="G17" s="39" t="str">
        <x:v>保留候选</x:v>
      </x:c>
      <x:c r="H17" s="42" t="str">
        <x:v>P1</x:v>
      </x:c>
      <x:c r="I17" s="38" t="str">
        <x:v>独立服装资产</x:v>
      </x:c>
      <x:c r="J17" s="38" t="str">
        <x:v>保留现有服装方向候选，待身份母图与航天器接口确认后锁定</x:v>
      </x:c>
      <x:c r="K17" s="38" t="str">
        <x:v>人物／接口尚未全部闭合</x:v>
      </x:c>
      <x:c r="L17" s="38" t="str">
        <x:v>资产主表</x:v>
      </x:c>
      <x:c r="M17" s="38" t="str">
        <x:v>场13；镜090,091,094</x:v>
      </x:c>
      <x:c r="N17" s="38" t="str">
        <x:v>剧本明确;合理推断</x:v>
      </x:c>
    </x:row>
    <x:row r="18">
      <x:c r="A18" s="38" t="str">
        <x:v>BY-CST-P1-002-陈砚登月服轻度月尘状态</x:v>
      </x:c>
      <x:c r="B18" s="38" t="str">
        <x:v>CST</x:v>
      </x:c>
      <x:c r="C18" s="38" t="str">
        <x:v>陈砚登月服轻度月尘状态</x:v>
      </x:c>
      <x:c r="D18" s="38" t="str">
        <x:v>P1</x:v>
      </x:c>
      <x:c r="E18" s="38" t="str">
        <x:v>已确认采用</x:v>
      </x:c>
      <x:c r="F18" s="38" t="str">
        <x:v>基础登月服确认后制作</x:v>
      </x:c>
      <x:c r="G18" s="39" t="str">
        <x:v>保留候选</x:v>
      </x:c>
      <x:c r="H18" s="42" t="str">
        <x:v>P1</x:v>
      </x:c>
      <x:c r="I18" s="38" t="str">
        <x:v>独立服装资产</x:v>
      </x:c>
      <x:c r="J18" s="38" t="str">
        <x:v>保留现有服装方向候选，待身份母图与航天器接口确认后锁定</x:v>
      </x:c>
      <x:c r="K18" s="38" t="str">
        <x:v>人物／接口尚未全部闭合</x:v>
      </x:c>
      <x:c r="L18" s="38" t="str">
        <x:v>资产主表</x:v>
      </x:c>
      <x:c r="M18" s="38" t="str">
        <x:v>场13；镜090,091,094</x:v>
      </x:c>
      <x:c r="N18" s="38" t="str">
        <x:v>剧本明确;合理推断</x:v>
      </x:c>
    </x:row>
    <x:row r="19">
      <x:c r="A19" s="38" t="str">
        <x:v>BY-CST-P1-003-周明远主播服装</x:v>
      </x:c>
      <x:c r="B19" s="38" t="str">
        <x:v>CST</x:v>
      </x:c>
      <x:c r="C19" s="38" t="str">
        <x:v>周明远主播服装</x:v>
      </x:c>
      <x:c r="D19" s="38" t="str">
        <x:v>P1</x:v>
      </x:c>
      <x:c r="E19" s="38" t="str">
        <x:v>历史停用（V1.2不调用）</x:v>
      </x:c>
      <x:c r="F19" s="38" t="str">
        <x:v>随角色停用</x:v>
      </x:c>
      <x:c r="G19" s="43" t="str">
        <x:v>历史停用</x:v>
      </x:c>
      <x:c r="H19" s="42" t="str">
        <x:v>P1</x:v>
      </x:c>
      <x:c r="I19" s="38" t="str">
        <x:v>不进入V1.3.2生产</x:v>
      </x:c>
      <x:c r="J19" s="38" t="str">
        <x:v>仅保留追溯，不复活旧段落与旧身份</x:v>
      </x:c>
      <x:c r="K19" s="38" t="str">
        <x:v>V1.3.2不调用</x:v>
      </x:c>
      <x:c r="L19" s="38" t="str">
        <x:v>仅审计追溯</x:v>
      </x:c>
      <x:c r="M19" s="38" t="str">
        <x:v>历史V1.1</x:v>
      </x:c>
      <x:c r="N19" s="38" t="str">
        <x:v>创作者建议</x:v>
      </x:c>
    </x:row>
    <x:row r="20">
      <x:c r="A20" s="38" t="str">
        <x:v>BY-CST-P1-004-林知夏记者服装</x:v>
      </x:c>
      <x:c r="B20" s="38" t="str">
        <x:v>CST</x:v>
      </x:c>
      <x:c r="C20" s="38" t="str">
        <x:v>林知夏记者服装</x:v>
      </x:c>
      <x:c r="D20" s="38" t="str">
        <x:v>P1</x:v>
      </x:c>
      <x:c r="E20" s="38" t="str">
        <x:v>已确认</x:v>
      </x:c>
      <x:c r="F20" s="38" t="str">
        <x:v>阶段2A定色后制作</x:v>
      </x:c>
      <x:c r="G20" s="39" t="str">
        <x:v>保留候选</x:v>
      </x:c>
      <x:c r="H20" s="42" t="str">
        <x:v>P1</x:v>
      </x:c>
      <x:c r="I20" s="38" t="str">
        <x:v>独立服装资产</x:v>
      </x:c>
      <x:c r="J20" s="38" t="str">
        <x:v>保留现有服装方向候选，待身份母图与航天器接口确认后锁定</x:v>
      </x:c>
      <x:c r="K20" s="38" t="str">
        <x:v>人物／接口尚未全部闭合</x:v>
      </x:c>
      <x:c r="L20" s="38" t="str">
        <x:v>资产主表</x:v>
      </x:c>
      <x:c r="M20" s="38" t="str">
        <x:v>场8；镜056</x:v>
      </x:c>
      <x:c r="N20" s="38" t="str">
        <x:v>创作者建议</x:v>
      </x:c>
    </x:row>
    <x:row r="21">
      <x:c r="A21" s="38" t="str">
        <x:v>BY-CST-P1-005-孙屹川专家服装</x:v>
      </x:c>
      <x:c r="B21" s="38" t="str">
        <x:v>CST</x:v>
      </x:c>
      <x:c r="C21" s="38" t="str">
        <x:v>孙屹川专家服装</x:v>
      </x:c>
      <x:c r="D21" s="38" t="str">
        <x:v>P1</x:v>
      </x:c>
      <x:c r="E21" s="38" t="str">
        <x:v>历史停用（V1.2不调用）</x:v>
      </x:c>
      <x:c r="F21" s="38" t="str">
        <x:v>随角色停用</x:v>
      </x:c>
      <x:c r="G21" s="43" t="str">
        <x:v>历史停用</x:v>
      </x:c>
      <x:c r="H21" s="42" t="str">
        <x:v>P1</x:v>
      </x:c>
      <x:c r="I21" s="38" t="str">
        <x:v>不进入V1.3.2生产</x:v>
      </x:c>
      <x:c r="J21" s="38" t="str">
        <x:v>仅保留追溯，不复活旧段落与旧身份</x:v>
      </x:c>
      <x:c r="K21" s="38" t="str">
        <x:v>V1.3.2不调用</x:v>
      </x:c>
      <x:c r="L21" s="38" t="str">
        <x:v>仅审计追溯</x:v>
      </x:c>
      <x:c r="M21" s="38" t="str">
        <x:v>历史V1.1</x:v>
      </x:c>
      <x:c r="N21" s="38" t="str">
        <x:v>创作者建议</x:v>
      </x:c>
    </x:row>
    <x:row r="22">
      <x:c r="A22" s="38" t="str">
        <x:v>BY-VOI-P0-001-杨凛声音</x:v>
      </x:c>
      <x:c r="B22" s="38" t="str">
        <x:v>VOI</x:v>
      </x:c>
      <x:c r="C22" s="38" t="str">
        <x:v>杨凛稳定音色</x:v>
      </x:c>
      <x:c r="D22" s="38" t="str">
        <x:v>P0</x:v>
      </x:c>
      <x:c r="E22" s="38" t="str">
        <x:v>已确认</x:v>
      </x:c>
      <x:c r="F22" s="38" t="str">
        <x:v>阶段2声音组首批</x:v>
      </x:c>
      <x:c r="G22" s="39" t="str">
        <x:v>保留</x:v>
      </x:c>
      <x:c r="H22" s="42" t="str">
        <x:v>P0</x:v>
      </x:c>
      <x:c r="I22" s="38" t="str">
        <x:v>独立稳定音色资产</x:v>
      </x:c>
      <x:c r="J22" s="38" t="str">
        <x:v>角色音色独立确认登记；具体对白与通信质感仍随视频同步生成</x:v>
      </x:c>
      <x:c r="K22" s="38" t="str">
        <x:v>跨镜头身份稳定需要</x:v>
      </x:c>
      <x:c r="L22" s="38" t="str">
        <x:v>资产主表</x:v>
      </x:c>
      <x:c r="M22" s="38" t="str">
        <x:v>场1,2,3,4,5,6,7,8,9,10,11,12,13,14,15,16；镜005,009,011,015,019,020,023,025,027,032,036,038,040,044,046,048,050,052,054,061,064,066,069,073,074,076,078,086,087,091,096,101,103,112</x:v>
      </x:c>
      <x:c r="N22" s="38" t="str">
        <x:v>剧本明确;创作者建议</x:v>
      </x:c>
    </x:row>
    <x:row r="23">
      <x:c r="A23" s="38" t="str">
        <x:v>BY-VOI-P0-002-陈砚声音</x:v>
      </x:c>
      <x:c r="B23" s="38" t="str">
        <x:v>VOI</x:v>
      </x:c>
      <x:c r="C23" s="38" t="str">
        <x:v>陈砚稳定音色</x:v>
      </x:c>
      <x:c r="D23" s="38" t="str">
        <x:v>P0</x:v>
      </x:c>
      <x:c r="E23" s="38" t="str">
        <x:v>已确认</x:v>
      </x:c>
      <x:c r="F23" s="38" t="str">
        <x:v>阶段2声音组首批</x:v>
      </x:c>
      <x:c r="G23" s="39" t="str">
        <x:v>保留</x:v>
      </x:c>
      <x:c r="H23" s="42" t="str">
        <x:v>P0</x:v>
      </x:c>
      <x:c r="I23" s="38" t="str">
        <x:v>独立稳定音色资产</x:v>
      </x:c>
      <x:c r="J23" s="38" t="str">
        <x:v>角色音色独立确认登记；具体对白与通信质感仍随视频同步生成</x:v>
      </x:c>
      <x:c r="K23" s="38" t="str">
        <x:v>跨镜头身份稳定需要</x:v>
      </x:c>
      <x:c r="L23" s="38" t="str">
        <x:v>资产主表</x:v>
      </x:c>
      <x:c r="M23" s="38" t="str">
        <x:v>场2,3,5,6,7,8,9,10,11,12,13；镜009,014,017,029,033,038,040,044,048,052,054,058,060,062,066,068,069,071,075,082,089,092</x:v>
      </x:c>
      <x:c r="N23" s="38" t="str">
        <x:v>剧本明确;创作者建议</x:v>
      </x:c>
    </x:row>
    <x:row r="24">
      <x:c r="A24" s="38" t="str">
        <x:v>BY-VOI-P0-003-刘定槎声音</x:v>
      </x:c>
      <x:c r="B24" s="38" t="str">
        <x:v>VOI</x:v>
      </x:c>
      <x:c r="C24" s="38" t="str">
        <x:v>刘定槎稳定音色</x:v>
      </x:c>
      <x:c r="D24" s="38" t="str">
        <x:v>P0</x:v>
      </x:c>
      <x:c r="E24" s="38" t="str">
        <x:v>已确认</x:v>
      </x:c>
      <x:c r="F24" s="38" t="str">
        <x:v>阶段2声音组首批</x:v>
      </x:c>
      <x:c r="G24" s="41" t="str">
        <x:v>修订</x:v>
      </x:c>
      <x:c r="H24" s="42" t="str">
        <x:v>P0</x:v>
      </x:c>
      <x:c r="I24" s="38" t="str">
        <x:v>独立稳定音色资产</x:v>
      </x:c>
      <x:c r="J24" s="38" t="str">
        <x:v>人物年龄重做后复核音色年龄感，避免面声错龄</x:v>
      </x:c>
      <x:c r="K24" s="38" t="str">
        <x:v>人物年龄改版影响声音绑定</x:v>
      </x:c>
      <x:c r="L24" s="38" t="str">
        <x:v>资产主表</x:v>
      </x:c>
      <x:c r="M24" s="38" t="str">
        <x:v>场1,2,3,4,9,11,12,13,14,15；镜004,007,011,013,015,016,018,019,020,063,079,081,084,085,086,087,089,090,092,098,102,108</x:v>
      </x:c>
      <x:c r="N24" s="38" t="str">
        <x:v>剧本明确;创作者建议</x:v>
      </x:c>
    </x:row>
    <x:row r="25">
      <x:c r="A25" s="38" t="str">
        <x:v>BY-VOI-P1-001-周明远声音</x:v>
      </x:c>
      <x:c r="B25" s="38" t="str">
        <x:v>VOI</x:v>
      </x:c>
      <x:c r="C25" s="38" t="str">
        <x:v>周明远稳定音色</x:v>
      </x:c>
      <x:c r="D25" s="38" t="str">
        <x:v>P1</x:v>
      </x:c>
      <x:c r="E25" s="38" t="str">
        <x:v>历史停用（V1.2不调用）</x:v>
      </x:c>
      <x:c r="F25" s="38" t="str">
        <x:v>随角色停用</x:v>
      </x:c>
      <x:c r="G25" s="43" t="str">
        <x:v>历史停用</x:v>
      </x:c>
      <x:c r="H25" s="42" t="str">
        <x:v>P1</x:v>
      </x:c>
      <x:c r="I25" s="38" t="str">
        <x:v>不进入V1.3.2生产</x:v>
      </x:c>
      <x:c r="J25" s="38" t="str">
        <x:v>仅保留追溯，不复活旧段落与旧身份</x:v>
      </x:c>
      <x:c r="K25" s="38" t="str">
        <x:v>V1.3.2不调用</x:v>
      </x:c>
      <x:c r="L25" s="38" t="str">
        <x:v>仅审计追溯</x:v>
      </x:c>
      <x:c r="M25" s="38" t="str">
        <x:v>历史V1.1</x:v>
      </x:c>
      <x:c r="N25" s="38" t="str">
        <x:v>剧本明确;创作者建议</x:v>
      </x:c>
    </x:row>
    <x:row r="26">
      <x:c r="A26" s="38" t="str">
        <x:v>BY-VOI-P1-002-林知夏声音</x:v>
      </x:c>
      <x:c r="B26" s="38" t="str">
        <x:v>VOI</x:v>
      </x:c>
      <x:c r="C26" s="38" t="str">
        <x:v>林知夏稳定音色</x:v>
      </x:c>
      <x:c r="D26" s="38" t="str">
        <x:v>P1</x:v>
      </x:c>
      <x:c r="E26" s="38" t="str">
        <x:v>已确认</x:v>
      </x:c>
      <x:c r="F26" s="38" t="str">
        <x:v>新闻声音包</x:v>
      </x:c>
      <x:c r="G26" s="39" t="str">
        <x:v>保留</x:v>
      </x:c>
      <x:c r="H26" s="42" t="str">
        <x:v>P1</x:v>
      </x:c>
      <x:c r="I26" s="38" t="str">
        <x:v>独立稳定音色资产</x:v>
      </x:c>
      <x:c r="J26" s="38" t="str">
        <x:v>角色音色独立确认登记；具体对白与通信质感仍随视频同步生成</x:v>
      </x:c>
      <x:c r="K26" s="38" t="str">
        <x:v>跨镜头身份稳定需要</x:v>
      </x:c>
      <x:c r="L26" s="38" t="str">
        <x:v>资产主表</x:v>
      </x:c>
      <x:c r="M26" s="38" t="str">
        <x:v>场1,6,8,15；镜002,042,056,105</x:v>
      </x:c>
      <x:c r="N26" s="38" t="str">
        <x:v>剧本明确;创作者建议</x:v>
      </x:c>
    </x:row>
    <x:row r="27">
      <x:c r="A27" s="38" t="str">
        <x:v>BY-VOI-P1-003-孙屹川声音</x:v>
      </x:c>
      <x:c r="B27" s="38" t="str">
        <x:v>VOI</x:v>
      </x:c>
      <x:c r="C27" s="38" t="str">
        <x:v>孙屹川稳定音色</x:v>
      </x:c>
      <x:c r="D27" s="38" t="str">
        <x:v>P1</x:v>
      </x:c>
      <x:c r="E27" s="38" t="str">
        <x:v>历史停用（V1.2不调用）</x:v>
      </x:c>
      <x:c r="F27" s="38" t="str">
        <x:v>随角色停用</x:v>
      </x:c>
      <x:c r="G27" s="43" t="str">
        <x:v>历史停用</x:v>
      </x:c>
      <x:c r="H27" s="42" t="str">
        <x:v>P1</x:v>
      </x:c>
      <x:c r="I27" s="38" t="str">
        <x:v>不进入V1.3.2生产</x:v>
      </x:c>
      <x:c r="J27" s="38" t="str">
        <x:v>仅保留追溯，不复活旧段落与旧身份</x:v>
      </x:c>
      <x:c r="K27" s="38" t="str">
        <x:v>V1.3.2不调用</x:v>
      </x:c>
      <x:c r="L27" s="38" t="str">
        <x:v>仅审计追溯</x:v>
      </x:c>
      <x:c r="M27" s="38" t="str">
        <x:v>历史V1.1</x:v>
      </x:c>
      <x:c r="N27" s="38" t="str">
        <x:v>剧本明确;创作者建议</x:v>
      </x:c>
    </x:row>
    <x:row r="28">
      <x:c r="A28" s="38" t="str">
        <x:v>BY-VOI-P1-004-北京飞控主调度声音</x:v>
      </x:c>
      <x:c r="B28" s="38" t="str">
        <x:v>VOI</x:v>
      </x:c>
      <x:c r="C28" s="38" t="str">
        <x:v>北京飞控主调度稳定音色</x:v>
      </x:c>
      <x:c r="D28" s="38" t="str">
        <x:v>P1</x:v>
      </x:c>
      <x:c r="E28" s="38" t="str">
        <x:v>已确认</x:v>
      </x:c>
      <x:c r="F28" s="38" t="str">
        <x:v>阶段2声音组</x:v>
      </x:c>
      <x:c r="G28" s="39" t="str">
        <x:v>保留</x:v>
      </x:c>
      <x:c r="H28" s="42" t="str">
        <x:v>P1</x:v>
      </x:c>
      <x:c r="I28" s="38" t="str">
        <x:v>独立稳定音色资产</x:v>
      </x:c>
      <x:c r="J28" s="38" t="str">
        <x:v>角色音色独立确认登记；具体对白与通信质感仍随视频同步生成</x:v>
      </x:c>
      <x:c r="K28" s="38" t="str">
        <x:v>跨镜头身份稳定需要</x:v>
      </x:c>
      <x:c r="L28" s="38" t="str">
        <x:v>资产主表</x:v>
      </x:c>
      <x:c r="M28" s="38" t="str">
        <x:v>场1,2,4,5,6,7,8,9,10,12,13,14,15,16；镜003,005,006,010,012,021,023,024,026,028,031,036,041,045,050,051,053,057,064,065,067,072,073,080,083,088,093,095,097,102,104,106,108,113</x:v>
      </x:c>
      <x:c r="N28" s="38" t="str">
        <x:v>剧本明确;创作者建议</x:v>
      </x:c>
    </x:row>
    <x:row r="29">
      <x:c r="A29" s="38" t="str">
        <x:v>BY-SCN-P1-001-未来新闻演播室</x:v>
      </x:c>
      <x:c r="B29" s="38" t="str">
        <x:v>SCN</x:v>
      </x:c>
      <x:c r="C29" s="38" t="str">
        <x:v>未来新闻演播室</x:v>
      </x:c>
      <x:c r="D29" s="38" t="str">
        <x:v>P1</x:v>
      </x:c>
      <x:c r="E29" s="38" t="str">
        <x:v>历史停用（V1.2不调用）</x:v>
      </x:c>
      <x:c r="F29" s="38" t="str">
        <x:v>V1.2不使用演播室</x:v>
      </x:c>
      <x:c r="G29" s="43" t="str">
        <x:v>历史停用</x:v>
      </x:c>
      <x:c r="H29" s="42" t="str">
        <x:v>P1</x:v>
      </x:c>
      <x:c r="I29" s="38" t="str">
        <x:v>不进入V1.3.2生产</x:v>
      </x:c>
      <x:c r="J29" s="38" t="str">
        <x:v>仅保留追溯，不复活旧段落与旧身份</x:v>
      </x:c>
      <x:c r="K29" s="38" t="str">
        <x:v>V1.3.2不调用</x:v>
      </x:c>
      <x:c r="L29" s="38" t="str">
        <x:v>仅审计追溯</x:v>
      </x:c>
      <x:c r="M29" s="38" t="str">
        <x:v>历史V1.1</x:v>
      </x:c>
      <x:c r="N29" s="38" t="str">
        <x:v>剧本明确;创作者建议</x:v>
      </x:c>
    </x:row>
    <x:row r="30">
      <x:c r="A30" s="38" t="str">
        <x:v>BY-SCN-P1-002-文昌发射场夜景</x:v>
      </x:c>
      <x:c r="B30" s="38" t="str">
        <x:v>SCN</x:v>
      </x:c>
      <x:c r="C30" s="38" t="str">
        <x:v>文昌发射场夜景</x:v>
      </x:c>
      <x:c r="D30" s="38" t="str">
        <x:v>P1</x:v>
      </x:c>
      <x:c r="E30" s="38" t="str">
        <x:v>历史停用（V1.2不调用）</x:v>
      </x:c>
      <x:c r="F30" s="38" t="str">
        <x:v>V1.2从月轨相遇起片，不含发射</x:v>
      </x:c>
      <x:c r="G30" s="43" t="str">
        <x:v>历史停用</x:v>
      </x:c>
      <x:c r="H30" s="42" t="str">
        <x:v>P1</x:v>
      </x:c>
      <x:c r="I30" s="38" t="str">
        <x:v>不进入V1.3.2生产</x:v>
      </x:c>
      <x:c r="J30" s="38" t="str">
        <x:v>仅保留追溯，不复活旧段落与旧身份</x:v>
      </x:c>
      <x:c r="K30" s="38" t="str">
        <x:v>V1.3.2不调用</x:v>
      </x:c>
      <x:c r="L30" s="38" t="str">
        <x:v>仅审计追溯</x:v>
      </x:c>
      <x:c r="M30" s="38" t="str">
        <x:v>历史V1.1</x:v>
      </x:c>
      <x:c r="N30" s="38" t="str">
        <x:v>剧本明确;公开资料;创作者建议</x:v>
      </x:c>
    </x:row>
    <x:row r="31">
      <x:c r="A31" s="38" t="str">
        <x:v>BY-SCN-P1-003-飞控中心媒体区</x:v>
      </x:c>
      <x:c r="B31" s="38" t="str">
        <x:v>SCN</x:v>
      </x:c>
      <x:c r="C31" s="38" t="str">
        <x:v>飞控中心媒体区</x:v>
      </x:c>
      <x:c r="D31" s="38" t="str">
        <x:v>P1</x:v>
      </x:c>
      <x:c r="E31" s="38" t="str">
        <x:v>已确认</x:v>
      </x:c>
      <x:c r="F31" s="38" t="str">
        <x:v>新闻支持资产包</x:v>
      </x:c>
      <x:c r="G31" s="40" t="str">
        <x:v>强制重做</x:v>
      </x:c>
      <x:c r="H31" s="42" t="str">
        <x:v>P1</x:v>
      </x:c>
      <x:c r="I31" s="38" t="str">
        <x:v>独立空间／道具资产</x:v>
      </x:c>
      <x:c r="J31" s="38" t="str">
        <x:v>屏幕信息架构、席位职责、人员数量与调度全部从零复核；不得沿用旧图的岗位标签与站位</x:v>
      </x:c>
      <x:c r="K31" s="38" t="str">
        <x:v>用户明确要求屏幕、席位职责和人员调度必须重做</x:v>
      </x:c>
      <x:c r="L31" s="38" t="str">
        <x:v>资产主表</x:v>
      </x:c>
      <x:c r="M31" s="38" t="str">
        <x:v>场8；镜056</x:v>
      </x:c>
      <x:c r="N31" s="38" t="str">
        <x:v>剧本明确;创作者建议</x:v>
      </x:c>
    </x:row>
    <x:row r="32">
      <x:c r="A32" s="38" t="str">
        <x:v>BY-SCN-P0-001-梦舟舱内三座布局</x:v>
      </x:c>
      <x:c r="B32" s="38" t="str">
        <x:v>SCN</x:v>
      </x:c>
      <x:c r="C32" s="38" t="str">
        <x:v>梦舟返回舱三座承力区与四种乘员状态</x:v>
      </x:c>
      <x:c r="D32" s="38" t="str">
        <x:v>P0</x:v>
      </x:c>
      <x:c r="E32" s="38" t="str">
        <x:v>已确认</x:v>
      </x:c>
      <x:c r="F32" s="38" t="str">
        <x:v>阶段2B优先生成母资产与四状态对照板</x:v>
      </x:c>
      <x:c r="G32" s="40" t="str">
        <x:v>重做</x:v>
      </x:c>
      <x:c r="H32" s="42" t="str">
        <x:v>P0</x:v>
      </x:c>
      <x:c r="I32" s="38" t="str">
        <x:v>独立场景母资产</x:v>
      </x:c>
      <x:c r="J32" s="38" t="str">
        <x:v>重建可使用空间、座椅／舱门／设备接口与真实通行动线；屏幕先无字，信息层后置</x:v>
      </x:c>
      <x:c r="K32" s="38" t="str">
        <x:v>Crowley工程空间方法＋V1.3.2任务状态变化</x:v>
      </x:c>
      <x:c r="L32" s="38" t="str">
        <x:v>资产主表</x:v>
      </x:c>
      <x:c r="M32" s="38" t="str">
        <x:v>第1—3、5、11、14—15场</x:v>
      </x:c>
      <x:c r="N32" s="38" t="str">
        <x:v>剧本明确;创作者建议</x:v>
      </x:c>
    </x:row>
    <x:row r="33">
      <x:c r="A33" s="38" t="str">
        <x:v>BY-SCN-P0-002-梦舟对接通道与舱门区</x:v>
      </x:c>
      <x:c r="B33" s="38" t="str">
        <x:v>SCN</x:v>
      </x:c>
      <x:c r="C33" s="38" t="str">
        <x:v>梦舟—揽月轴向对接转移通道</x:v>
      </x:c>
      <x:c r="D33" s="38" t="str">
        <x:v>P0</x:v>
      </x:c>
      <x:c r="E33" s="38" t="str">
        <x:v>已确认</x:v>
      </x:c>
      <x:c r="F33" s="38" t="str">
        <x:v>作为独立场景母图验证，不与梦舟三座母图合并</x:v>
      </x:c>
      <x:c r="G33" s="40" t="str">
        <x:v>重做</x:v>
      </x:c>
      <x:c r="H33" s="42" t="str">
        <x:v>P0</x:v>
      </x:c>
      <x:c r="I33" s="38" t="str">
        <x:v>独立场景母资产</x:v>
      </x:c>
      <x:c r="J33" s="38" t="str">
        <x:v>重建可使用空间、座椅／舱门／设备接口与真实通行动线；屏幕先无字，信息层后置</x:v>
      </x:c>
      <x:c r="K33" s="38" t="str">
        <x:v>Crowley工程空间方法＋V1.3.2任务状态变化</x:v>
      </x:c>
      <x:c r="L33" s="38" t="str">
        <x:v>资产主表</x:v>
      </x:c>
      <x:c r="M33" s="38" t="str">
        <x:v>场3,13；镜013,014,016,018,019,089,092</x:v>
      </x:c>
      <x:c r="N33" s="38" t="str">
        <x:v>剧本明确;创作者建议</x:v>
      </x:c>
    </x:row>
    <x:row r="34">
      <x:c r="A34" s="38" t="str">
        <x:v>BY-SCN-P0-003-揽月登月舱舱内</x:v>
      </x:c>
      <x:c r="B34" s="38" t="str">
        <x:v>SCN</x:v>
      </x:c>
      <x:c r="C34" s="38" t="str">
        <x:v>揽月登月舱舱内</x:v>
      </x:c>
      <x:c r="D34" s="38" t="str">
        <x:v>P0</x:v>
      </x:c>
      <x:c r="E34" s="38" t="str">
        <x:v>已确认</x:v>
      </x:c>
      <x:c r="F34" s="38" t="str">
        <x:v>按V1.2状态链复核原设计，再做必要视图</x:v>
      </x:c>
      <x:c r="G34" s="40" t="str">
        <x:v>重做</x:v>
      </x:c>
      <x:c r="H34" s="42" t="str">
        <x:v>P0</x:v>
      </x:c>
      <x:c r="I34" s="38" t="str">
        <x:v>独立场景母资产</x:v>
      </x:c>
      <x:c r="J34" s="38" t="str">
        <x:v>重建可使用空间、座椅／舱门／设备接口与真实通行动线；屏幕先无字，信息层后置</x:v>
      </x:c>
      <x:c r="K34" s="38" t="str">
        <x:v>Crowley工程空间方法＋V1.3.2任务状态变化</x:v>
      </x:c>
      <x:c r="L34" s="38" t="str">
        <x:v>资产主表</x:v>
      </x:c>
      <x:c r="M34" s="38" t="str">
        <x:v>场2,3,4,5,6,7,10,11,12；镜009,011,017,019,023,029,032,036,038,040,043,044,045,046,069,070,071,073,076,082</x:v>
      </x:c>
      <x:c r="N34" s="38" t="str">
        <x:v>剧本明确;公开资料;创作者建议</x:v>
      </x:c>
    </x:row>
    <x:row r="35">
      <x:c r="A35" s="38" t="str">
        <x:v>BY-SCN-P1-004-北京飞控中心大厅</x:v>
      </x:c>
      <x:c r="B35" s="38" t="str">
        <x:v>SCN</x:v>
      </x:c>
      <x:c r="C35" s="38" t="str">
        <x:v>北京飞控中心大厅</x:v>
      </x:c>
      <x:c r="D35" s="38" t="str">
        <x:v>P1</x:v>
      </x:c>
      <x:c r="E35" s="38" t="str">
        <x:v>历史停用（V1.2不调用）</x:v>
      </x:c>
      <x:c r="F35" s="38" t="str">
        <x:v>由P0新资产BY-SCN-P0-006替代</x:v>
      </x:c>
      <x:c r="G35" s="43" t="str">
        <x:v>历史停用</x:v>
      </x:c>
      <x:c r="H35" s="42" t="str">
        <x:v>P1</x:v>
      </x:c>
      <x:c r="I35" s="38" t="str">
        <x:v>不进入V1.3.2生产</x:v>
      </x:c>
      <x:c r="J35" s="38" t="str">
        <x:v>仅保留追溯，不复活旧段落与旧身份</x:v>
      </x:c>
      <x:c r="K35" s="38" t="str">
        <x:v>V1.3.2不调用</x:v>
      </x:c>
      <x:c r="L35" s="38" t="str">
        <x:v>仅审计追溯</x:v>
      </x:c>
      <x:c r="M35" s="38" t="str">
        <x:v>历史V1.1</x:v>
      </x:c>
      <x:c r="N35" s="38" t="str">
        <x:v>剧本明确;创作者建议</x:v>
      </x:c>
    </x:row>
    <x:row r="36">
      <x:c r="A36" s="38" t="str">
        <x:v>BY-SCN-P0-004-月面着陆与作业区</x:v>
      </x:c>
      <x:c r="B36" s="38" t="str">
        <x:v>SCN</x:v>
      </x:c>
      <x:c r="C36" s="38" t="str">
        <x:v>月面着陆与作业区</x:v>
      </x:c>
      <x:c r="D36" s="38" t="str">
        <x:v>P0</x:v>
      </x:c>
      <x:c r="E36" s="38" t="str">
        <x:v>已确认</x:v>
      </x:c>
      <x:c r="F36" s="38" t="str">
        <x:v>旧母图只作构型候选；以艺术化光照口径重新校准MASTER</x:v>
      </x:c>
      <x:c r="G36" s="41" t="str">
        <x:v>修订</x:v>
      </x:c>
      <x:c r="H36" s="42" t="str">
        <x:v>P0</x:v>
      </x:c>
      <x:c r="I36" s="38" t="str">
        <x:v>独立场景母资产＋光照控制</x:v>
      </x:c>
      <x:c r="J36" s="38" t="str">
        <x:v>地貌空间可作为候选；废止艺术化225°／22°固定值，按2029-04-22具体UTC复算低太阳高度硬光与长阴影</x:v>
      </x:c>
      <x:c r="K36" s="38" t="str">
        <x:v>新时间线已锁定日期，精确太阳几何待UTC闭合</x:v>
      </x:c>
      <x:c r="L36" s="38" t="str">
        <x:v>资产主表</x:v>
      </x:c>
      <x:c r="M36" s="38" t="str">
        <x:v>场5,6,7,8,9,10,11；镜027,030,032,033,034,037,038,039,042,047,048,049,050,051,052,053,054,055,056,057,058,059,060,061,062,064,066,067,068,069,074,075</x:v>
      </x:c>
      <x:c r="N36" s="38" t="str">
        <x:v>剧本明确;科学约束;创作者建议</x:v>
      </x:c>
    </x:row>
    <x:row r="37">
      <x:c r="A37" s="38" t="str">
        <x:v>BY-SCN-P1-005-月面后段科考区</x:v>
      </x:c>
      <x:c r="B37" s="38" t="str">
        <x:v>SCN</x:v>
      </x:c>
      <x:c r="C37" s="38" t="str">
        <x:v>月面科学任务路线与采样点</x:v>
      </x:c>
      <x:c r="D37" s="38" t="str">
        <x:v>P1</x:v>
      </x:c>
      <x:c r="E37" s="38" t="str">
        <x:v>已确认</x:v>
      </x:c>
      <x:c r="F37" s="38" t="str">
        <x:v>与月面MASTER共用光向和地质材料，不另造独立天体环境</x:v>
      </x:c>
      <x:c r="G37" s="41" t="str">
        <x:v>修订</x:v>
      </x:c>
      <x:c r="H37" s="42" t="str">
        <x:v>P1</x:v>
      </x:c>
      <x:c r="I37" s="38" t="str">
        <x:v>独立场景母资产＋光照控制</x:v>
      </x:c>
      <x:c r="J37" s="38" t="str">
        <x:v>地貌空间可作为候选；废止艺术化225°／22°固定值，按2029-04-22具体UTC复算低太阳高度硬光与长阴影</x:v>
      </x:c>
      <x:c r="K37" s="38" t="str">
        <x:v>新时间线已锁定日期，精确太阳几何待UTC闭合</x:v>
      </x:c>
      <x:c r="L37" s="38" t="str">
        <x:v>资产主表</x:v>
      </x:c>
      <x:c r="M37" s="38" t="str">
        <x:v>场9；镜058,059,060,061,062,064,066,067</x:v>
      </x:c>
      <x:c r="N37" s="38" t="str">
        <x:v>剧本明确;创作者建议</x:v>
      </x:c>
    </x:row>
    <x:row r="38">
      <x:c r="A38" s="38" t="str">
        <x:v>BY-SCN-P1-006-环月轨道外部环境</x:v>
      </x:c>
      <x:c r="B38" s="38" t="str">
        <x:v>SCN</x:v>
      </x:c>
      <x:c r="C38" s="38" t="str">
        <x:v>环月轨道外部环境</x:v>
      </x:c>
      <x:c r="D38" s="38" t="str">
        <x:v>P1</x:v>
      </x:c>
      <x:c r="E38" s="38" t="str">
        <x:v>已确认</x:v>
      </x:c>
      <x:c r="F38" s="38" t="str">
        <x:v>轨道视觉重建包</x:v>
      </x:c>
      <x:c r="G38" s="39" t="str">
        <x:v>保留候选</x:v>
      </x:c>
      <x:c r="H38" s="42" t="str">
        <x:v>P1</x:v>
      </x:c>
      <x:c r="I38" s="38" t="str">
        <x:v>独立资产</x:v>
      </x:c>
      <x:c r="J38" s="38" t="str">
        <x:v>保留为V1.3.2候选；按新构型、屏幕、光照与顾问结论做继承检查</x:v>
      </x:c>
      <x:c r="K38" s="38" t="str">
        <x:v>未触发强制退出或重做规则</x:v>
      </x:c>
      <x:c r="L38" s="38" t="str">
        <x:v>资产主表</x:v>
      </x:c>
      <x:c r="M38" s="38" t="str">
        <x:v>场1,2,4,11,12,13,14；镜002,008,010,011,020,021,024,025,078,084,085,087,093,095,096,098</x:v>
      </x:c>
      <x:c r="N38" s="38" t="str">
        <x:v>剧本明确;科学约束</x:v>
      </x:c>
    </x:row>
    <x:row r="39">
      <x:c r="A39" s="38" t="str">
        <x:v>BY-LGT-P1-001-演播室中性直播光</x:v>
      </x:c>
      <x:c r="B39" s="38" t="str">
        <x:v>LGT</x:v>
      </x:c>
      <x:c r="C39" s="38" t="str">
        <x:v>演播室中性直播光</x:v>
      </x:c>
      <x:c r="D39" s="38" t="str">
        <x:v>P1</x:v>
      </x:c>
      <x:c r="E39" s="38" t="str">
        <x:v>历史停用（V1.2不调用）</x:v>
      </x:c>
      <x:c r="F39" s="38" t="str">
        <x:v>随演播室停用</x:v>
      </x:c>
      <x:c r="G39" s="43" t="str">
        <x:v>历史停用</x:v>
      </x:c>
      <x:c r="H39" s="42" t="str">
        <x:v>P1</x:v>
      </x:c>
      <x:c r="I39" s="38" t="str">
        <x:v>不进入V1.3.2生产</x:v>
      </x:c>
      <x:c r="J39" s="38" t="str">
        <x:v>仅保留追溯，不复活旧段落与旧身份</x:v>
      </x:c>
      <x:c r="K39" s="38" t="str">
        <x:v>V1.3.2不调用</x:v>
      </x:c>
      <x:c r="L39" s="38" t="str">
        <x:v>仅审计追溯</x:v>
      </x:c>
      <x:c r="M39" s="38" t="str">
        <x:v>历史V1.1</x:v>
      </x:c>
      <x:c r="N39" s="38" t="str">
        <x:v>创作者建议</x:v>
      </x:c>
    </x:row>
    <x:row r="40">
      <x:c r="A40" s="38" t="str">
        <x:v>BY-LGT-P1-002-文昌夜间发射光</x:v>
      </x:c>
      <x:c r="B40" s="38" t="str">
        <x:v>LGT</x:v>
      </x:c>
      <x:c r="C40" s="38" t="str">
        <x:v>文昌夜间发射光</x:v>
      </x:c>
      <x:c r="D40" s="38" t="str">
        <x:v>P1</x:v>
      </x:c>
      <x:c r="E40" s="38" t="str">
        <x:v>历史停用（V1.2不调用）</x:v>
      </x:c>
      <x:c r="F40" s="38" t="str">
        <x:v>随发射场停用</x:v>
      </x:c>
      <x:c r="G40" s="43" t="str">
        <x:v>历史停用</x:v>
      </x:c>
      <x:c r="H40" s="42" t="str">
        <x:v>P1</x:v>
      </x:c>
      <x:c r="I40" s="38" t="str">
        <x:v>不进入V1.3.2生产</x:v>
      </x:c>
      <x:c r="J40" s="38" t="str">
        <x:v>仅保留追溯，不复活旧段落与旧身份</x:v>
      </x:c>
      <x:c r="K40" s="38" t="str">
        <x:v>V1.3.2不调用</x:v>
      </x:c>
      <x:c r="L40" s="38" t="str">
        <x:v>仅审计追溯</x:v>
      </x:c>
      <x:c r="M40" s="38" t="str">
        <x:v>历史V1.1</x:v>
      </x:c>
      <x:c r="N40" s="38" t="str">
        <x:v>剧本明确;科学约束</x:v>
      </x:c>
    </x:row>
    <x:row r="41">
      <x:c r="A41" s="38" t="str">
        <x:v>BY-LGT-P0-001-梦舟舱内任务光</x:v>
      </x:c>
      <x:c r="B41" s="38" t="str">
        <x:v>LGT</x:v>
      </x:c>
      <x:c r="C41" s="38" t="str">
        <x:v>梦舟舱内任务光</x:v>
      </x:c>
      <x:c r="D41" s="38" t="str">
        <x:v>P0</x:v>
      </x:c>
      <x:c r="E41" s="38" t="str">
        <x:v>已确认</x:v>
      </x:c>
      <x:c r="F41" s="38" t="str">
        <x:v>梦舟场景母图先锁定</x:v>
      </x:c>
      <x:c r="G41" s="41" t="str">
        <x:v>转为控制项</x:v>
      </x:c>
      <x:c r="H41" s="42" t="str">
        <x:v>P0</x:v>
      </x:c>
      <x:c r="I41" s="38" t="str">
        <x:v>灯光控制卡＋逐镜Prompt</x:v>
      </x:c>
      <x:c r="J41" s="38" t="str">
        <x:v>不按单张资产生产；作为母资产继承规则与逐镜验收条件</x:v>
      </x:c>
      <x:c r="K41" s="38" t="str">
        <x:v>本质是生成约束或关系，不是稳定独立对象</x:v>
      </x:c>
      <x:c r="L41" s="38" t="str">
        <x:v>Prompt控制项</x:v>
      </x:c>
      <x:c r="M41" s="38" t="str">
        <x:v>场1,2,3,9,11,12,13,14,15；镜004,007,015,018,063,079,081,090,094,101,103</x:v>
      </x:c>
      <x:c r="N41" s="38" t="str">
        <x:v>剧本明确;创作者建议</x:v>
      </x:c>
    </x:row>
    <x:row r="42">
      <x:c r="A42" s="38" t="str">
        <x:v>BY-LGT-P0-002-揽月下降任务光</x:v>
      </x:c>
      <x:c r="B42" s="38" t="str">
        <x:v>LGT</x:v>
      </x:c>
      <x:c r="C42" s="38" t="str">
        <x:v>揽月下降任务光</x:v>
      </x:c>
      <x:c r="D42" s="38" t="str">
        <x:v>P0</x:v>
      </x:c>
      <x:c r="E42" s="38" t="str">
        <x:v>已确认</x:v>
      </x:c>
      <x:c r="F42" s="38" t="str">
        <x:v>揽月场景母图先锁定</x:v>
      </x:c>
      <x:c r="G42" s="41" t="str">
        <x:v>转为控制项</x:v>
      </x:c>
      <x:c r="H42" s="42" t="str">
        <x:v>P0</x:v>
      </x:c>
      <x:c r="I42" s="38" t="str">
        <x:v>灯光控制卡＋逐镜Prompt</x:v>
      </x:c>
      <x:c r="J42" s="38" t="str">
        <x:v>不按单张资产生产；作为母资产继承规则与逐镜验收条件</x:v>
      </x:c>
      <x:c r="K42" s="38" t="str">
        <x:v>本质是生成约束或关系，不是稳定独立对象</x:v>
      </x:c>
      <x:c r="L42" s="38" t="str">
        <x:v>Prompt控制项</x:v>
      </x:c>
      <x:c r="M42" s="38" t="str">
        <x:v>场2,3,4,5,6,7,10,11,12；镜009,011,017,019,023,029,032,036,038,040,043,044,045,046,069,070,071,073,076,082</x:v>
      </x:c>
      <x:c r="N42" s="38" t="str">
        <x:v>剧本明确;创作者建议</x:v>
      </x:c>
    </x:row>
    <x:row r="43">
      <x:c r="A43" s="38" t="str">
        <x:v>BY-LGT-P1-003-飞控大厅任务光</x:v>
      </x:c>
      <x:c r="B43" s="38" t="str">
        <x:v>LGT</x:v>
      </x:c>
      <x:c r="C43" s="38" t="str">
        <x:v>飞控大厅任务光</x:v>
      </x:c>
      <x:c r="D43" s="38" t="str">
        <x:v>P1</x:v>
      </x:c>
      <x:c r="E43" s="38" t="str">
        <x:v>已确认采用</x:v>
      </x:c>
      <x:c r="F43" s="38" t="str">
        <x:v>关联新P0北京飞控大厅资产</x:v>
      </x:c>
      <x:c r="G43" s="41" t="str">
        <x:v>转为控制项</x:v>
      </x:c>
      <x:c r="H43" s="42" t="str">
        <x:v>P1</x:v>
      </x:c>
      <x:c r="I43" s="38" t="str">
        <x:v>灯光控制卡＋逐镜Prompt</x:v>
      </x:c>
      <x:c r="J43" s="38" t="str">
        <x:v>不按单张资产生产；作为母资产继承规则与逐镜验收条件</x:v>
      </x:c>
      <x:c r="K43" s="38" t="str">
        <x:v>本质是生成约束或关系，不是稳定独立对象</x:v>
      </x:c>
      <x:c r="L43" s="38" t="str">
        <x:v>Prompt控制项</x:v>
      </x:c>
      <x:c r="M43" s="38" t="str">
        <x:v>场2,4,5,6,8,10,11,12,14,15,16；镜006,012,022,028,031,035,041,053,072,077,083,088,097,104,107,113</x:v>
      </x:c>
      <x:c r="N43" s="38" t="str">
        <x:v>剧本明确;创作者建议</x:v>
      </x:c>
    </x:row>
    <x:row r="44">
      <x:c r="A44" s="38" t="str">
        <x:v>BY-LGT-P0-003-月面固定太阳光</x:v>
      </x:c>
      <x:c r="B44" s="38" t="str">
        <x:v>LGT</x:v>
      </x:c>
      <x:c r="C44" s="38" t="str">
        <x:v>月面固定太阳光</x:v>
      </x:c>
      <x:c r="D44" s="38" t="str">
        <x:v>P0</x:v>
      </x:c>
      <x:c r="E44" s="38" t="str">
        <x:v>历史停用（V1.2不调用）</x:v>
      </x:c>
      <x:c r="F44" s="38" t="str">
        <x:v>由明确承担天文偏差的BY-LGT-P0-004替代</x:v>
      </x:c>
      <x:c r="G44" s="43" t="str">
        <x:v>历史停用</x:v>
      </x:c>
      <x:c r="H44" s="42" t="str">
        <x:v>P0</x:v>
      </x:c>
      <x:c r="I44" s="38" t="str">
        <x:v>不进入V1.3.2生产</x:v>
      </x:c>
      <x:c r="J44" s="38" t="str">
        <x:v>仅保留追溯，不复活旧段落与旧身份</x:v>
      </x:c>
      <x:c r="K44" s="38" t="str">
        <x:v>V1.3.2不调用</x:v>
      </x:c>
      <x:c r="L44" s="38" t="str">
        <x:v>仅审计追溯</x:v>
      </x:c>
      <x:c r="M44" s="38" t="str">
        <x:v>历史V1.1</x:v>
      </x:c>
      <x:c r="N44" s="38" t="str">
        <x:v>项目锁定;科学约束</x:v>
      </x:c>
    </x:row>
    <x:row r="45">
      <x:c r="A45" s="38" t="str">
        <x:v>BY-LGT-P1-004-环月轨道太阳光</x:v>
      </x:c>
      <x:c r="B45" s="38" t="str">
        <x:v>LGT</x:v>
      </x:c>
      <x:c r="C45" s="38" t="str">
        <x:v>环月轨道太阳光</x:v>
      </x:c>
      <x:c r="D45" s="38" t="str">
        <x:v>P1</x:v>
      </x:c>
      <x:c r="E45" s="38" t="str">
        <x:v>已确认采用</x:v>
      </x:c>
      <x:c r="F45" s="38" t="str">
        <x:v>轨道视觉重建包</x:v>
      </x:c>
      <x:c r="G45" s="41" t="str">
        <x:v>转为控制项</x:v>
      </x:c>
      <x:c r="H45" s="42" t="str">
        <x:v>P1</x:v>
      </x:c>
      <x:c r="I45" s="38" t="str">
        <x:v>灯光控制卡＋逐镜Prompt</x:v>
      </x:c>
      <x:c r="J45" s="38" t="str">
        <x:v>不按单张资产生产；作为母资产继承规则与逐镜验收条件</x:v>
      </x:c>
      <x:c r="K45" s="38" t="str">
        <x:v>本质是生成约束或关系，不是稳定独立对象</x:v>
      </x:c>
      <x:c r="L45" s="38" t="str">
        <x:v>Prompt控制项</x:v>
      </x:c>
      <x:c r="M45" s="38" t="str">
        <x:v>场1,2,4,11,12,13,14；镜002,008,010,011,020,021,024,025,078,084,085,087,093,095,096,098</x:v>
      </x:c>
      <x:c r="N45" s="38" t="str">
        <x:v>科学约束</x:v>
      </x:c>
    </x:row>
    <x:row r="46">
      <x:c r="A46" s="38" t="str">
        <x:v>BY-LGT-P1-005-揽月开舱门月面反射</x:v>
      </x:c>
      <x:c r="B46" s="38" t="str">
        <x:v>LGT</x:v>
      </x:c>
      <x:c r="C46" s="38" t="str">
        <x:v>揽月开舱门月面反射</x:v>
      </x:c>
      <x:c r="D46" s="38" t="str">
        <x:v>P1</x:v>
      </x:c>
      <x:c r="E46" s="38" t="str">
        <x:v>已确认采用</x:v>
      </x:c>
      <x:c r="F46" s="38" t="str">
        <x:v>揽月舱内光影变体</x:v>
      </x:c>
      <x:c r="G46" s="41" t="str">
        <x:v>转为控制项</x:v>
      </x:c>
      <x:c r="H46" s="42" t="str">
        <x:v>P1</x:v>
      </x:c>
      <x:c r="I46" s="38" t="str">
        <x:v>灯光控制卡＋逐镜Prompt</x:v>
      </x:c>
      <x:c r="J46" s="38" t="str">
        <x:v>不按单张资产生产；作为母资产继承规则与逐镜验收条件</x:v>
      </x:c>
      <x:c r="K46" s="38" t="str">
        <x:v>本质是生成约束或关系，不是稳定独立对象</x:v>
      </x:c>
      <x:c r="L46" s="38" t="str">
        <x:v>Prompt控制项</x:v>
      </x:c>
      <x:c r="M46" s="38" t="str">
        <x:v>场7；镜047,048</x:v>
      </x:c>
      <x:c r="N46" s="38" t="str">
        <x:v>剧本明确;科学约束</x:v>
      </x:c>
    </x:row>
    <x:row r="47">
      <x:c r="A47" s="38" t="str">
        <x:v>BY-VEH-P1-001-长征十号揽月发射构型</x:v>
      </x:c>
      <x:c r="B47" s="38" t="str">
        <x:v>VEH</x:v>
      </x:c>
      <x:c r="C47" s="38" t="str">
        <x:v>长征十号揽月发射构型</x:v>
      </x:c>
      <x:c r="D47" s="38" t="str">
        <x:v>P1</x:v>
      </x:c>
      <x:c r="E47" s="38" t="str">
        <x:v>历史停用（V1.2不调用）</x:v>
      </x:c>
      <x:c r="F47" s="38" t="str">
        <x:v>V1.2不含发射</x:v>
      </x:c>
      <x:c r="G47" s="43" t="str">
        <x:v>历史停用</x:v>
      </x:c>
      <x:c r="H47" s="42" t="str">
        <x:v>P1</x:v>
      </x:c>
      <x:c r="I47" s="38" t="str">
        <x:v>不进入V1.3.2生产</x:v>
      </x:c>
      <x:c r="J47" s="38" t="str">
        <x:v>仅保留追溯，不复活旧段落与旧身份</x:v>
      </x:c>
      <x:c r="K47" s="38" t="str">
        <x:v>V1.3.2不调用</x:v>
      </x:c>
      <x:c r="L47" s="38" t="str">
        <x:v>仅审计追溯</x:v>
      </x:c>
      <x:c r="M47" s="38" t="str">
        <x:v>历史V1.1</x:v>
      </x:c>
      <x:c r="N47" s="38" t="str">
        <x:v>剧本明确;公开资料</x:v>
      </x:c>
    </x:row>
    <x:row r="48">
      <x:c r="A48" s="38" t="str">
        <x:v>BY-VEH-P1-002-长征十号梦舟发射构型</x:v>
      </x:c>
      <x:c r="B48" s="38" t="str">
        <x:v>VEH</x:v>
      </x:c>
      <x:c r="C48" s="38" t="str">
        <x:v>长征十号梦舟发射构型</x:v>
      </x:c>
      <x:c r="D48" s="38" t="str">
        <x:v>P1</x:v>
      </x:c>
      <x:c r="E48" s="38" t="str">
        <x:v>历史停用（V1.2不调用）</x:v>
      </x:c>
      <x:c r="F48" s="38" t="str">
        <x:v>V1.2不含发射</x:v>
      </x:c>
      <x:c r="G48" s="43" t="str">
        <x:v>历史停用</x:v>
      </x:c>
      <x:c r="H48" s="42" t="str">
        <x:v>P1</x:v>
      </x:c>
      <x:c r="I48" s="38" t="str">
        <x:v>不进入V1.3.2生产</x:v>
      </x:c>
      <x:c r="J48" s="38" t="str">
        <x:v>仅保留追溯，不复活旧段落与旧身份</x:v>
      </x:c>
      <x:c r="K48" s="38" t="str">
        <x:v>V1.3.2不调用</x:v>
      </x:c>
      <x:c r="L48" s="38" t="str">
        <x:v>仅审计追溯</x:v>
      </x:c>
      <x:c r="M48" s="38" t="str">
        <x:v>历史V1.1</x:v>
      </x:c>
      <x:c r="N48" s="38" t="str">
        <x:v>剧本明确;公开资料</x:v>
      </x:c>
    </x:row>
    <x:row r="49">
      <x:c r="A49" s="38" t="str">
        <x:v>BY-VEH-P0-001-梦舟载人飞船</x:v>
      </x:c>
      <x:c r="B49" s="38" t="str">
        <x:v>VEH</x:v>
      </x:c>
      <x:c r="C49" s="38" t="str">
        <x:v>梦舟载人飞船</x:v>
      </x:c>
      <x:c r="D49" s="38" t="str">
        <x:v>P0</x:v>
      </x:c>
      <x:c r="E49" s="38" t="str">
        <x:v>已确认</x:v>
      </x:c>
      <x:c r="F49" s="38" t="str">
        <x:v>P0航天器首批</x:v>
      </x:c>
      <x:c r="G49" s="40" t="str">
        <x:v>重做</x:v>
      </x:c>
      <x:c r="H49" s="42" t="str">
        <x:v>P0</x:v>
      </x:c>
      <x:c r="I49" s="38" t="str">
        <x:v>独立工程构型资产</x:v>
      </x:c>
      <x:c r="J49" s="38" t="str">
        <x:v>按公开任务功能重建完整构型、舱段关系、承力／使用路径与共享制造逻辑；顾问核查后出母图</x:v>
      </x:c>
      <x:c r="K49" s="38" t="str">
        <x:v>现图不足以支撑V1.3.2工程连续性</x:v>
      </x:c>
      <x:c r="L49" s="38" t="str">
        <x:v>资产主表</x:v>
      </x:c>
      <x:c r="M49" s="38" t="str">
        <x:v>01;03;11;13</x:v>
      </x:c>
      <x:c r="N49" s="38" t="str">
        <x:v>剧本明确;公开资料;创作者建议</x:v>
      </x:c>
    </x:row>
    <x:row r="50">
      <x:c r="A50" s="38" t="str">
        <x:v>BY-VEH-P0-002-揽月完整构型</x:v>
      </x:c>
      <x:c r="B50" s="38" t="str">
        <x:v>VEH</x:v>
      </x:c>
      <x:c r="C50" s="38" t="str">
        <x:v>揽月着陆器＋推进舱月轨组合体</x:v>
      </x:c>
      <x:c r="D50" s="38" t="str">
        <x:v>P0</x:v>
      </x:c>
      <x:c r="E50" s="38" t="str">
        <x:v>已确认</x:v>
      </x:c>
      <x:c r="F50" s="38" t="str">
        <x:v>V1.2外部构型链首要验证资产</x:v>
      </x:c>
      <x:c r="G50" s="40" t="str">
        <x:v>重做</x:v>
      </x:c>
      <x:c r="H50" s="42" t="str">
        <x:v>P0</x:v>
      </x:c>
      <x:c r="I50" s="38" t="str">
        <x:v>独立工程构型资产</x:v>
      </x:c>
      <x:c r="J50" s="38" t="str">
        <x:v>按公开任务功能重建完整构型、舱段关系、承力／使用路径与共享制造逻辑；顾问核查后出母图</x:v>
      </x:c>
      <x:c r="K50" s="38" t="str">
        <x:v>现图不足以支撑V1.3.2工程连续性</x:v>
      </x:c>
      <x:c r="L50" s="38" t="str">
        <x:v>资产主表</x:v>
      </x:c>
      <x:c r="M50" s="38" t="str">
        <x:v>场1,2,4；镜002,005,008,010,011,020,021,024,025</x:v>
      </x:c>
      <x:c r="N50" s="38" t="str">
        <x:v>剧本明确;公开资料</x:v>
      </x:c>
    </x:row>
    <x:row r="51">
      <x:c r="A51" s="38" t="str">
        <x:v>BY-VEH-P0-003-揽月登月舱</x:v>
      </x:c>
      <x:c r="B51" s="38" t="str">
        <x:v>VEH</x:v>
      </x:c>
      <x:c r="C51" s="38" t="str">
        <x:v>揽月登月舱</x:v>
      </x:c>
      <x:c r="D51" s="38" t="str">
        <x:v>P0</x:v>
      </x:c>
      <x:c r="E51" s="38" t="str">
        <x:v>已确认</x:v>
      </x:c>
      <x:c r="F51" s="38" t="str">
        <x:v>P0航天器首批</x:v>
      </x:c>
      <x:c r="G51" s="40" t="str">
        <x:v>重做</x:v>
      </x:c>
      <x:c r="H51" s="42" t="str">
        <x:v>P0</x:v>
      </x:c>
      <x:c r="I51" s="38" t="str">
        <x:v>独立工程构型资产</x:v>
      </x:c>
      <x:c r="J51" s="38" t="str">
        <x:v>按公开任务功能重建完整构型、舱段关系、承力／使用路径与共享制造逻辑；顾问核查后出母图</x:v>
      </x:c>
      <x:c r="K51" s="38" t="str">
        <x:v>现图不足以支撑V1.3.2工程连续性</x:v>
      </x:c>
      <x:c r="L51" s="38" t="str">
        <x:v>资产主表</x:v>
      </x:c>
      <x:c r="M51" s="38" t="str">
        <x:v>场4,5,6,7,8,9,10,11；镜025,027,033,037,038,039,042,047,051,054,055,057,058,067,068,074,075</x:v>
      </x:c>
      <x:c r="N51" s="38" t="str">
        <x:v>剧本明确;公开资料;创作者建议</x:v>
      </x:c>
    </x:row>
    <x:row r="52">
      <x:c r="A52" s="38" t="str">
        <x:v>BY-VEH-P1-003-揽月推进舱分离状态</x:v>
      </x:c>
      <x:c r="B52" s="38" t="str">
        <x:v>VEH</x:v>
      </x:c>
      <x:c r="C52" s="38" t="str">
        <x:v>揽月推进舱分离状态</x:v>
      </x:c>
      <x:c r="D52" s="38" t="str">
        <x:v>P1</x:v>
      </x:c>
      <x:c r="E52" s="38" t="str">
        <x:v>已确认采用</x:v>
      </x:c>
      <x:c r="F52" s="38" t="str">
        <x:v>随完整构型制作</x:v>
      </x:c>
      <x:c r="G52" s="40" t="str">
        <x:v>重做</x:v>
      </x:c>
      <x:c r="H52" s="42" t="str">
        <x:v>P1</x:v>
      </x:c>
      <x:c r="I52" s="38" t="str">
        <x:v>独立工程构型资产</x:v>
      </x:c>
      <x:c r="J52" s="38" t="str">
        <x:v>按公开任务功能重建完整构型、舱段关系、承力／使用路径与共享制造逻辑；顾问核查后出母图</x:v>
      </x:c>
      <x:c r="K52" s="38" t="str">
        <x:v>现图不足以支撑V1.3.2工程连续性</x:v>
      </x:c>
      <x:c r="L52" s="38" t="str">
        <x:v>资产主表</x:v>
      </x:c>
      <x:c r="M52" s="38" t="str">
        <x:v>场4；镜025</x:v>
      </x:c>
      <x:c r="N52" s="38" t="str">
        <x:v>剧本明确;公开资料</x:v>
      </x:c>
    </x:row>
    <x:row r="53">
      <x:c r="A53" s="38" t="str">
        <x:v>BY-VEH-P0-004-探索载人月球车</x:v>
      </x:c>
      <x:c r="B53" s="38" t="str">
        <x:v>VEH</x:v>
      </x:c>
      <x:c r="C53" s="38" t="str">
        <x:v>探索载人月球车</x:v>
      </x:c>
      <x:c r="D53" s="38" t="str">
        <x:v>P0</x:v>
      </x:c>
      <x:c r="E53" s="38" t="str">
        <x:v>已确认</x:v>
      </x:c>
      <x:c r="F53" s="38" t="str">
        <x:v>月面设备包</x:v>
      </x:c>
      <x:c r="G53" s="40" t="str">
        <x:v>重做</x:v>
      </x:c>
      <x:c r="H53" s="42" t="str">
        <x:v>P0</x:v>
      </x:c>
      <x:c r="I53" s="38" t="str">
        <x:v>独立工程构型资产</x:v>
      </x:c>
      <x:c r="J53" s="38" t="str">
        <x:v>按公开任务功能重建完整构型、舱段关系、承力／使用路径与共享制造逻辑；顾问核查后出母图</x:v>
      </x:c>
      <x:c r="K53" s="38" t="str">
        <x:v>现图不足以支撑V1.3.2工程连续性</x:v>
      </x:c>
      <x:c r="L53" s="38" t="str">
        <x:v>资产主表</x:v>
      </x:c>
      <x:c r="M53" s="38" t="str">
        <x:v>场9；镜058,059,066,067</x:v>
      </x:c>
      <x:c r="N53" s="38" t="str">
        <x:v>剧本明确;公开资料;创作者建议</x:v>
      </x:c>
    </x:row>
    <x:row r="54">
      <x:c r="A54" s="38" t="str">
        <x:v>BY-PRP-P0-001-梦舟三座椅与束缚系统</x:v>
      </x:c>
      <x:c r="B54" s="38" t="str">
        <x:v>PRP</x:v>
      </x:c>
      <x:c r="C54" s="38" t="str">
        <x:v>梦舟三座椅与束缚系统</x:v>
      </x:c>
      <x:c r="D54" s="38" t="str">
        <x:v>P0</x:v>
      </x:c>
      <x:c r="E54" s="38" t="str">
        <x:v>功能与补全口径已确认;形制由阶段2设计</x:v>
      </x:c>
      <x:c r="F54" s="38" t="str">
        <x:v>与梦舟舱内母资产同步设计，禁止独立生成三张互不兼容座椅图</x:v>
      </x:c>
      <x:c r="G54" s="41" t="str">
        <x:v>修订</x:v>
      </x:c>
      <x:c r="H54" s="42" t="str">
        <x:v>P0</x:v>
      </x:c>
      <x:c r="I54" s="38" t="str">
        <x:v>独立工程道具／设备资产</x:v>
      </x:c>
      <x:c r="J54" s="38" t="str">
        <x:v>按真实操作、承力、转移、维护与摄影路径复核后修订</x:v>
      </x:c>
      <x:c r="K54" s="38" t="str">
        <x:v>需要与新航天器／舱内／回收设备共享工程逻辑</x:v>
      </x:c>
      <x:c r="L54" s="38" t="str">
        <x:v>资产主表</x:v>
      </x:c>
      <x:c r="M54" s="38" t="str">
        <x:v>第1—3、5、11、14—15场</x:v>
      </x:c>
      <x:c r="N54" s="38" t="str">
        <x:v>剧本明确</x:v>
      </x:c>
    </x:row>
    <x:row r="55">
      <x:c r="A55" s="38" t="str">
        <x:v>BY-PRP-P0-002-揽月舷梯与扶手系统</x:v>
      </x:c>
      <x:c r="B55" s="38" t="str">
        <x:v>PRP</x:v>
      </x:c>
      <x:c r="C55" s="38" t="str">
        <x:v>揽月舷梯与扶手系统</x:v>
      </x:c>
      <x:c r="D55" s="38" t="str">
        <x:v>P0</x:v>
      </x:c>
      <x:c r="E55" s="38" t="str">
        <x:v>已确认</x:v>
      </x:c>
      <x:c r="F55" s="38" t="str">
        <x:v>随揽月登月舱设计</x:v>
      </x:c>
      <x:c r="G55" s="41" t="str">
        <x:v>修订</x:v>
      </x:c>
      <x:c r="H55" s="42" t="str">
        <x:v>P0</x:v>
      </x:c>
      <x:c r="I55" s="38" t="str">
        <x:v>独立工程道具／设备资产</x:v>
      </x:c>
      <x:c r="J55" s="38" t="str">
        <x:v>按真实操作、承力、转移、维护与摄影路径复核后修订</x:v>
      </x:c>
      <x:c r="K55" s="38" t="str">
        <x:v>需要与新航天器／舱内／回收设备共享工程逻辑</x:v>
      </x:c>
      <x:c r="L55" s="38" t="str">
        <x:v>资产主表</x:v>
      </x:c>
      <x:c r="M55" s="38" t="str">
        <x:v>场7,8,10；镜047,048,049,052,069</x:v>
      </x:c>
      <x:c r="N55" s="38" t="str">
        <x:v>剧本明确;公开资料;创作者建议</x:v>
      </x:c>
    </x:row>
    <x:row r="56">
      <x:c r="A56" s="38" t="str">
        <x:v>BY-PRP-P0-003-便携式月面摄像机</x:v>
      </x:c>
      <x:c r="B56" s="38" t="str">
        <x:v>PRP</x:v>
      </x:c>
      <x:c r="C56" s="38" t="str">
        <x:v>便携式月面摄像机</x:v>
      </x:c>
      <x:c r="D56" s="38" t="str">
        <x:v>P0</x:v>
      </x:c>
      <x:c r="E56" s="38" t="str">
        <x:v>已确认</x:v>
      </x:c>
      <x:c r="F56" s="38" t="str">
        <x:v>月面设备包</x:v>
      </x:c>
      <x:c r="G56" s="39" t="str">
        <x:v>保留候选</x:v>
      </x:c>
      <x:c r="H56" s="42" t="str">
        <x:v>P0</x:v>
      </x:c>
      <x:c r="I56" s="38" t="str">
        <x:v>独立资产</x:v>
      </x:c>
      <x:c r="J56" s="38" t="str">
        <x:v>保留为V1.3.2候选；按新构型、屏幕、光照与顾问结论做继承检查</x:v>
      </x:c>
      <x:c r="K56" s="38" t="str">
        <x:v>未触发强制退出或重做规则</x:v>
      </x:c>
      <x:c r="L56" s="38" t="str">
        <x:v>资产主表</x:v>
      </x:c>
      <x:c r="M56" s="38" t="str">
        <x:v>第8—11场</x:v>
      </x:c>
      <x:c r="N56" s="38" t="str">
        <x:v>剧本明确;创作者建议</x:v>
      </x:c>
    </x:row>
    <x:row r="57">
      <x:c r="A57" s="38" t="str">
        <x:v>BY-PRP-P0-004-工程化国旗展示装置</x:v>
      </x:c>
      <x:c r="B57" s="38" t="str">
        <x:v>PRP</x:v>
      </x:c>
      <x:c r="C57" s="38" t="str">
        <x:v>工程化国旗展示装置</x:v>
      </x:c>
      <x:c r="D57" s="38" t="str">
        <x:v>P0</x:v>
      </x:c>
      <x:c r="E57" s="38" t="str">
        <x:v>已确认</x:v>
      </x:c>
      <x:c r="F57" s="38" t="str">
        <x:v>阶段2关键道具测试</x:v>
      </x:c>
      <x:c r="G57" s="39" t="str">
        <x:v>保留候选</x:v>
      </x:c>
      <x:c r="H57" s="42" t="str">
        <x:v>P0</x:v>
      </x:c>
      <x:c r="I57" s="38" t="str">
        <x:v>独立资产</x:v>
      </x:c>
      <x:c r="J57" s="38" t="str">
        <x:v>保留为V1.3.2候选；按新构型、屏幕、光照与顾问结论做继承检查</x:v>
      </x:c>
      <x:c r="K57" s="38" t="str">
        <x:v>未触发强制退出或重做规则</x:v>
      </x:c>
      <x:c r="L57" s="38" t="str">
        <x:v>资产主表</x:v>
      </x:c>
      <x:c r="M57" s="38" t="str">
        <x:v>场7,8,9,11；镜045,054,055,056,057,067,074</x:v>
      </x:c>
      <x:c r="N57" s="38" t="str">
        <x:v>剧本明确;创作者建议</x:v>
      </x:c>
    </x:row>
    <x:row r="58">
      <x:c r="A58" s="38" t="str">
        <x:v>BY-PRP-P0-005-密封样品转移容器</x:v>
      </x:c>
      <x:c r="B58" s="38" t="str">
        <x:v>PRP</x:v>
      </x:c>
      <x:c r="C58" s="38" t="str">
        <x:v>主样品密封转移容器</x:v>
      </x:c>
      <x:c r="D58" s="38" t="str">
        <x:v>P0</x:v>
      </x:c>
      <x:c r="E58" s="38" t="str">
        <x:v>已确认</x:v>
      </x:c>
      <x:c r="F58" s="38" t="str">
        <x:v>样品链核心资产</x:v>
      </x:c>
      <x:c r="G58" s="39" t="str">
        <x:v>保留候选</x:v>
      </x:c>
      <x:c r="H58" s="42" t="str">
        <x:v>P0</x:v>
      </x:c>
      <x:c r="I58" s="38" t="str">
        <x:v>独立资产</x:v>
      </x:c>
      <x:c r="J58" s="38" t="str">
        <x:v>保留为V1.3.2候选；按新构型、屏幕、光照与顾问结论做继承检查</x:v>
      </x:c>
      <x:c r="K58" s="38" t="str">
        <x:v>未触发强制退出或重做规则</x:v>
      </x:c>
      <x:c r="L58" s="38" t="str">
        <x:v>资产主表</x:v>
      </x:c>
      <x:c r="M58" s="38" t="str">
        <x:v>场10,11,13,14,16；镜068,071,076,089,101,113</x:v>
      </x:c>
      <x:c r="N58" s="38" t="str">
        <x:v>剧本明确;创作者建议</x:v>
      </x:c>
    </x:row>
    <x:row r="59">
      <x:c r="A59" s="38" t="str">
        <x:v>BY-PRP-P1-001-月面采样工具</x:v>
      </x:c>
      <x:c r="B59" s="38" t="str">
        <x:v>PRP</x:v>
      </x:c>
      <x:c r="C59" s="38" t="str">
        <x:v>月面采样工具</x:v>
      </x:c>
      <x:c r="D59" s="38" t="str">
        <x:v>P1</x:v>
      </x:c>
      <x:c r="E59" s="38" t="str">
        <x:v>已确认采用</x:v>
      </x:c>
      <x:c r="F59" s="38" t="str">
        <x:v>月面设备包</x:v>
      </x:c>
      <x:c r="G59" s="39" t="str">
        <x:v>保留候选</x:v>
      </x:c>
      <x:c r="H59" s="42" t="str">
        <x:v>P1</x:v>
      </x:c>
      <x:c r="I59" s="38" t="str">
        <x:v>独立资产</x:v>
      </x:c>
      <x:c r="J59" s="38" t="str">
        <x:v>保留为V1.3.2候选；按新构型、屏幕、光照与顾问结论做继承检查</x:v>
      </x:c>
      <x:c r="K59" s="38" t="str">
        <x:v>未触发强制退出或重做规则</x:v>
      </x:c>
      <x:c r="L59" s="38" t="str">
        <x:v>资产主表</x:v>
      </x:c>
      <x:c r="M59" s="38" t="str">
        <x:v>场7,9；镜045,059,062</x:v>
      </x:c>
      <x:c r="N59" s="38" t="str">
        <x:v>剧本明确;创作者建议</x:v>
      </x:c>
    </x:row>
    <x:row r="60">
      <x:c r="A60" s="38" t="str">
        <x:v>BY-PRP-P1-002-月壤样品容器</x:v>
      </x:c>
      <x:c r="B60" s="38" t="str">
        <x:v>PRP</x:v>
      </x:c>
      <x:c r="C60" s="38" t="str">
        <x:v>月壤样品容器</x:v>
      </x:c>
      <x:c r="D60" s="38" t="str">
        <x:v>P1</x:v>
      </x:c>
      <x:c r="E60" s="38" t="str">
        <x:v>已确认采用</x:v>
      </x:c>
      <x:c r="F60" s="38" t="str">
        <x:v>样品链资产</x:v>
      </x:c>
      <x:c r="G60" s="39" t="str">
        <x:v>保留候选</x:v>
      </x:c>
      <x:c r="H60" s="42" t="str">
        <x:v>P1</x:v>
      </x:c>
      <x:c r="I60" s="38" t="str">
        <x:v>独立资产</x:v>
      </x:c>
      <x:c r="J60" s="38" t="str">
        <x:v>保留为V1.3.2候选；按新构型、屏幕、光照与顾问结论做继承检查</x:v>
      </x:c>
      <x:c r="K60" s="38" t="str">
        <x:v>未触发强制退出或重做规则</x:v>
      </x:c>
      <x:c r="L60" s="38" t="str">
        <x:v>资产主表</x:v>
      </x:c>
      <x:c r="M60" s="38" t="str">
        <x:v>场7,9；镜045,059,062</x:v>
      </x:c>
      <x:c r="N60" s="38" t="str">
        <x:v>剧本明确;创作者建议</x:v>
      </x:c>
    </x:row>
    <x:row r="61">
      <x:c r="A61" s="38" t="str">
        <x:v>BY-PRP-P1-003-月面科学观测设备</x:v>
      </x:c>
      <x:c r="B61" s="38" t="str">
        <x:v>PRP</x:v>
      </x:c>
      <x:c r="C61" s="38" t="str">
        <x:v>小型月面科学载荷</x:v>
      </x:c>
      <x:c r="D61" s="38" t="str">
        <x:v>P1</x:v>
      </x:c>
      <x:c r="E61" s="38" t="str">
        <x:v>已确认</x:v>
      </x:c>
      <x:c r="F61" s="38" t="str">
        <x:v>月面设备包</x:v>
      </x:c>
      <x:c r="G61" s="39" t="str">
        <x:v>保留候选</x:v>
      </x:c>
      <x:c r="H61" s="42" t="str">
        <x:v>P1</x:v>
      </x:c>
      <x:c r="I61" s="38" t="str">
        <x:v>独立资产</x:v>
      </x:c>
      <x:c r="J61" s="38" t="str">
        <x:v>保留为V1.3.2候选；按新构型、屏幕、光照与顾问结论做继承检查</x:v>
      </x:c>
      <x:c r="K61" s="38" t="str">
        <x:v>未触发强制退出或重做规则</x:v>
      </x:c>
      <x:c r="L61" s="38" t="str">
        <x:v>资产主表</x:v>
      </x:c>
      <x:c r="M61" s="38" t="str">
        <x:v>场9；镜064</x:v>
      </x:c>
      <x:c r="N61" s="38" t="str">
        <x:v>剧本明确;创作者建议</x:v>
      </x:c>
    </x:row>
    <x:row r="62">
      <x:c r="A62" s="38" t="str">
        <x:v>BY-PRP-P1-004-月面工具包与载荷固定系统</x:v>
      </x:c>
      <x:c r="B62" s="38" t="str">
        <x:v>PRP</x:v>
      </x:c>
      <x:c r="C62" s="38" t="str">
        <x:v>月面工具包与载荷固定系统</x:v>
      </x:c>
      <x:c r="D62" s="38" t="str">
        <x:v>P1</x:v>
      </x:c>
      <x:c r="E62" s="38" t="str">
        <x:v>已确认</x:v>
      </x:c>
      <x:c r="F62" s="38" t="str">
        <x:v>揽月设备关系切片</x:v>
      </x:c>
      <x:c r="G62" s="39" t="str">
        <x:v>保留候选</x:v>
      </x:c>
      <x:c r="H62" s="42" t="str">
        <x:v>P1</x:v>
      </x:c>
      <x:c r="I62" s="38" t="str">
        <x:v>独立资产</x:v>
      </x:c>
      <x:c r="J62" s="38" t="str">
        <x:v>保留为V1.3.2候选；按新构型、屏幕、光照与顾问结论做继承检查</x:v>
      </x:c>
      <x:c r="K62" s="38" t="str">
        <x:v>未触发强制退出或重做规则</x:v>
      </x:c>
      <x:c r="L62" s="38" t="str">
        <x:v>资产主表</x:v>
      </x:c>
      <x:c r="M62" s="38" t="str">
        <x:v>场7；镜045</x:v>
      </x:c>
      <x:c r="N62" s="38" t="str">
        <x:v>剧本明确;创作者建议</x:v>
      </x:c>
    </x:row>
    <x:row r="63">
      <x:c r="A63" s="38" t="str">
        <x:v>BY-PRP-P1-005-两器舱门与对接锁止结果件</x:v>
      </x:c>
      <x:c r="B63" s="38" t="str">
        <x:v>PRP</x:v>
      </x:c>
      <x:c r="C63" s="38" t="str">
        <x:v>两器舱门与对接锁止结果件</x:v>
      </x:c>
      <x:c r="D63" s="38" t="str">
        <x:v>P1</x:v>
      </x:c>
      <x:c r="E63" s="38" t="str">
        <x:v>已确认</x:v>
      </x:c>
      <x:c r="F63" s="38" t="str">
        <x:v>与两个舱内场景同步设计</x:v>
      </x:c>
      <x:c r="G63" s="41" t="str">
        <x:v>修订</x:v>
      </x:c>
      <x:c r="H63" s="42" t="str">
        <x:v>P1</x:v>
      </x:c>
      <x:c r="I63" s="38" t="str">
        <x:v>独立工程道具／设备资产</x:v>
      </x:c>
      <x:c r="J63" s="38" t="str">
        <x:v>按真实操作、承力、转移、维护与摄影路径复核后修订</x:v>
      </x:c>
      <x:c r="K63" s="38" t="str">
        <x:v>需要与新航天器／舱内／回收设备共享工程逻辑</x:v>
      </x:c>
      <x:c r="L63" s="38" t="str">
        <x:v>资产主表</x:v>
      </x:c>
      <x:c r="M63" s="38" t="str">
        <x:v>场3,13；镜013,014,016,018,019,089,092</x:v>
      </x:c>
      <x:c r="N63" s="38" t="str">
        <x:v>剧本明确;创作者建议</x:v>
      </x:c>
    </x:row>
    <x:row r="64">
      <x:c r="A64" s="38" t="str">
        <x:v>BY-PRP-P1-006-舱内操作界面与任务屏</x:v>
      </x:c>
      <x:c r="B64" s="38" t="str">
        <x:v>PRP</x:v>
      </x:c>
      <x:c r="C64" s="38" t="str">
        <x:v>舱内操作界面与任务屏</x:v>
      </x:c>
      <x:c r="D64" s="38" t="str">
        <x:v>P1</x:v>
      </x:c>
      <x:c r="E64" s="38" t="str">
        <x:v>已确认锁定原则</x:v>
      </x:c>
      <x:c r="F64" s="38" t="str">
        <x:v>阶段2只做无文字资产</x:v>
      </x:c>
      <x:c r="G64" s="40" t="str">
        <x:v>强制重做</x:v>
      </x:c>
      <x:c r="H64" s="42" t="str">
        <x:v>P1</x:v>
      </x:c>
      <x:c r="I64" s="38" t="str">
        <x:v>独立空间／道具资产</x:v>
      </x:c>
      <x:c r="J64" s="38" t="str">
        <x:v>屏幕信息架构、席位职责、人员数量与调度全部从零复核；不得沿用旧图的岗位标签与站位</x:v>
      </x:c>
      <x:c r="K64" s="38" t="str">
        <x:v>用户明确要求屏幕、席位职责和人员调度必须重做</x:v>
      </x:c>
      <x:c r="L64" s="38" t="str">
        <x:v>资产主表</x:v>
      </x:c>
      <x:c r="M64" s="38" t="str">
        <x:v>梦舟、揽月与飞控任务镜头</x:v>
      </x:c>
      <x:c r="N64" s="38" t="str">
        <x:v>项目锁定;创作者建议</x:v>
      </x:c>
    </x:row>
    <x:row r="65">
      <x:c r="A65" s="38" t="str">
        <x:v>BY-VFX-P1-001-地球发射火焰与烟羽</x:v>
      </x:c>
      <x:c r="B65" s="38" t="str">
        <x:v>VFX</x:v>
      </x:c>
      <x:c r="C65" s="38" t="str">
        <x:v>地球发射火焰与烟羽</x:v>
      </x:c>
      <x:c r="D65" s="38" t="str">
        <x:v>P1</x:v>
      </x:c>
      <x:c r="E65" s="38" t="str">
        <x:v>历史停用（V1.2不调用）</x:v>
      </x:c>
      <x:c r="F65" s="38" t="str">
        <x:v>V1.2不含发射</x:v>
      </x:c>
      <x:c r="G65" s="43" t="str">
        <x:v>历史停用</x:v>
      </x:c>
      <x:c r="H65" s="42" t="str">
        <x:v>P1</x:v>
      </x:c>
      <x:c r="I65" s="38" t="str">
        <x:v>不进入V1.3.2生产</x:v>
      </x:c>
      <x:c r="J65" s="38" t="str">
        <x:v>仅保留追溯，不复活旧段落与旧身份</x:v>
      </x:c>
      <x:c r="K65" s="38" t="str">
        <x:v>V1.3.2不调用</x:v>
      </x:c>
      <x:c r="L65" s="38" t="str">
        <x:v>仅审计追溯</x:v>
      </x:c>
      <x:c r="M65" s="38" t="str">
        <x:v>历史V1.1</x:v>
      </x:c>
      <x:c r="N65" s="38" t="str">
        <x:v>剧本明确;科学约束</x:v>
      </x:c>
    </x:row>
    <x:row r="66">
      <x:c r="A66" s="38" t="str">
        <x:v>BY-VFX-P1-002-环月轨道交会与对接</x:v>
      </x:c>
      <x:c r="B66" s="38" t="str">
        <x:v>VFX</x:v>
      </x:c>
      <x:c r="C66" s="38" t="str">
        <x:v>环月轨道交会与对接</x:v>
      </x:c>
      <x:c r="D66" s="38" t="str">
        <x:v>P1</x:v>
      </x:c>
      <x:c r="E66" s="38" t="str">
        <x:v>已确认采用</x:v>
      </x:c>
      <x:c r="F66" s="38" t="str">
        <x:v>载具确认后制作</x:v>
      </x:c>
      <x:c r="G66" s="43" t="str">
        <x:v>退出独立资产</x:v>
      </x:c>
      <x:c r="H66" s="42" t="str">
        <x:v>P1</x:v>
      </x:c>
      <x:c r="I66" s="38" t="str">
        <x:v>逐镜视频Prompt控制</x:v>
      </x:c>
      <x:c r="J66" s="38" t="str">
        <x:v>写入镜头级物理约束、运动路径与禁项；不制作独立静态资产</x:v>
      </x:c>
      <x:c r="K66" s="38" t="str">
        <x:v>变化依赖镜头时长、机位与运动，不具备稳定复用价值</x:v>
      </x:c>
      <x:c r="L66" s="38" t="str">
        <x:v>Prompt控制项</x:v>
      </x:c>
      <x:c r="M66" s="38" t="str">
        <x:v>场1,2,12；镜005,008,010,011,084,085,087</x:v>
      </x:c>
      <x:c r="N66" s="38" t="str">
        <x:v>剧本明确;科学约束</x:v>
      </x:c>
    </x:row>
    <x:row r="67">
      <x:c r="A67" s="38" t="str">
        <x:v>BY-VFX-P0-001-月面下降羽流与贴地月尘</x:v>
      </x:c>
      <x:c r="B67" s="38" t="str">
        <x:v>VFX</x:v>
      </x:c>
      <x:c r="C67" s="38" t="str">
        <x:v>月面下降羽流与贴地月尘</x:v>
      </x:c>
      <x:c r="D67" s="38" t="str">
        <x:v>P0</x:v>
      </x:c>
      <x:c r="E67" s="38" t="str">
        <x:v>已确认锁定物理方向</x:v>
      </x:c>
      <x:c r="F67" s="38" t="str">
        <x:v>阶段2技术测试</x:v>
      </x:c>
      <x:c r="G67" s="41" t="str">
        <x:v>混合制作</x:v>
      </x:c>
      <x:c r="H67" s="42" t="str">
        <x:v>P0</x:v>
      </x:c>
      <x:c r="I67" s="38" t="str">
        <x:v>VFX物理基准测试包＋逐镜Prompt</x:v>
      </x:c>
      <x:c r="J67" s="38" t="str">
        <x:v>只固化物理规律、尺度与可接受边界；每镜运动、尘埃、辉光、伞降与冲击仍随视频生成</x:v>
      </x:c>
      <x:c r="K67" s="38" t="str">
        <x:v>高风险现象需统一测试，但不应把每个动态状态都制成静态资产</x:v>
      </x:c>
      <x:c r="L67" s="38" t="str">
        <x:v>资产主表</x:v>
      </x:c>
      <x:c r="M67" s="38" t="str">
        <x:v>场5；镜027,037</x:v>
      </x:c>
      <x:c r="N67" s="38" t="str">
        <x:v>剧本明确;科学约束</x:v>
      </x:c>
    </x:row>
    <x:row r="68">
      <x:c r="A68" s="38" t="str">
        <x:v>BY-VFX-P0-002-触月关机与月尘回落</x:v>
      </x:c>
      <x:c r="B68" s="38" t="str">
        <x:v>VFX</x:v>
      </x:c>
      <x:c r="C68" s="38" t="str">
        <x:v>触月关机与月尘回落</x:v>
      </x:c>
      <x:c r="D68" s="38" t="str">
        <x:v>P0</x:v>
      </x:c>
      <x:c r="E68" s="38" t="str">
        <x:v>已确认锁定物理方向</x:v>
      </x:c>
      <x:c r="F68" s="38" t="str">
        <x:v>阶段2技术测试</x:v>
      </x:c>
      <x:c r="G68" s="41" t="str">
        <x:v>混合制作</x:v>
      </x:c>
      <x:c r="H68" s="42" t="str">
        <x:v>P0</x:v>
      </x:c>
      <x:c r="I68" s="38" t="str">
        <x:v>VFX物理基准测试包＋逐镜Prompt</x:v>
      </x:c>
      <x:c r="J68" s="38" t="str">
        <x:v>只固化物理规律、尺度与可接受边界；每镜运动、尘埃、辉光、伞降与冲击仍随视频生成</x:v>
      </x:c>
      <x:c r="K68" s="38" t="str">
        <x:v>高风险现象需统一测试，但不应把每个动态状态都制成静态资产</x:v>
      </x:c>
      <x:c r="L68" s="38" t="str">
        <x:v>资产主表</x:v>
      </x:c>
      <x:c r="M68" s="38" t="str">
        <x:v>场5,6；镜038,039</x:v>
      </x:c>
      <x:c r="N68" s="38" t="str">
        <x:v>剧本明确;科学约束</x:v>
      </x:c>
    </x:row>
    <x:row r="69">
      <x:c r="A69" s="38" t="str">
        <x:v>BY-VFX-P0-003-第一足印月壤形变</x:v>
      </x:c>
      <x:c r="B69" s="38" t="str">
        <x:v>VFX</x:v>
      </x:c>
      <x:c r="C69" s="38" t="str">
        <x:v>第一足印月壤形变</x:v>
      </x:c>
      <x:c r="D69" s="38" t="str">
        <x:v>P0</x:v>
      </x:c>
      <x:c r="E69" s="38" t="str">
        <x:v>已确认锁定物理方向</x:v>
      </x:c>
      <x:c r="F69" s="38" t="str">
        <x:v>阶段2技术测试</x:v>
      </x:c>
      <x:c r="G69" s="41" t="str">
        <x:v>混合制作</x:v>
      </x:c>
      <x:c r="H69" s="42" t="str">
        <x:v>P0</x:v>
      </x:c>
      <x:c r="I69" s="38" t="str">
        <x:v>VFX物理基准测试包＋逐镜Prompt</x:v>
      </x:c>
      <x:c r="J69" s="38" t="str">
        <x:v>只固化物理规律、尺度与可接受边界；每镜运动、尘埃、辉光、伞降与冲击仍随视频生成</x:v>
      </x:c>
      <x:c r="K69" s="38" t="str">
        <x:v>高风险现象需统一测试，但不应把每个动态状态都制成静态资产</x:v>
      </x:c>
      <x:c r="L69" s="38" t="str">
        <x:v>资产主表</x:v>
      </x:c>
      <x:c r="M69" s="38" t="str">
        <x:v>场8；镜050</x:v>
      </x:c>
      <x:c r="N69" s="38" t="str">
        <x:v>剧本明确;科学约束</x:v>
      </x:c>
    </x:row>
    <x:row r="70">
      <x:c r="A70" s="38" t="str">
        <x:v>BY-VFX-P0-004-月面起飞羽流与留场余景</x:v>
      </x:c>
      <x:c r="B70" s="38" t="str">
        <x:v>VFX</x:v>
      </x:c>
      <x:c r="C70" s="38" t="str">
        <x:v>月面起飞羽流与留场余景</x:v>
      </x:c>
      <x:c r="D70" s="38" t="str">
        <x:v>P0</x:v>
      </x:c>
      <x:c r="E70" s="38" t="str">
        <x:v>已确认锁定物理方向</x:v>
      </x:c>
      <x:c r="F70" s="38" t="str">
        <x:v>阶段2技术测试</x:v>
      </x:c>
      <x:c r="G70" s="41" t="str">
        <x:v>混合制作</x:v>
      </x:c>
      <x:c r="H70" s="42" t="str">
        <x:v>P0</x:v>
      </x:c>
      <x:c r="I70" s="38" t="str">
        <x:v>VFX物理基准测试包＋逐镜Prompt</x:v>
      </x:c>
      <x:c r="J70" s="38" t="str">
        <x:v>只固化物理规律、尺度与可接受边界；每镜运动、尘埃、辉光、伞降与冲击仍随视频生成</x:v>
      </x:c>
      <x:c r="K70" s="38" t="str">
        <x:v>高风险现象需统一测试，但不应把每个动态状态都制成静态资产</x:v>
      </x:c>
      <x:c r="L70" s="38" t="str">
        <x:v>资产主表</x:v>
      </x:c>
      <x:c r="M70" s="38" t="str">
        <x:v>场11；镜074,075</x:v>
      </x:c>
      <x:c r="N70" s="38" t="str">
        <x:v>剧本明确;科学约束</x:v>
      </x:c>
    </x:row>
    <x:row r="71">
      <x:c r="A71" s="38" t="str">
        <x:v>BY-VFX-P1-003-月地转移点火与月球远离</x:v>
      </x:c>
      <x:c r="B71" s="38" t="str">
        <x:v>VFX</x:v>
      </x:c>
      <x:c r="C71" s="38" t="str">
        <x:v>月地转移点火与月球远离</x:v>
      </x:c>
      <x:c r="D71" s="38" t="str">
        <x:v>P1</x:v>
      </x:c>
      <x:c r="E71" s="38" t="str">
        <x:v>已确认采用</x:v>
      </x:c>
      <x:c r="F71" s="38" t="str">
        <x:v>轨道视觉重建包</x:v>
      </x:c>
      <x:c r="G71" s="43" t="str">
        <x:v>退出独立资产</x:v>
      </x:c>
      <x:c r="H71" s="42" t="str">
        <x:v>P1</x:v>
      </x:c>
      <x:c r="I71" s="38" t="str">
        <x:v>逐镜视频Prompt控制</x:v>
      </x:c>
      <x:c r="J71" s="38" t="str">
        <x:v>写入镜头级物理约束、运动路径与禁项；不制作独立静态资产</x:v>
      </x:c>
      <x:c r="K71" s="38" t="str">
        <x:v>变化依赖镜头时长、机位与运动，不具备稳定复用价值</x:v>
      </x:c>
      <x:c r="L71" s="38" t="str">
        <x:v>Prompt控制项</x:v>
      </x:c>
      <x:c r="M71" s="38" t="str">
        <x:v>场14；镜096,098</x:v>
      </x:c>
      <x:c r="N71" s="38" t="str">
        <x:v>剧本明确;科学约束</x:v>
      </x:c>
    </x:row>
    <x:row r="72">
      <x:c r="A72" s="38" t="str">
        <x:v>BY-SYM-P0-001-中华人民共和国国旗图形</x:v>
      </x:c>
      <x:c r="B72" s="38" t="str">
        <x:v>SYM</x:v>
      </x:c>
      <x:c r="C72" s="38" t="str">
        <x:v>中华人民共和国国旗图形</x:v>
      </x:c>
      <x:c r="D72" s="38" t="str">
        <x:v>P0</x:v>
      </x:c>
      <x:c r="E72" s="38" t="str">
        <x:v>已确认</x:v>
      </x:c>
      <x:c r="F72" s="38" t="str">
        <x:v>国旗装置确认后贴合</x:v>
      </x:c>
      <x:c r="G72" s="39" t="str">
        <x:v>保留候选</x:v>
      </x:c>
      <x:c r="H72" s="42" t="str">
        <x:v>P0</x:v>
      </x:c>
      <x:c r="I72" s="38" t="str">
        <x:v>独立资产</x:v>
      </x:c>
      <x:c r="J72" s="38" t="str">
        <x:v>保留为V1.3.2候选；按新构型、屏幕、光照与顾问结论做继承检查</x:v>
      </x:c>
      <x:c r="K72" s="38" t="str">
        <x:v>未触发强制退出或重做规则</x:v>
      </x:c>
      <x:c r="L72" s="38" t="str">
        <x:v>资产主表</x:v>
      </x:c>
      <x:c r="M72" s="38" t="str">
        <x:v>场7,8,9,11；镜045,054,055,056,057,067,074</x:v>
      </x:c>
      <x:c r="N72" s="38" t="str">
        <x:v>项目锁定;创作者建议</x:v>
      </x:c>
    </x:row>
    <x:row r="73">
      <x:c r="A73" s="38" t="str">
        <x:v>BY-SYM-P1-001-未来纪实推演标识</x:v>
      </x:c>
      <x:c r="B73" s="38" t="str">
        <x:v>SYM</x:v>
      </x:c>
      <x:c r="C73" s="38" t="str">
        <x:v>未来纪实推演标识</x:v>
      </x:c>
      <x:c r="D73" s="38" t="str">
        <x:v>P1</x:v>
      </x:c>
      <x:c r="E73" s="38" t="str">
        <x:v>已确认锁定</x:v>
      </x:c>
      <x:c r="F73" s="38" t="str">
        <x:v>阶段2A建立包装规则</x:v>
      </x:c>
      <x:c r="G73" s="39" t="str">
        <x:v>保留候选</x:v>
      </x:c>
      <x:c r="H73" s="42" t="str">
        <x:v>P1</x:v>
      </x:c>
      <x:c r="I73" s="38" t="str">
        <x:v>独立资产</x:v>
      </x:c>
      <x:c r="J73" s="38" t="str">
        <x:v>保留为V1.3.2候选；按新构型、屏幕、光照与顾问结论做继承检查</x:v>
      </x:c>
      <x:c r="K73" s="38" t="str">
        <x:v>未触发强制退出或重做规则</x:v>
      </x:c>
      <x:c r="L73" s="38" t="str">
        <x:v>资产主表</x:v>
      </x:c>
      <x:c r="M73" s="38" t="str">
        <x:v>场1,16；镜001,114</x:v>
      </x:c>
      <x:c r="N73" s="38" t="str">
        <x:v>项目锁定</x:v>
      </x:c>
    </x:row>
    <x:row r="74">
      <x:c r="A74" s="38" t="str">
        <x:v>BY-SYM-P1-002-新闻条与日期标牌系统</x:v>
      </x:c>
      <x:c r="B74" s="38" t="str">
        <x:v>SYM</x:v>
      </x:c>
      <x:c r="C74" s="38" t="str">
        <x:v>新闻条与日期标牌系统</x:v>
      </x:c>
      <x:c r="D74" s="38" t="str">
        <x:v>P1</x:v>
      </x:c>
      <x:c r="E74" s="38" t="str">
        <x:v>历史停用（V1.2不调用）</x:v>
      </x:c>
      <x:c r="F74" s="38" t="str">
        <x:v>V1.2已取消新闻段落；日期与任务阶段信息由BY-SYM-P1-003承担</x:v>
      </x:c>
      <x:c r="G74" s="43" t="str">
        <x:v>历史停用</x:v>
      </x:c>
      <x:c r="H74" s="42" t="str">
        <x:v>P1</x:v>
      </x:c>
      <x:c r="I74" s="38" t="str">
        <x:v>不进入V1.3.2生产</x:v>
      </x:c>
      <x:c r="J74" s="38" t="str">
        <x:v>仅保留追溯，不复活旧段落与旧身份</x:v>
      </x:c>
      <x:c r="K74" s="38" t="str">
        <x:v>V1.3.2不调用</x:v>
      </x:c>
      <x:c r="L74" s="38" t="str">
        <x:v>仅审计追溯</x:v>
      </x:c>
      <x:c r="M74" s="38" t="str">
        <x:v>历史V1.1</x:v>
      </x:c>
      <x:c r="N74" s="38" t="str">
        <x:v>剧本明确;项目锁定</x:v>
      </x:c>
    </x:row>
    <x:row r="75">
      <x:c r="A75" s="38" t="str">
        <x:v>BY-SYM-P1-003-任务阶段与时间跳跃标牌</x:v>
      </x:c>
      <x:c r="B75" s="38" t="str">
        <x:v>SYM</x:v>
      </x:c>
      <x:c r="C75" s="38" t="str">
        <x:v>任务阶段与时间跳跃标牌</x:v>
      </x:c>
      <x:c r="D75" s="38" t="str">
        <x:v>P1</x:v>
      </x:c>
      <x:c r="E75" s="38" t="str">
        <x:v>已确认锁定原则</x:v>
      </x:c>
      <x:c r="F75" s="38" t="str">
        <x:v>阶段2A建立包装规则</x:v>
      </x:c>
      <x:c r="G75" s="40" t="str">
        <x:v>重做</x:v>
      </x:c>
      <x:c r="H75" s="42" t="str">
        <x:v>P1</x:v>
      </x:c>
      <x:c r="I75" s="38" t="str">
        <x:v>独立后期图形资产</x:v>
      </x:c>
      <x:c r="J75" s="38" t="str">
        <x:v>按V1.3.2日期、任务阶段、RF／光通信分工及新席位体系重建；不得继承旧屏内容</x:v>
      </x:c>
      <x:c r="K75" s="38" t="str">
        <x:v>屏幕体系强制重做</x:v>
      </x:c>
      <x:c r="L75" s="38" t="str">
        <x:v>资产主表</x:v>
      </x:c>
      <x:c r="M75" s="38" t="str">
        <x:v>第1、4、7、10—13、15场</x:v>
      </x:c>
      <x:c r="N75" s="38" t="str">
        <x:v>剧本明确;项目锁定</x:v>
      </x:c>
    </x:row>
    <x:row r="76">
      <x:c r="A76" s="38" t="str">
        <x:v>BY-CRO-P1-001-北京飞控任务团队</x:v>
      </x:c>
      <x:c r="B76" s="38" t="str">
        <x:v>CRO</x:v>
      </x:c>
      <x:c r="C76" s="38" t="str">
        <x:v>北京飞控任务团队</x:v>
      </x:c>
      <x:c r="D76" s="38" t="str">
        <x:v>P1</x:v>
      </x:c>
      <x:c r="E76" s="38" t="str">
        <x:v>已确认</x:v>
      </x:c>
      <x:c r="F76" s="38" t="str">
        <x:v>新闻飞控支持包</x:v>
      </x:c>
      <x:c r="G76" s="40" t="str">
        <x:v>强制重做</x:v>
      </x:c>
      <x:c r="H76" s="42" t="str">
        <x:v>P1</x:v>
      </x:c>
      <x:c r="I76" s="38" t="str">
        <x:v>独立团队／群组资产</x:v>
      </x:c>
      <x:c r="J76" s="38" t="str">
        <x:v>屏幕信息架构、席位职责、人员数量与调度全部从零复核；不得沿用旧图的岗位标签与站位</x:v>
      </x:c>
      <x:c r="K76" s="38" t="str">
        <x:v>用户明确要求屏幕、席位职责和人员调度必须重做</x:v>
      </x:c>
      <x:c r="L76" s="38" t="str">
        <x:v>资产主表</x:v>
      </x:c>
      <x:c r="M76" s="38" t="str">
        <x:v>场2,4,5,6,8,10,11,12,14,15,16；镜006,012,022,028,031,035,041,053,072,077,083,088,097,104,107,113</x:v>
      </x:c>
      <x:c r="N76" s="38" t="str">
        <x:v>剧本明确;创作者建议</x:v>
      </x:c>
    </x:row>
    <x:row r="77">
      <x:c r="A77" s="38" t="str">
        <x:v>BY-SND-P0-001-舱内生命保障与设备底噪</x:v>
      </x:c>
      <x:c r="B77" s="38" t="str">
        <x:v>SND</x:v>
      </x:c>
      <x:c r="C77" s="38" t="str">
        <x:v>舱内生命保障与设备底噪</x:v>
      </x:c>
      <x:c r="D77" s="38" t="str">
        <x:v>P0</x:v>
      </x:c>
      <x:c r="E77" s="38" t="str">
        <x:v>已确认锁定</x:v>
      </x:c>
      <x:c r="F77" s="38" t="str">
        <x:v>不进入独立声音资产映射</x:v>
      </x:c>
      <x:c r="G77" s="43" t="str">
        <x:v>退出独立资产</x:v>
      </x:c>
      <x:c r="H77" s="42" t="str">
        <x:v>P0</x:v>
      </x:c>
      <x:c r="I77" s="38" t="str">
        <x:v>随视频同步生成／逐镜声音Prompt</x:v>
      </x:c>
      <x:c r="J77" s="38" t="str">
        <x:v>对白、无线电、设备声、任务通信随视频同步；全片无配乐；月面外部无空气传播声</x:v>
      </x:c>
      <x:c r="K77" s="38" t="str">
        <x:v>项目声音锁定口径</x:v>
      </x:c>
      <x:c r="L77" s="38" t="str">
        <x:v>Prompt控制项</x:v>
      </x:c>
      <x:c r="M77" s="38" t="str">
        <x:v>场1,2,3,4,5,6,7,9,10,11,12,13,14,15；镜004,007,009,011,015,017,018,023,029,032,036,038,040,043,063,069,071,076,079,081,082,090,094,098,100,101,103,106</x:v>
      </x:c>
      <x:c r="N77" s="38" t="str">
        <x:v>项目锁定;剧本明确</x:v>
      </x:c>
    </x:row>
    <x:row r="78">
      <x:c r="A78" s="38" t="str">
        <x:v>BY-SND-P0-002-地月无线电通信质感</x:v>
      </x:c>
      <x:c r="B78" s="38" t="str">
        <x:v>SND</x:v>
      </x:c>
      <x:c r="C78" s="38" t="str">
        <x:v>地月无线电通信质感</x:v>
      </x:c>
      <x:c r="D78" s="38" t="str">
        <x:v>P0</x:v>
      </x:c>
      <x:c r="E78" s="38" t="str">
        <x:v>已确认锁定</x:v>
      </x:c>
      <x:c r="F78" s="38" t="str">
        <x:v>不进入独立声音资产映射</x:v>
      </x:c>
      <x:c r="G78" s="43" t="str">
        <x:v>退出独立资产</x:v>
      </x:c>
      <x:c r="H78" s="42" t="str">
        <x:v>P0</x:v>
      </x:c>
      <x:c r="I78" s="38" t="str">
        <x:v>随视频同步生成／逐镜声音Prompt</x:v>
      </x:c>
      <x:c r="J78" s="38" t="str">
        <x:v>对白、无线电、设备声、任务通信随视频同步；全片无配乐；月面外部无空气传播声</x:v>
      </x:c>
      <x:c r="K78" s="38" t="str">
        <x:v>项目声音锁定口径</x:v>
      </x:c>
      <x:c r="L78" s="38" t="str">
        <x:v>Prompt控制项</x:v>
      </x:c>
      <x:c r="M78" s="38" t="str">
        <x:v>场1,2,3,4,5,6,7,8,9,10,11,12,13,14,15,16；镜001,003,004,005,006,007,008,009,010,011,012,013,014,015,016,017,018,019,020,021,022,023,024,025,026,027,028,029,030,031,032,033,034,035,036,038,040,041,043,044,045,046,047,048,049,050,051,052,053,054,057,058,059,060,061,062,063,064,065,066,067,068,069,070,071,072,073,074,075,076,077,078,079,080,081,082,083,084,085,086,087,088,089,090,091,092,093,094,095,096,097,098,099,101,102,103,104,106,108,112,113</x:v>
      </x:c>
      <x:c r="N78" s="38" t="str">
        <x:v>项目锁定;科学约束</x:v>
      </x:c>
    </x:row>
    <x:row r="79">
      <x:c r="A79" s="38" t="str">
        <x:v>BY-SND-P1-001-舱门对接机构结构传导</x:v>
      </x:c>
      <x:c r="B79" s="38" t="str">
        <x:v>SND</x:v>
      </x:c>
      <x:c r="C79" s="38" t="str">
        <x:v>舱门对接机构结构传导</x:v>
      </x:c>
      <x:c r="D79" s="38" t="str">
        <x:v>P1</x:v>
      </x:c>
      <x:c r="E79" s="38" t="str">
        <x:v>已确认锁定</x:v>
      </x:c>
      <x:c r="F79" s="38" t="str">
        <x:v>随视频同步生成</x:v>
      </x:c>
      <x:c r="G79" s="43" t="str">
        <x:v>退出独立资产</x:v>
      </x:c>
      <x:c r="H79" s="42" t="str">
        <x:v>P1</x:v>
      </x:c>
      <x:c r="I79" s="38" t="str">
        <x:v>随视频同步生成／逐镜声音Prompt</x:v>
      </x:c>
      <x:c r="J79" s="38" t="str">
        <x:v>对白、无线电、设备声、任务通信随视频同步；全片无配乐；月面外部无空气传播声</x:v>
      </x:c>
      <x:c r="K79" s="38" t="str">
        <x:v>项目声音锁定口径</x:v>
      </x:c>
      <x:c r="L79" s="38" t="str">
        <x:v>Prompt控制项</x:v>
      </x:c>
      <x:c r="M79" s="38" t="str">
        <x:v>场1,2,3,4,7,10,12,13,16；镜005,008,010,011,013,014,016,018,019,020,046,047,048,070,087,089,092,111,112</x:v>
      </x:c>
      <x:c r="N79" s="38" t="str">
        <x:v>剧本明确;科学约束</x:v>
      </x:c>
    </x:row>
    <x:row r="80">
      <x:c r="A80" s="38" t="str">
        <x:v>BY-SND-P1-002-登月服内部呼吸与结构声</x:v>
      </x:c>
      <x:c r="B80" s="38" t="str">
        <x:v>SND</x:v>
      </x:c>
      <x:c r="C80" s="38" t="str">
        <x:v>登月服内部呼吸与结构声</x:v>
      </x:c>
      <x:c r="D80" s="38" t="str">
        <x:v>P1</x:v>
      </x:c>
      <x:c r="E80" s="38" t="str">
        <x:v>已确认锁定</x:v>
      </x:c>
      <x:c r="F80" s="38" t="str">
        <x:v>随视频同步生成</x:v>
      </x:c>
      <x:c r="G80" s="43" t="str">
        <x:v>退出独立资产</x:v>
      </x:c>
      <x:c r="H80" s="42" t="str">
        <x:v>P1</x:v>
      </x:c>
      <x:c r="I80" s="38" t="str">
        <x:v>随视频同步生成／逐镜声音Prompt</x:v>
      </x:c>
      <x:c r="J80" s="38" t="str">
        <x:v>对白、无线电、设备声、任务通信随视频同步；全片无配乐；月面外部无空气传播声</x:v>
      </x:c>
      <x:c r="K80" s="38" t="str">
        <x:v>项目声音锁定口径</x:v>
      </x:c>
      <x:c r="L80" s="38" t="str">
        <x:v>Prompt控制项</x:v>
      </x:c>
      <x:c r="M80" s="38" t="str">
        <x:v>场7,8,9,10,11；镜044,046,047,048,049,050,051,052,054,057,058,059,060,061,062,064,066,067,068,069,070,071,073,074,075,076,078</x:v>
      </x:c>
      <x:c r="N80" s="38" t="str">
        <x:v>项目锁定;科学约束</x:v>
      </x:c>
    </x:row>
    <x:row r="81">
      <x:c r="A81" s="38" t="str">
        <x:v>BY-SND-P1-003-发动机舱内结构振动</x:v>
      </x:c>
      <x:c r="B81" s="38" t="str">
        <x:v>SND</x:v>
      </x:c>
      <x:c r="C81" s="38" t="str">
        <x:v>发动机舱内结构振动</x:v>
      </x:c>
      <x:c r="D81" s="38" t="str">
        <x:v>P1</x:v>
      </x:c>
      <x:c r="E81" s="38" t="str">
        <x:v>已确认锁定</x:v>
      </x:c>
      <x:c r="F81" s="38" t="str">
        <x:v>随视频同步生成</x:v>
      </x:c>
      <x:c r="G81" s="43" t="str">
        <x:v>退出独立资产</x:v>
      </x:c>
      <x:c r="H81" s="42" t="str">
        <x:v>P1</x:v>
      </x:c>
      <x:c r="I81" s="38" t="str">
        <x:v>随视频同步生成／逐镜声音Prompt</x:v>
      </x:c>
      <x:c r="J81" s="38" t="str">
        <x:v>对白、无线电、设备声、任务通信随视频同步；全片无配乐；月面外部无空气传播声</x:v>
      </x:c>
      <x:c r="K81" s="38" t="str">
        <x:v>项目声音锁定口径</x:v>
      </x:c>
      <x:c r="L81" s="38" t="str">
        <x:v>Prompt控制项</x:v>
      </x:c>
      <x:c r="M81" s="38" t="str">
        <x:v>场4,5,14,15；镜024,038,098,103</x:v>
      </x:c>
      <x:c r="N81" s="38" t="str">
        <x:v>剧本明确;科学约束</x:v>
      </x:c>
    </x:row>
    <x:row r="82">
      <x:c r="A82" s="38" t="str">
        <x:v>BY-SND-P2-001-新闻提示音</x:v>
      </x:c>
      <x:c r="B82" s="38" t="str">
        <x:v>SND</x:v>
      </x:c>
      <x:c r="C82" s="38" t="str">
        <x:v>新闻提示音</x:v>
      </x:c>
      <x:c r="D82" s="38" t="str">
        <x:v>P2</x:v>
      </x:c>
      <x:c r="E82" s="38" t="str">
        <x:v>历史停用（V1.2不调用）</x:v>
      </x:c>
      <x:c r="F82" s="38" t="str">
        <x:v>V1.2无新闻包装提示音且全片无配乐</x:v>
      </x:c>
      <x:c r="G82" s="43" t="str">
        <x:v>历史停用</x:v>
      </x:c>
      <x:c r="H82" s="42" t="str">
        <x:v>P2</x:v>
      </x:c>
      <x:c r="I82" s="38" t="str">
        <x:v>不进入V1.3.2生产</x:v>
      </x:c>
      <x:c r="J82" s="38" t="str">
        <x:v>仅保留追溯，不复活旧段落与旧身份</x:v>
      </x:c>
      <x:c r="K82" s="38" t="str">
        <x:v>V1.3.2不调用</x:v>
      </x:c>
      <x:c r="L82" s="38" t="str">
        <x:v>仅审计追溯</x:v>
      </x:c>
      <x:c r="M82" s="38" t="str">
        <x:v>历史V1.1</x:v>
      </x:c>
      <x:c r="N82" s="38" t="str">
        <x:v>剧本明确;项目锁定</x:v>
      </x:c>
    </x:row>
    <x:row r="83">
      <x:c r="A83" s="38" t="str">
        <x:v>BY-REL-P0-001-三名航天员与岗位</x:v>
      </x:c>
      <x:c r="B83" s="38" t="str">
        <x:v>REL</x:v>
      </x:c>
      <x:c r="C83" s="38" t="str">
        <x:v>三名航天员与岗位关系</x:v>
      </x:c>
      <x:c r="D83" s="38" t="str">
        <x:v>P0</x:v>
      </x:c>
      <x:c r="E83" s="38" t="str">
        <x:v>已确认锁定</x:v>
      </x:c>
      <x:c r="F83" s="38" t="str">
        <x:v>阶段2B分工包必带</x:v>
      </x:c>
      <x:c r="G83" s="41" t="str">
        <x:v>转为控制项</x:v>
      </x:c>
      <x:c r="H83" s="42" t="str">
        <x:v>P0</x:v>
      </x:c>
      <x:c r="I83" s="38" t="str">
        <x:v>连续性／动作链Prompt控制</x:v>
      </x:c>
      <x:c r="J83" s="38" t="str">
        <x:v>不按单张资产生产；作为母资产继承规则与逐镜验收条件</x:v>
      </x:c>
      <x:c r="K83" s="38" t="str">
        <x:v>本质是生成约束或关系，不是稳定独立对象</x:v>
      </x:c>
      <x:c r="L83" s="38" t="str">
        <x:v>Prompt控制项</x:v>
      </x:c>
      <x:c r="M83" s="38" t="str">
        <x:v>全片</x:v>
      </x:c>
      <x:c r="N83" s="38" t="str">
        <x:v>剧本明确</x:v>
      </x:c>
    </x:row>
    <x:row r="84">
      <x:c r="A84" s="38" t="str">
        <x:v>BY-REL-P0-002-杨凛服装状态链</x:v>
      </x:c>
      <x:c r="B84" s="38" t="str">
        <x:v>REL</x:v>
      </x:c>
      <x:c r="C84" s="38" t="str">
        <x:v>杨凛服装状态链</x:v>
      </x:c>
      <x:c r="D84" s="38" t="str">
        <x:v>P0</x:v>
      </x:c>
      <x:c r="E84" s="38" t="str">
        <x:v>已确认锁定</x:v>
      </x:c>
      <x:c r="F84" s="38" t="str">
        <x:v>人物组关系切片</x:v>
      </x:c>
      <x:c r="G84" s="41" t="str">
        <x:v>转为控制项</x:v>
      </x:c>
      <x:c r="H84" s="42" t="str">
        <x:v>P0</x:v>
      </x:c>
      <x:c r="I84" s="38" t="str">
        <x:v>连续性／动作链Prompt控制</x:v>
      </x:c>
      <x:c r="J84" s="38" t="str">
        <x:v>不按单张资产生产；作为母资产继承规则与逐镜验收条件</x:v>
      </x:c>
      <x:c r="K84" s="38" t="str">
        <x:v>本质是生成约束或关系，不是稳定独立对象</x:v>
      </x:c>
      <x:c r="L84" s="38" t="str">
        <x:v>Prompt控制项</x:v>
      </x:c>
      <x:c r="M84" s="38" t="str">
        <x:v>03-10</x:v>
      </x:c>
      <x:c r="N84" s="38" t="str">
        <x:v>剧本明确</x:v>
      </x:c>
    </x:row>
    <x:row r="85">
      <x:c r="A85" s="38" t="str">
        <x:v>BY-REL-P0-003-陈砚服装状态链</x:v>
      </x:c>
      <x:c r="B85" s="38" t="str">
        <x:v>REL</x:v>
      </x:c>
      <x:c r="C85" s="38" t="str">
        <x:v>陈砚服装状态链</x:v>
      </x:c>
      <x:c r="D85" s="38" t="str">
        <x:v>P0</x:v>
      </x:c>
      <x:c r="E85" s="38" t="str">
        <x:v>已确认锁定</x:v>
      </x:c>
      <x:c r="F85" s="38" t="str">
        <x:v>人物组关系切片</x:v>
      </x:c>
      <x:c r="G85" s="41" t="str">
        <x:v>转为控制项</x:v>
      </x:c>
      <x:c r="H85" s="42" t="str">
        <x:v>P0</x:v>
      </x:c>
      <x:c r="I85" s="38" t="str">
        <x:v>连续性／动作链Prompt控制</x:v>
      </x:c>
      <x:c r="J85" s="38" t="str">
        <x:v>不按单张资产生产；作为母资产继承规则与逐镜验收条件</x:v>
      </x:c>
      <x:c r="K85" s="38" t="str">
        <x:v>本质是生成约束或关系，不是稳定独立对象</x:v>
      </x:c>
      <x:c r="L85" s="38" t="str">
        <x:v>Prompt控制项</x:v>
      </x:c>
      <x:c r="M85" s="38" t="str">
        <x:v>03-10</x:v>
      </x:c>
      <x:c r="N85" s="38" t="str">
        <x:v>剧本明确</x:v>
      </x:c>
    </x:row>
    <x:row r="86">
      <x:c r="A86" s="38" t="str">
        <x:v>BY-REL-P0-004-刘定槎与两张空座椅</x:v>
      </x:c>
      <x:c r="B86" s="38" t="str">
        <x:v>REL</x:v>
      </x:c>
      <x:c r="C86" s="38" t="str">
        <x:v>刘定槎与两张空座椅</x:v>
      </x:c>
      <x:c r="D86" s="38" t="str">
        <x:v>P0</x:v>
      </x:c>
      <x:c r="E86" s="38" t="str">
        <x:v>历史停用（V1.2不调用）</x:v>
      </x:c>
      <x:c r="F86" s="38" t="str">
        <x:v>叙事关系失效；由BY-REL-P0-009替代</x:v>
      </x:c>
      <x:c r="G86" s="43" t="str">
        <x:v>历史停用</x:v>
      </x:c>
      <x:c r="H86" s="42" t="str">
        <x:v>P0</x:v>
      </x:c>
      <x:c r="I86" s="38" t="str">
        <x:v>不进入V1.3.2生产</x:v>
      </x:c>
      <x:c r="J86" s="38" t="str">
        <x:v>仅保留追溯，不复活旧段落与旧身份</x:v>
      </x:c>
      <x:c r="K86" s="38" t="str">
        <x:v>V1.3.2不调用</x:v>
      </x:c>
      <x:c r="L86" s="38" t="str">
        <x:v>仅审计追溯</x:v>
      </x:c>
      <x:c r="M86" s="38" t="str">
        <x:v>历史V1.1</x:v>
      </x:c>
      <x:c r="N86" s="38" t="str">
        <x:v>剧本明确</x:v>
      </x:c>
    </x:row>
    <x:row r="87">
      <x:c r="A87" s="38" t="str">
        <x:v>BY-REL-P0-005-揽月构型状态链</x:v>
      </x:c>
      <x:c r="B87" s="38" t="str">
        <x:v>REL</x:v>
      </x:c>
      <x:c r="C87" s="38" t="str">
        <x:v>揽月构型状态链</x:v>
      </x:c>
      <x:c r="D87" s="38" t="str">
        <x:v>P0</x:v>
      </x:c>
      <x:c r="E87" s="38" t="str">
        <x:v>已确认锁定</x:v>
      </x:c>
      <x:c r="F87" s="38" t="str">
        <x:v>按V1.2扩展后的完整状态链执行</x:v>
      </x:c>
      <x:c r="G87" s="41" t="str">
        <x:v>转为控制项</x:v>
      </x:c>
      <x:c r="H87" s="42" t="str">
        <x:v>P0</x:v>
      </x:c>
      <x:c r="I87" s="38" t="str">
        <x:v>连续性／动作链Prompt控制</x:v>
      </x:c>
      <x:c r="J87" s="38" t="str">
        <x:v>不按单张资产生产；作为母资产继承规则与逐镜验收条件</x:v>
      </x:c>
      <x:c r="K87" s="38" t="str">
        <x:v>本质是生成约束或关系，不是稳定独立对象</x:v>
      </x:c>
      <x:c r="L87" s="38" t="str">
        <x:v>Prompt控制项</x:v>
      </x:c>
      <x:c r="M87" s="38" t="str">
        <x:v>01;03-12</x:v>
      </x:c>
      <x:c r="N87" s="38" t="str">
        <x:v>剧本明确;公开资料</x:v>
      </x:c>
    </x:row>
    <x:row r="88">
      <x:c r="A88" s="38" t="str">
        <x:v>BY-REL-P0-006-月面摄像机摄影来源</x:v>
      </x:c>
      <x:c r="B88" s="38" t="str">
        <x:v>REL</x:v>
      </x:c>
      <x:c r="C88" s="38" t="str">
        <x:v>月面摄像机摄影来源</x:v>
      </x:c>
      <x:c r="D88" s="38" t="str">
        <x:v>P0</x:v>
      </x:c>
      <x:c r="E88" s="38" t="str">
        <x:v>已确认锁定</x:v>
      </x:c>
      <x:c r="F88" s="38" t="str">
        <x:v>月面场景组关系切片</x:v>
      </x:c>
      <x:c r="G88" s="41" t="str">
        <x:v>转为控制项</x:v>
      </x:c>
      <x:c r="H88" s="42" t="str">
        <x:v>P0</x:v>
      </x:c>
      <x:c r="I88" s="38" t="str">
        <x:v>连续性／动作链Prompt控制</x:v>
      </x:c>
      <x:c r="J88" s="38" t="str">
        <x:v>不按单张资产生产；作为母资产继承规则与逐镜验收条件</x:v>
      </x:c>
      <x:c r="K88" s="38" t="str">
        <x:v>本质是生成约束或关系，不是稳定独立对象</x:v>
      </x:c>
      <x:c r="L88" s="38" t="str">
        <x:v>Prompt控制项</x:v>
      </x:c>
      <x:c r="M88" s="38" t="str">
        <x:v>第8—11场</x:v>
      </x:c>
      <x:c r="N88" s="38" t="str">
        <x:v>剧本明确</x:v>
      </x:c>
    </x:row>
    <x:row r="89">
      <x:c r="A89" s="38" t="str">
        <x:v>BY-REL-P0-007-国旗装置部署链</x:v>
      </x:c>
      <x:c r="B89" s="38" t="str">
        <x:v>REL</x:v>
      </x:c>
      <x:c r="C89" s="38" t="str">
        <x:v>国旗装置部署链</x:v>
      </x:c>
      <x:c r="D89" s="38" t="str">
        <x:v>P0</x:v>
      </x:c>
      <x:c r="E89" s="38" t="str">
        <x:v>已确认锁定</x:v>
      </x:c>
      <x:c r="F89" s="38" t="str">
        <x:v>道具组关系切片</x:v>
      </x:c>
      <x:c r="G89" s="41" t="str">
        <x:v>转为控制项</x:v>
      </x:c>
      <x:c r="H89" s="42" t="str">
        <x:v>P0</x:v>
      </x:c>
      <x:c r="I89" s="38" t="str">
        <x:v>连续性／动作链Prompt控制</x:v>
      </x:c>
      <x:c r="J89" s="38" t="str">
        <x:v>不按单张资产生产；作为母资产继承规则与逐镜验收条件</x:v>
      </x:c>
      <x:c r="K89" s="38" t="str">
        <x:v>本质是生成约束或关系，不是稳定独立对象</x:v>
      </x:c>
      <x:c r="L89" s="38" t="str">
        <x:v>Prompt控制项</x:v>
      </x:c>
      <x:c r="M89" s="38" t="str">
        <x:v>08</x:v>
      </x:c>
      <x:c r="N89" s="38" t="str">
        <x:v>剧本明确;科学约束</x:v>
      </x:c>
    </x:row>
    <x:row r="90">
      <x:c r="A90" s="38" t="str">
        <x:v>BY-REL-P0-008-样品转移链</x:v>
      </x:c>
      <x:c r="B90" s="38" t="str">
        <x:v>REL</x:v>
      </x:c>
      <x:c r="C90" s="38" t="str">
        <x:v>样品转移链</x:v>
      </x:c>
      <x:c r="D90" s="38" t="str">
        <x:v>P0</x:v>
      </x:c>
      <x:c r="E90" s="38" t="str">
        <x:v>已确认锁定</x:v>
      </x:c>
      <x:c r="F90" s="38" t="str">
        <x:v>道具组关系切片</x:v>
      </x:c>
      <x:c r="G90" s="41" t="str">
        <x:v>转为控制项</x:v>
      </x:c>
      <x:c r="H90" s="42" t="str">
        <x:v>P0</x:v>
      </x:c>
      <x:c r="I90" s="38" t="str">
        <x:v>连续性／动作链Prompt控制</x:v>
      </x:c>
      <x:c r="J90" s="38" t="str">
        <x:v>不按单张资产生产；作为母资产继承规则与逐镜验收条件</x:v>
      </x:c>
      <x:c r="K90" s="38" t="str">
        <x:v>本质是生成约束或关系，不是稳定独立对象</x:v>
      </x:c>
      <x:c r="L90" s="38" t="str">
        <x:v>Prompt控制项</x:v>
      </x:c>
      <x:c r="M90" s="38" t="str">
        <x:v>09-12</x:v>
      </x:c>
      <x:c r="N90" s="38" t="str">
        <x:v>剧本明确</x:v>
      </x:c>
    </x:row>
    <x:row r="91">
      <x:c r="A91" s="38" t="str">
        <x:v>BY-REL-P1-001-月面空间总图</x:v>
      </x:c>
      <x:c r="B91" s="38" t="str">
        <x:v>REL</x:v>
      </x:c>
      <x:c r="C91" s="38" t="str">
        <x:v>月面空间总图</x:v>
      </x:c>
      <x:c r="D91" s="38" t="str">
        <x:v>P1</x:v>
      </x:c>
      <x:c r="E91" s="38" t="str">
        <x:v>已确认</x:v>
      </x:c>
      <x:c r="F91" s="38" t="str">
        <x:v>场景组核心关系切片</x:v>
      </x:c>
      <x:c r="G91" s="41" t="str">
        <x:v>转为控制项</x:v>
      </x:c>
      <x:c r="H91" s="42" t="str">
        <x:v>P1</x:v>
      </x:c>
      <x:c r="I91" s="38" t="str">
        <x:v>连续性／动作链Prompt控制</x:v>
      </x:c>
      <x:c r="J91" s="38" t="str">
        <x:v>不按单张资产生产；作为母资产继承规则与逐镜验收条件</x:v>
      </x:c>
      <x:c r="K91" s="38" t="str">
        <x:v>本质是生成约束或关系，不是稳定独立对象</x:v>
      </x:c>
      <x:c r="L91" s="38" t="str">
        <x:v>Prompt控制项</x:v>
      </x:c>
      <x:c r="M91" s="38" t="str">
        <x:v>04-10</x:v>
      </x:c>
      <x:c r="N91" s="38" t="str">
        <x:v>剧本明确;创作者建议</x:v>
      </x:c>
    </x:row>
    <x:row r="92">
      <x:c r="A92" s="38" t="str">
        <x:v>BY-REL-P1-002-两侧舱门顺序</x:v>
      </x:c>
      <x:c r="B92" s="38" t="str">
        <x:v>REL</x:v>
      </x:c>
      <x:c r="C92" s="38" t="str">
        <x:v>两侧舱门顺序</x:v>
      </x:c>
      <x:c r="D92" s="38" t="str">
        <x:v>P1</x:v>
      </x:c>
      <x:c r="E92" s="38" t="str">
        <x:v>已确认锁定</x:v>
      </x:c>
      <x:c r="F92" s="38" t="str">
        <x:v>场景与道具组共用</x:v>
      </x:c>
      <x:c r="G92" s="41" t="str">
        <x:v>转为控制项</x:v>
      </x:c>
      <x:c r="H92" s="42" t="str">
        <x:v>P1</x:v>
      </x:c>
      <x:c r="I92" s="38" t="str">
        <x:v>连续性／动作链Prompt控制</x:v>
      </x:c>
      <x:c r="J92" s="38" t="str">
        <x:v>不按单张资产生产；作为母资产继承规则与逐镜验收条件</x:v>
      </x:c>
      <x:c r="K92" s="38" t="str">
        <x:v>本质是生成约束或关系，不是稳定独立对象</x:v>
      </x:c>
      <x:c r="L92" s="38" t="str">
        <x:v>Prompt控制项</x:v>
      </x:c>
      <x:c r="M92" s="38" t="str">
        <x:v>03;12-13</x:v>
      </x:c>
      <x:c r="N92" s="38" t="str">
        <x:v>剧本明确</x:v>
      </x:c>
    </x:row>
    <x:row r="93">
      <x:c r="A93" s="38" t="str">
        <x:v>BY-REL-P1-003-声音来源真实性</x:v>
      </x:c>
      <x:c r="B93" s="38" t="str">
        <x:v>REL</x:v>
      </x:c>
      <x:c r="C93" s="38" t="str">
        <x:v>声音来源真实性</x:v>
      </x:c>
      <x:c r="D93" s="38" t="str">
        <x:v>P1</x:v>
      </x:c>
      <x:c r="E93" s="38" t="str">
        <x:v>已确认锁定</x:v>
      </x:c>
      <x:c r="F93" s="38" t="str">
        <x:v>阶段3每镜终检</x:v>
      </x:c>
      <x:c r="G93" s="41" t="str">
        <x:v>转为控制项</x:v>
      </x:c>
      <x:c r="H93" s="42" t="str">
        <x:v>P1</x:v>
      </x:c>
      <x:c r="I93" s="38" t="str">
        <x:v>连续性／动作链Prompt控制</x:v>
      </x:c>
      <x:c r="J93" s="38" t="str">
        <x:v>不按单张资产生产；作为母资产继承规则与逐镜验收条件</x:v>
      </x:c>
      <x:c r="K93" s="38" t="str">
        <x:v>本质是生成约束或关系，不是稳定独立对象</x:v>
      </x:c>
      <x:c r="L93" s="38" t="str">
        <x:v>Prompt控制项</x:v>
      </x:c>
      <x:c r="M93" s="38" t="str">
        <x:v>全片</x:v>
      </x:c>
      <x:c r="N93" s="38" t="str">
        <x:v>项目锁定;科学约束</x:v>
      </x:c>
    </x:row>
    <x:row r="94">
      <x:c r="A94" s="38" t="str">
        <x:v>BY-SCN-P0-005-梦舟环月工作位</x:v>
      </x:c>
      <x:c r="B94" s="38" t="str">
        <x:v>SCN</x:v>
      </x:c>
      <x:c r="C94" s="38" t="str">
        <x:v>梦舟返回舱环月工作位</x:v>
      </x:c>
      <x:c r="D94" s="38" t="str">
        <x:v>P0</x:v>
      </x:c>
      <x:c r="E94" s="38" t="str">
        <x:v>已确认生产方向</x:v>
      </x:c>
      <x:c r="F94" s="38" t="str">
        <x:v>阶段2A重入后按生产包执行</x:v>
      </x:c>
      <x:c r="G94" s="40" t="str">
        <x:v>重做</x:v>
      </x:c>
      <x:c r="H94" s="42" t="str">
        <x:v>P0</x:v>
      </x:c>
      <x:c r="I94" s="38" t="str">
        <x:v>独立场景母资产</x:v>
      </x:c>
      <x:c r="J94" s="38" t="str">
        <x:v>重建可使用空间、座椅／舱门／设备接口与真实通行动线；屏幕先无字，信息层后置</x:v>
      </x:c>
      <x:c r="K94" s="38" t="str">
        <x:v>Crowley工程空间方法＋V1.3.2任务状态变化</x:v>
      </x:c>
      <x:c r="L94" s="38" t="str">
        <x:v>资产主表</x:v>
      </x:c>
      <x:c r="M94" s="38" t="str">
        <x:v>第1—3、5、11场</x:v>
      </x:c>
      <x:c r="N94" s="38" t="str">
        <x:v>V1.2剧本明确＋项目锁定＋公开工程资料边界</x:v>
      </x:c>
    </x:row>
    <x:row r="95">
      <x:c r="A95" s="38" t="str">
        <x:v>BY-SCN-P0-006-北京飞控大厅与任务主屏</x:v>
      </x:c>
      <x:c r="B95" s="38" t="str">
        <x:v>SCN</x:v>
      </x:c>
      <x:c r="C95" s="38" t="str">
        <x:v>北京飞控大厅与任务主屏</x:v>
      </x:c>
      <x:c r="D95" s="38" t="str">
        <x:v>P0</x:v>
      </x:c>
      <x:c r="E95" s="38" t="str">
        <x:v>已确认生产方向</x:v>
      </x:c>
      <x:c r="F95" s="38" t="str">
        <x:v>阶段2A重入后按生产包执行</x:v>
      </x:c>
      <x:c r="G95" s="40" t="str">
        <x:v>强制重做</x:v>
      </x:c>
      <x:c r="H95" s="42" t="str">
        <x:v>P0</x:v>
      </x:c>
      <x:c r="I95" s="38" t="str">
        <x:v>独立空间／道具资产</x:v>
      </x:c>
      <x:c r="J95" s="38" t="str">
        <x:v>屏幕信息架构、席位职责、人员数量与调度全部从零复核；不得沿用旧图的岗位标签与站位</x:v>
      </x:c>
      <x:c r="K95" s="38" t="str">
        <x:v>用户明确要求屏幕、席位职责和人员调度必须重做</x:v>
      </x:c>
      <x:c r="L95" s="38" t="str">
        <x:v>资产主表</x:v>
      </x:c>
      <x:c r="M95" s="38" t="str">
        <x:v>场2,4,5,6,8,10,11,12,14,15,16；镜006,012,022,028,031,035,041,053,072,077,083,088,097,104,107,113</x:v>
      </x:c>
      <x:c r="N95" s="38" t="str">
        <x:v>V1.2剧本明确＋项目锁定＋公开工程资料边界</x:v>
      </x:c>
    </x:row>
    <x:row r="96">
      <x:c r="A96" s="38" t="str">
        <x:v>BY-SCN-P0-007-返回舱再入视觉环境</x:v>
      </x:c>
      <x:c r="B96" s="38" t="str">
        <x:v>SCN</x:v>
      </x:c>
      <x:c r="C96" s="38" t="str">
        <x:v>返回舱再入视觉环境</x:v>
      </x:c>
      <x:c r="D96" s="38" t="str">
        <x:v>P0</x:v>
      </x:c>
      <x:c r="E96" s="38" t="str">
        <x:v>已确认生产方向</x:v>
      </x:c>
      <x:c r="F96" s="38" t="str">
        <x:v>阶段2A重入后按生产包执行</x:v>
      </x:c>
      <x:c r="G96" s="39" t="str">
        <x:v>保留候选</x:v>
      </x:c>
      <x:c r="H96" s="42" t="str">
        <x:v>P0</x:v>
      </x:c>
      <x:c r="I96" s="38" t="str">
        <x:v>独立资产</x:v>
      </x:c>
      <x:c r="J96" s="38" t="str">
        <x:v>保留为V1.3.2候选；按新构型、屏幕、光照与顾问结论做继承检查</x:v>
      </x:c>
      <x:c r="K96" s="38" t="str">
        <x:v>未触发强制退出或重做规则</x:v>
      </x:c>
      <x:c r="L96" s="38" t="str">
        <x:v>资产主表</x:v>
      </x:c>
      <x:c r="M96" s="38" t="str">
        <x:v>场15；镜102,104,105,106,108</x:v>
      </x:c>
      <x:c r="N96" s="38" t="str">
        <x:v>V1.2剧本明确＋项目锁定＋公开工程资料边界</x:v>
      </x:c>
    </x:row>
    <x:row r="97">
      <x:c r="A97" s="38" t="str">
        <x:v>BY-SCN-P0-008-预定着陆区与搜救现场</x:v>
      </x:c>
      <x:c r="B97" s="38" t="str">
        <x:v>SCN</x:v>
      </x:c>
      <x:c r="C97" s="38" t="str">
        <x:v>东风着陆场与搜救现场</x:v>
      </x:c>
      <x:c r="D97" s="38" t="str">
        <x:v>P0</x:v>
      </x:c>
      <x:c r="E97" s="38" t="str">
        <x:v>已确认生产方向</x:v>
      </x:c>
      <x:c r="F97" s="38" t="str">
        <x:v>阶段2A重入后按生产包执行</x:v>
      </x:c>
      <x:c r="G97" s="40" t="str">
        <x:v>重做</x:v>
      </x:c>
      <x:c r="H97" s="42" t="str">
        <x:v>P0</x:v>
      </x:c>
      <x:c r="I97" s="38" t="str">
        <x:v>独立场景／设备资产</x:v>
      </x:c>
      <x:c r="J97" s="38" t="str">
        <x:v>按搜救状态门、空地协同、医监医保与样品双线重建，不做摆拍式大合影</x:v>
      </x:c>
      <x:c r="K97" s="38" t="str">
        <x:v>再入回收顾问核查＋人员调度重做</x:v>
      </x:c>
      <x:c r="L97" s="38" t="str">
        <x:v>资产主表</x:v>
      </x:c>
      <x:c r="M97" s="38" t="str">
        <x:v>第13—15场</x:v>
      </x:c>
      <x:c r="N97" s="38" t="str">
        <x:v>V1.2剧本明确＋项目锁定＋公开工程资料边界</x:v>
      </x:c>
    </x:row>
    <x:row r="98">
      <x:c r="A98" s="38" t="str">
        <x:v>BY-SCN-P1-007-佳木斯66米深空测控站</x:v>
      </x:c>
      <x:c r="B98" s="38" t="str">
        <x:v>SCN</x:v>
      </x:c>
      <x:c r="C98" s="38" t="str">
        <x:v>佳木斯66米深空测控站</x:v>
      </x:c>
      <x:c r="D98" s="38" t="str">
        <x:v>P1</x:v>
      </x:c>
      <x:c r="E98" s="38" t="str">
        <x:v>已确认生产方向</x:v>
      </x:c>
      <x:c r="F98" s="38" t="str">
        <x:v>阶段2A重入后按生产包执行</x:v>
      </x:c>
      <x:c r="G98" s="39" t="str">
        <x:v>P3空镜候选</x:v>
      </x:c>
      <x:c r="H98" s="42" t="str">
        <x:v>P3</x:v>
      </x:c>
      <x:c r="I98" s="38" t="str">
        <x:v>低频外景空镜资产</x:v>
      </x:c>
      <x:c r="J98" s="38" t="str">
        <x:v>保留作短空镜候选；通话主体切内部人员，不作为主叙事画面；射电天线不得画成光学站</x:v>
      </x:c>
      <x:c r="K98" s="38" t="str">
        <x:v>用户明确降为P3；外部使用频率低</x:v>
      </x:c>
      <x:c r="L98" s="38" t="str">
        <x:v>资产主表</x:v>
      </x:c>
      <x:c r="M98" s="38" t="str">
        <x:v>场1,5,8,11；镜003,035,053,077</x:v>
      </x:c>
      <x:c r="N98" s="38" t="str">
        <x:v>V1.2剧本明确＋项目锁定＋公开工程资料边界</x:v>
      </x:c>
    </x:row>
    <x:row r="99">
      <x:c r="A99" s="38" t="str">
        <x:v>BY-SCN-P1-008-喀什35米深空测控站</x:v>
      </x:c>
      <x:c r="B99" s="38" t="str">
        <x:v>SCN</x:v>
      </x:c>
      <x:c r="C99" s="38" t="str">
        <x:v>喀什35米深空测控站</x:v>
      </x:c>
      <x:c r="D99" s="38" t="str">
        <x:v>P1</x:v>
      </x:c>
      <x:c r="E99" s="38" t="str">
        <x:v>已确认生产方向</x:v>
      </x:c>
      <x:c r="F99" s="38" t="str">
        <x:v>阶段2A重入后按生产包执行</x:v>
      </x:c>
      <x:c r="G99" s="39" t="str">
        <x:v>P3空镜候选</x:v>
      </x:c>
      <x:c r="H99" s="42" t="str">
        <x:v>P3</x:v>
      </x:c>
      <x:c r="I99" s="38" t="str">
        <x:v>低频外景空镜资产</x:v>
      </x:c>
      <x:c r="J99" s="38" t="str">
        <x:v>保留作短空镜候选；通话主体切内部人员，不作为主叙事画面；射电天线不得画成光学站</x:v>
      </x:c>
      <x:c r="K99" s="38" t="str">
        <x:v>用户明确降为P3；外部使用频率低</x:v>
      </x:c>
      <x:c r="L99" s="38" t="str">
        <x:v>资产主表</x:v>
      </x:c>
      <x:c r="M99" s="38" t="str">
        <x:v>场4,5,11；镜022,035,077</x:v>
      </x:c>
      <x:c r="N99" s="38" t="str">
        <x:v>V1.2剧本明确＋项目锁定＋公开工程资料边界</x:v>
      </x:c>
    </x:row>
    <x:row r="100">
      <x:c r="A100" s="38" t="str">
        <x:v>BY-SCN-P1-009-VLBI测轨席</x:v>
      </x:c>
      <x:c r="B100" s="38" t="str">
        <x:v>SCN</x:v>
      </x:c>
      <x:c r="C100" s="38" t="str">
        <x:v>VLBI测轨席／天衡界面</x:v>
      </x:c>
      <x:c r="D100" s="38" t="str">
        <x:v>P1</x:v>
      </x:c>
      <x:c r="E100" s="38" t="str">
        <x:v>已确认生产方向</x:v>
      </x:c>
      <x:c r="F100" s="38" t="str">
        <x:v>阶段2A重入后按生产包执行</x:v>
      </x:c>
      <x:c r="G100" s="40" t="str">
        <x:v>强制重做</x:v>
      </x:c>
      <x:c r="H100" s="42" t="str">
        <x:v>P1</x:v>
      </x:c>
      <x:c r="I100" s="38" t="str">
        <x:v>独立空间／道具资产</x:v>
      </x:c>
      <x:c r="J100" s="38" t="str">
        <x:v>屏幕信息架构、席位职责、人员数量与调度全部从零复核；不得沿用旧图的岗位标签与站位</x:v>
      </x:c>
      <x:c r="K100" s="38" t="str">
        <x:v>用户明确要求屏幕、席位职责和人员调度必须重做</x:v>
      </x:c>
      <x:c r="L100" s="38" t="str">
        <x:v>资产主表</x:v>
      </x:c>
      <x:c r="M100" s="38" t="str">
        <x:v>场12；镜083</x:v>
      </x:c>
      <x:c r="N100" s="38" t="str">
        <x:v>V1.2剧本明确＋项目锁定＋公开工程资料边界</x:v>
      </x:c>
    </x:row>
    <x:row r="101">
      <x:c r="A101" s="38" t="str">
        <x:v>BY-SCN-P1-010-北京飞控地质席</x:v>
      </x:c>
      <x:c r="B101" s="38" t="str">
        <x:v>SCN</x:v>
      </x:c>
      <x:c r="C101" s="38" t="str">
        <x:v>北京飞控地质席</x:v>
      </x:c>
      <x:c r="D101" s="38" t="str">
        <x:v>P1</x:v>
      </x:c>
      <x:c r="E101" s="38" t="str">
        <x:v>已确认生产方向</x:v>
      </x:c>
      <x:c r="F101" s="38" t="str">
        <x:v>阶段2A重入后按生产包执行</x:v>
      </x:c>
      <x:c r="G101" s="40" t="str">
        <x:v>强制重做</x:v>
      </x:c>
      <x:c r="H101" s="42" t="str">
        <x:v>P1</x:v>
      </x:c>
      <x:c r="I101" s="38" t="str">
        <x:v>独立空间／道具资产</x:v>
      </x:c>
      <x:c r="J101" s="38" t="str">
        <x:v>屏幕信息架构、席位职责、人员数量与调度全部从零复核；不得沿用旧图的岗位标签与站位</x:v>
      </x:c>
      <x:c r="K101" s="38" t="str">
        <x:v>用户明确要求屏幕、席位职责和人员调度必须重做</x:v>
      </x:c>
      <x:c r="L101" s="38" t="str">
        <x:v>资产主表</x:v>
      </x:c>
      <x:c r="M101" s="38" t="str">
        <x:v>场9；镜061</x:v>
      </x:c>
      <x:c r="N101" s="38" t="str">
        <x:v>V1.2剧本明确＋项目锁定＋公开工程资料边界</x:v>
      </x:c>
    </x:row>
    <x:row r="102">
      <x:c r="A102" s="38" t="str">
        <x:v>BY-SCN-P1-011-搜救指挥中心</x:v>
      </x:c>
      <x:c r="B102" s="38" t="str">
        <x:v>SCN</x:v>
      </x:c>
      <x:c r="C102" s="38" t="str">
        <x:v>返回器搜救指挥中心</x:v>
      </x:c>
      <x:c r="D102" s="38" t="str">
        <x:v>P1</x:v>
      </x:c>
      <x:c r="E102" s="38" t="str">
        <x:v>已确认生产方向</x:v>
      </x:c>
      <x:c r="F102" s="38" t="str">
        <x:v>阶段2A重入后按生产包执行</x:v>
      </x:c>
      <x:c r="G102" s="40" t="str">
        <x:v>强制重做</x:v>
      </x:c>
      <x:c r="H102" s="42" t="str">
        <x:v>P1</x:v>
      </x:c>
      <x:c r="I102" s="38" t="str">
        <x:v>独立空间／道具资产</x:v>
      </x:c>
      <x:c r="J102" s="38" t="str">
        <x:v>屏幕信息架构、席位职责、人员数量与调度全部从零复核；不得沿用旧图的岗位标签与站位</x:v>
      </x:c>
      <x:c r="K102" s="38" t="str">
        <x:v>用户明确要求屏幕、席位职责和人员调度必须重做</x:v>
      </x:c>
      <x:c r="L102" s="38" t="str">
        <x:v>资产主表</x:v>
      </x:c>
      <x:c r="M102" s="38" t="str">
        <x:v>场16；镜110</x:v>
      </x:c>
      <x:c r="N102" s="38" t="str">
        <x:v>V1.2剧本明确＋项目锁定＋公开工程资料边界</x:v>
      </x:c>
    </x:row>
    <x:row r="103">
      <x:c r="A103" s="38" t="str">
        <x:v>BY-LGT-P0-004-月面艺术化任务日光</x:v>
      </x:c>
      <x:c r="B103" s="38" t="str">
        <x:v>LGT</x:v>
      </x:c>
      <x:c r="C103" s="38" t="str">
        <x:v>月面艺术化任务日光</x:v>
      </x:c>
      <x:c r="D103" s="38" t="str">
        <x:v>P0</x:v>
      </x:c>
      <x:c r="E103" s="38" t="str">
        <x:v>用户已确认</x:v>
      </x:c>
      <x:c r="F103" s="38" t="str">
        <x:v>重做月面MASTER光影校准测试</x:v>
      </x:c>
      <x:c r="G103" s="41" t="str">
        <x:v>转为控制项</x:v>
      </x:c>
      <x:c r="H103" s="42" t="str">
        <x:v>P0</x:v>
      </x:c>
      <x:c r="I103" s="38" t="str">
        <x:v>灯光控制卡＋逐镜Prompt</x:v>
      </x:c>
      <x:c r="J103" s="38" t="str">
        <x:v>不按单张资产生产；作为母资产继承规则与逐镜验收条件</x:v>
      </x:c>
      <x:c r="K103" s="38" t="str">
        <x:v>本质是生成约束或关系，不是稳定独立对象</x:v>
      </x:c>
      <x:c r="L103" s="38" t="str">
        <x:v>Prompt控制项</x:v>
      </x:c>
      <x:c r="M103" s="38" t="str">
        <x:v>场5,6,7,8,9,10,11；镜027,030,032,033,034,037,038,039,042,047,048,049,050,051,052,053,054,055,056,057,058,059,060,061,062,064,066,067,068,069,074,075</x:v>
      </x:c>
      <x:c r="N103" s="38" t="str">
        <x:v>V1.2剧本明确＋项目锁定＋公开工程资料边界</x:v>
      </x:c>
    </x:row>
    <x:row r="104">
      <x:c r="A104" s="38" t="str">
        <x:v>BY-LGT-P0-005-返回舱再入等离子辉光</x:v>
      </x:c>
      <x:c r="B104" s="38" t="str">
        <x:v>LGT</x:v>
      </x:c>
      <x:c r="C104" s="38" t="str">
        <x:v>返回舱再入等离子辉光</x:v>
      </x:c>
      <x:c r="D104" s="38" t="str">
        <x:v>P0</x:v>
      </x:c>
      <x:c r="E104" s="38" t="str">
        <x:v>已确认生产方向</x:v>
      </x:c>
      <x:c r="F104" s="38" t="str">
        <x:v>阶段2A重入后按生产包执行</x:v>
      </x:c>
      <x:c r="G104" s="41" t="str">
        <x:v>转为控制项</x:v>
      </x:c>
      <x:c r="H104" s="42" t="str">
        <x:v>P0</x:v>
      </x:c>
      <x:c r="I104" s="38" t="str">
        <x:v>灯光控制卡＋逐镜Prompt</x:v>
      </x:c>
      <x:c r="J104" s="38" t="str">
        <x:v>不按单张资产生产；作为母资产继承规则与逐镜验收条件</x:v>
      </x:c>
      <x:c r="K104" s="38" t="str">
        <x:v>本质是生成约束或关系，不是稳定独立对象</x:v>
      </x:c>
      <x:c r="L104" s="38" t="str">
        <x:v>Prompt控制项</x:v>
      </x:c>
      <x:c r="M104" s="38" t="str">
        <x:v>场15；镜104,106,108</x:v>
      </x:c>
      <x:c r="N104" s="38" t="str">
        <x:v>V1.2剧本明确＋项目锁定＋公开工程资料边界</x:v>
      </x:c>
    </x:row>
    <x:row r="105">
      <x:c r="A105" s="38" t="str">
        <x:v>BY-LGT-P1-006-深空测控站任务光</x:v>
      </x:c>
      <x:c r="B105" s="38" t="str">
        <x:v>LGT</x:v>
      </x:c>
      <x:c r="C105" s="38" t="str">
        <x:v>深空测控站任务光</x:v>
      </x:c>
      <x:c r="D105" s="38" t="str">
        <x:v>P1</x:v>
      </x:c>
      <x:c r="E105" s="38" t="str">
        <x:v>已确认生产方向</x:v>
      </x:c>
      <x:c r="F105" s="38" t="str">
        <x:v>阶段2A重入后按生产包执行</x:v>
      </x:c>
      <x:c r="G105" s="41" t="str">
        <x:v>转为控制项</x:v>
      </x:c>
      <x:c r="H105" s="42" t="str">
        <x:v>P1</x:v>
      </x:c>
      <x:c r="I105" s="38" t="str">
        <x:v>灯光控制卡＋逐镜Prompt</x:v>
      </x:c>
      <x:c r="J105" s="38" t="str">
        <x:v>不按单张资产生产；作为母资产继承规则与逐镜验收条件</x:v>
      </x:c>
      <x:c r="K105" s="38" t="str">
        <x:v>本质是生成约束或关系，不是稳定独立对象</x:v>
      </x:c>
      <x:c r="L105" s="38" t="str">
        <x:v>Prompt控制项</x:v>
      </x:c>
      <x:c r="M105" s="38" t="str">
        <x:v>场1,4,5,8,11,12；镜003,022,035,053,077,083</x:v>
      </x:c>
      <x:c r="N105" s="38" t="str">
        <x:v>V1.2剧本明确＋项目锁定＋公开工程资料边界</x:v>
      </x:c>
    </x:row>
    <x:row r="106">
      <x:c r="A106" s="38" t="str">
        <x:v>BY-LGT-P1-007-搜救着陆区日间自然光</x:v>
      </x:c>
      <x:c r="B106" s="38" t="str">
        <x:v>LGT</x:v>
      </x:c>
      <x:c r="C106" s="38" t="str">
        <x:v>东风着陆场黎明—清晨自然光</x:v>
      </x:c>
      <x:c r="D106" s="38" t="str">
        <x:v>P1</x:v>
      </x:c>
      <x:c r="E106" s="38" t="str">
        <x:v>已确认生产方向</x:v>
      </x:c>
      <x:c r="F106" s="38" t="str">
        <x:v>阶段2A重入后按生产包执行</x:v>
      </x:c>
      <x:c r="G106" s="41" t="str">
        <x:v>转为控制项</x:v>
      </x:c>
      <x:c r="H106" s="42" t="str">
        <x:v>P1</x:v>
      </x:c>
      <x:c r="I106" s="38" t="str">
        <x:v>灯光控制卡＋逐镜Prompt</x:v>
      </x:c>
      <x:c r="J106" s="38" t="str">
        <x:v>不按单张资产生产；作为母资产继承规则与逐镜验收条件</x:v>
      </x:c>
      <x:c r="K106" s="38" t="str">
        <x:v>本质是生成约束或关系，不是稳定独立对象</x:v>
      </x:c>
      <x:c r="L106" s="38" t="str">
        <x:v>Prompt控制项</x:v>
      </x:c>
      <x:c r="M106" s="38" t="str">
        <x:v>第13—15场</x:v>
      </x:c>
      <x:c r="N106" s="38" t="str">
        <x:v>V1.2剧本明确＋项目锁定＋公开工程资料边界</x:v>
      </x:c>
    </x:row>
    <x:row r="107">
      <x:c r="A107" s="38" t="str">
        <x:v>BY-VEH-P0-005-梦舟月轨组合体</x:v>
      </x:c>
      <x:c r="B107" s="38" t="str">
        <x:v>VEH</x:v>
      </x:c>
      <x:c r="C107" s="38" t="str">
        <x:v>梦舟返回舱＋服务舱月轨组合体</x:v>
      </x:c>
      <x:c r="D107" s="38" t="str">
        <x:v>P0</x:v>
      </x:c>
      <x:c r="E107" s="38" t="str">
        <x:v>已确认生产方向</x:v>
      </x:c>
      <x:c r="F107" s="38" t="str">
        <x:v>阶段2A重入后按生产包执行</x:v>
      </x:c>
      <x:c r="G107" s="40" t="str">
        <x:v>重做</x:v>
      </x:c>
      <x:c r="H107" s="42" t="str">
        <x:v>P0</x:v>
      </x:c>
      <x:c r="I107" s="38" t="str">
        <x:v>独立工程构型资产</x:v>
      </x:c>
      <x:c r="J107" s="38" t="str">
        <x:v>按公开任务功能重建完整构型、舱段关系、承力／使用路径与共享制造逻辑；顾问核查后出母图</x:v>
      </x:c>
      <x:c r="K107" s="38" t="str">
        <x:v>现图不足以支撑V1.3.2工程连续性</x:v>
      </x:c>
      <x:c r="L107" s="38" t="str">
        <x:v>资产主表</x:v>
      </x:c>
      <x:c r="M107" s="38" t="str">
        <x:v>场1,2,4,12,13,14；镜002,005,008,010,011,020,021,084,085,087,093,095,096,098</x:v>
      </x:c>
      <x:c r="N107" s="38" t="str">
        <x:v>V1.2剧本明确＋项目锁定＋公开工程资料边界</x:v>
      </x:c>
    </x:row>
    <x:row r="108">
      <x:c r="A108" s="38" t="str">
        <x:v>BY-VEH-P0-006-梦舟返回舱独立再入构型</x:v>
      </x:c>
      <x:c r="B108" s="38" t="str">
        <x:v>VEH</x:v>
      </x:c>
      <x:c r="C108" s="38" t="str">
        <x:v>梦舟返回舱独立再入构型</x:v>
      </x:c>
      <x:c r="D108" s="38" t="str">
        <x:v>P0</x:v>
      </x:c>
      <x:c r="E108" s="38" t="str">
        <x:v>已确认生产方向</x:v>
      </x:c>
      <x:c r="F108" s="38" t="str">
        <x:v>阶段2A重入后按生产包执行</x:v>
      </x:c>
      <x:c r="G108" s="40" t="str">
        <x:v>重做</x:v>
      </x:c>
      <x:c r="H108" s="42" t="str">
        <x:v>P0</x:v>
      </x:c>
      <x:c r="I108" s="38" t="str">
        <x:v>独立工程构型资产</x:v>
      </x:c>
      <x:c r="J108" s="38" t="str">
        <x:v>按公开任务功能重建完整构型、舱段关系、承力／使用路径与共享制造逻辑；顾问核查后出母图</x:v>
      </x:c>
      <x:c r="K108" s="38" t="str">
        <x:v>现图不足以支撑V1.3.2工程连续性</x:v>
      </x:c>
      <x:c r="L108" s="38" t="str">
        <x:v>资产主表</x:v>
      </x:c>
      <x:c r="M108" s="38" t="str">
        <x:v>场15；镜102,104,105,106,108</x:v>
      </x:c>
      <x:c r="N108" s="38" t="str">
        <x:v>V1.2剧本明确＋项目锁定＋公开工程资料边界</x:v>
      </x:c>
    </x:row>
    <x:row r="109">
      <x:c r="A109" s="38" t="str">
        <x:v>BY-VEH-P0-007-返回舱群伞气囊着陆构型</x:v>
      </x:c>
      <x:c r="B109" s="38" t="str">
        <x:v>VEH</x:v>
      </x:c>
      <x:c r="C109" s="38" t="str">
        <x:v>返回舱群伞／气囊着陆构型</x:v>
      </x:c>
      <x:c r="D109" s="38" t="str">
        <x:v>P0</x:v>
      </x:c>
      <x:c r="E109" s="38" t="str">
        <x:v>已确认生产方向</x:v>
      </x:c>
      <x:c r="F109" s="38" t="str">
        <x:v>阶段2A重入后按生产包执行</x:v>
      </x:c>
      <x:c r="G109" s="40" t="str">
        <x:v>重做</x:v>
      </x:c>
      <x:c r="H109" s="42" t="str">
        <x:v>P0</x:v>
      </x:c>
      <x:c r="I109" s="38" t="str">
        <x:v>独立工程构型资产</x:v>
      </x:c>
      <x:c r="J109" s="38" t="str">
        <x:v>按公开任务功能重建完整构型、舱段关系、承力／使用路径与共享制造逻辑；顾问核查后出母图</x:v>
      </x:c>
      <x:c r="K109" s="38" t="str">
        <x:v>现图不足以支撑V1.3.2工程连续性</x:v>
      </x:c>
      <x:c r="L109" s="38" t="str">
        <x:v>资产主表</x:v>
      </x:c>
      <x:c r="M109" s="38" t="str">
        <x:v>场15,16；镜108,109,110,111,112,113,114</x:v>
      </x:c>
      <x:c r="N109" s="38" t="str">
        <x:v>V1.2剧本明确＋项目锁定＋公开工程资料边界</x:v>
      </x:c>
    </x:row>
    <x:row r="110">
      <x:c r="A110" s="38" t="str">
        <x:v>BY-VEH-P1-004-揽月月面起飞状态</x:v>
      </x:c>
      <x:c r="B110" s="38" t="str">
        <x:v>VEH</x:v>
      </x:c>
      <x:c r="C110" s="38" t="str">
        <x:v>揽月整器月面起飞状态</x:v>
      </x:c>
      <x:c r="D110" s="38" t="str">
        <x:v>P1</x:v>
      </x:c>
      <x:c r="E110" s="38" t="str">
        <x:v>已确认生产方向</x:v>
      </x:c>
      <x:c r="F110" s="38" t="str">
        <x:v>阶段2A重入后按生产包执行</x:v>
      </x:c>
      <x:c r="G110" s="40" t="str">
        <x:v>重做</x:v>
      </x:c>
      <x:c r="H110" s="42" t="str">
        <x:v>P1</x:v>
      </x:c>
      <x:c r="I110" s="38" t="str">
        <x:v>独立工程构型资产</x:v>
      </x:c>
      <x:c r="J110" s="38" t="str">
        <x:v>按公开任务功能重建完整构型、舱段关系、承力／使用路径与共享制造逻辑；顾问核查后出母图</x:v>
      </x:c>
      <x:c r="K110" s="38" t="str">
        <x:v>现图不足以支撑V1.3.2工程连续性</x:v>
      </x:c>
      <x:c r="L110" s="38" t="str">
        <x:v>资产主表</x:v>
      </x:c>
      <x:c r="M110" s="38" t="str">
        <x:v>场11；镜074,075,078</x:v>
      </x:c>
      <x:c r="N110" s="38" t="str">
        <x:v>V1.2剧本明确＋项目锁定＋公开工程资料边界</x:v>
      </x:c>
    </x:row>
    <x:row r="111">
      <x:c r="A111" s="38" t="str">
        <x:v>BY-VEH-P1-005-揽月月轨再对接状态</x:v>
      </x:c>
      <x:c r="B111" s="38" t="str">
        <x:v>VEH</x:v>
      </x:c>
      <x:c r="C111" s="38" t="str">
        <x:v>揽月月轨再交会对接状态</x:v>
      </x:c>
      <x:c r="D111" s="38" t="str">
        <x:v>P1</x:v>
      </x:c>
      <x:c r="E111" s="38" t="str">
        <x:v>已确认生产方向</x:v>
      </x:c>
      <x:c r="F111" s="38" t="str">
        <x:v>阶段2A重入后按生产包执行</x:v>
      </x:c>
      <x:c r="G111" s="40" t="str">
        <x:v>重做</x:v>
      </x:c>
      <x:c r="H111" s="42" t="str">
        <x:v>P1</x:v>
      </x:c>
      <x:c r="I111" s="38" t="str">
        <x:v>独立工程构型资产</x:v>
      </x:c>
      <x:c r="J111" s="38" t="str">
        <x:v>按公开任务功能重建完整构型、舱段关系、承力／使用路径与共享制造逻辑；顾问核查后出母图</x:v>
      </x:c>
      <x:c r="K111" s="38" t="str">
        <x:v>现图不足以支撑V1.3.2工程连续性</x:v>
      </x:c>
      <x:c r="L111" s="38" t="str">
        <x:v>资产主表</x:v>
      </x:c>
      <x:c r="M111" s="38" t="str">
        <x:v>场12；镜084,085,087</x:v>
      </x:c>
      <x:c r="N111" s="38" t="str">
        <x:v>V1.2剧本明确＋项目锁定＋公开工程资料边界</x:v>
      </x:c>
    </x:row>
    <x:row r="112">
      <x:c r="A112" s="38" t="str">
        <x:v>BY-VEH-P1-006-揽月受控处置状态</x:v>
      </x:c>
      <x:c r="B112" s="38" t="str">
        <x:v>VEH</x:v>
      </x:c>
      <x:c r="C112" s="38" t="str">
        <x:v>揽月受控分离处置状态</x:v>
      </x:c>
      <x:c r="D112" s="38" t="str">
        <x:v>P1</x:v>
      </x:c>
      <x:c r="E112" s="38" t="str">
        <x:v>已确认生产方向</x:v>
      </x:c>
      <x:c r="F112" s="38" t="str">
        <x:v>阶段2A重入后按生产包执行</x:v>
      </x:c>
      <x:c r="G112" s="40" t="str">
        <x:v>重做</x:v>
      </x:c>
      <x:c r="H112" s="42" t="str">
        <x:v>P1</x:v>
      </x:c>
      <x:c r="I112" s="38" t="str">
        <x:v>独立工程构型资产</x:v>
      </x:c>
      <x:c r="J112" s="38" t="str">
        <x:v>按公开任务功能重建完整构型、舱段关系、承力／使用路径与共享制造逻辑；顾问核查后出母图</x:v>
      </x:c>
      <x:c r="K112" s="38" t="str">
        <x:v>现图不足以支撑V1.3.2工程连续性</x:v>
      </x:c>
      <x:c r="L112" s="38" t="str">
        <x:v>资产主表</x:v>
      </x:c>
      <x:c r="M112" s="38" t="str">
        <x:v>场13；镜093,095</x:v>
      </x:c>
      <x:c r="N112" s="38" t="str">
        <x:v>V1.2剧本明确＋项目锁定＋公开工程资料边界</x:v>
      </x:c>
    </x:row>
    <x:row r="113">
      <x:c r="A113" s="38" t="str">
        <x:v>BY-VEH-P1-007-梦舟服务舱近地分离状态</x:v>
      </x:c>
      <x:c r="B113" s="38" t="str">
        <x:v>VEH</x:v>
      </x:c>
      <x:c r="C113" s="38" t="str">
        <x:v>梦舟服务舱近地分离状态</x:v>
      </x:c>
      <x:c r="D113" s="38" t="str">
        <x:v>P1</x:v>
      </x:c>
      <x:c r="E113" s="38" t="str">
        <x:v>已确认生产方向</x:v>
      </x:c>
      <x:c r="F113" s="38" t="str">
        <x:v>阶段2A重入后按生产包执行</x:v>
      </x:c>
      <x:c r="G113" s="40" t="str">
        <x:v>重做</x:v>
      </x:c>
      <x:c r="H113" s="42" t="str">
        <x:v>P1</x:v>
      </x:c>
      <x:c r="I113" s="38" t="str">
        <x:v>独立工程构型资产</x:v>
      </x:c>
      <x:c r="J113" s="38" t="str">
        <x:v>按公开任务功能重建完整构型、舱段关系、承力／使用路径与共享制造逻辑；顾问核查后出母图</x:v>
      </x:c>
      <x:c r="K113" s="38" t="str">
        <x:v>现图不足以支撑V1.3.2工程连续性</x:v>
      </x:c>
      <x:c r="L113" s="38" t="str">
        <x:v>资产主表</x:v>
      </x:c>
      <x:c r="M113" s="38" t="str">
        <x:v>场15；镜102</x:v>
      </x:c>
      <x:c r="N113" s="38" t="str">
        <x:v>V1.2剧本明确＋项目锁定＋公开工程资料边界</x:v>
      </x:c>
    </x:row>
    <x:row r="114">
      <x:c r="A114" s="38" t="str">
        <x:v>BY-VEH-P1-008-搜救直升机与地面车辆</x:v>
      </x:c>
      <x:c r="B114" s="38" t="str">
        <x:v>VEH</x:v>
      </x:c>
      <x:c r="C114" s="38" t="str">
        <x:v>搜救直升机与地面车辆配置</x:v>
      </x:c>
      <x:c r="D114" s="38" t="str">
        <x:v>P1</x:v>
      </x:c>
      <x:c r="E114" s="38" t="str">
        <x:v>已确认生产方向</x:v>
      </x:c>
      <x:c r="F114" s="38" t="str">
        <x:v>阶段2A重入后按生产包执行</x:v>
      </x:c>
      <x:c r="G114" s="41" t="str">
        <x:v>修订</x:v>
      </x:c>
      <x:c r="H114" s="42" t="str">
        <x:v>P1</x:v>
      </x:c>
      <x:c r="I114" s="38" t="str">
        <x:v>独立工程道具／设备资产</x:v>
      </x:c>
      <x:c r="J114" s="38" t="str">
        <x:v>按真实操作、承力、转移、维护与摄影路径复核后修订</x:v>
      </x:c>
      <x:c r="K114" s="38" t="str">
        <x:v>需要与新航天器／舱内／回收设备共享工程逻辑</x:v>
      </x:c>
      <x:c r="L114" s="38" t="str">
        <x:v>资产主表</x:v>
      </x:c>
      <x:c r="M114" s="38" t="str">
        <x:v>场16；镜110</x:v>
      </x:c>
      <x:c r="N114" s="38" t="str">
        <x:v>V1.2剧本明确＋项目锁定＋公开工程资料边界</x:v>
      </x:c>
    </x:row>
    <x:row r="115">
      <x:c r="A115" s="38" t="str">
        <x:v>BY-PRP-P1-007-任务数据盒与随身救生包</x:v>
      </x:c>
      <x:c r="B115" s="38" t="str">
        <x:v>PRP</x:v>
      </x:c>
      <x:c r="C115" s="38" t="str">
        <x:v>任务数据盒与随身救生包</x:v>
      </x:c>
      <x:c r="D115" s="38" t="str">
        <x:v>P1</x:v>
      </x:c>
      <x:c r="E115" s="38" t="str">
        <x:v>已确认生产方向</x:v>
      </x:c>
      <x:c r="F115" s="38" t="str">
        <x:v>阶段2A重入后按生产包执行</x:v>
      </x:c>
      <x:c r="G115" s="41" t="str">
        <x:v>修订</x:v>
      </x:c>
      <x:c r="H115" s="42" t="str">
        <x:v>P1</x:v>
      </x:c>
      <x:c r="I115" s="38" t="str">
        <x:v>独立工程道具／设备资产</x:v>
      </x:c>
      <x:c r="J115" s="38" t="str">
        <x:v>按真实操作、承力、转移、维护与摄影路径复核后修订</x:v>
      </x:c>
      <x:c r="K115" s="38" t="str">
        <x:v>需要与新航天器／舱内／回收设备共享工程逻辑</x:v>
      </x:c>
      <x:c r="L115" s="38" t="str">
        <x:v>资产主表</x:v>
      </x:c>
      <x:c r="M115" s="38" t="str">
        <x:v>场3；镜014</x:v>
      </x:c>
      <x:c r="N115" s="38" t="str">
        <x:v>V1.2剧本明确＋项目锁定＋公开工程资料边界</x:v>
      </x:c>
    </x:row>
    <x:row r="116">
      <x:c r="A116" s="38" t="str">
        <x:v>BY-PRP-P1-008-主样品容器编号与固定座</x:v>
      </x:c>
      <x:c r="B116" s="38" t="str">
        <x:v>PRP</x:v>
      </x:c>
      <x:c r="C116" s="38" t="str">
        <x:v>主样品容器编号、封签与固定座</x:v>
      </x:c>
      <x:c r="D116" s="38" t="str">
        <x:v>P1</x:v>
      </x:c>
      <x:c r="E116" s="38" t="str">
        <x:v>已确认生产方向</x:v>
      </x:c>
      <x:c r="F116" s="38" t="str">
        <x:v>阶段2A重入后按生产包执行</x:v>
      </x:c>
      <x:c r="G116" s="39" t="str">
        <x:v>保留候选</x:v>
      </x:c>
      <x:c r="H116" s="42" t="str">
        <x:v>P1</x:v>
      </x:c>
      <x:c r="I116" s="38" t="str">
        <x:v>独立资产</x:v>
      </x:c>
      <x:c r="J116" s="38" t="str">
        <x:v>保留为V1.3.2候选；按新构型、屏幕、光照与顾问结论做继承检查</x:v>
      </x:c>
      <x:c r="K116" s="38" t="str">
        <x:v>未触发强制退出或重做规则</x:v>
      </x:c>
      <x:c r="L116" s="38" t="str">
        <x:v>资产主表</x:v>
      </x:c>
      <x:c r="M116" s="38" t="str">
        <x:v>场10,11,13,14,16；镜068,071,076,089,101,113</x:v>
      </x:c>
      <x:c r="N116" s="38" t="str">
        <x:v>V1.2剧本明确＋项目锁定＋公开工程资料边界</x:v>
      </x:c>
    </x:row>
    <x:row r="117">
      <x:c r="A117" s="38" t="str">
        <x:v>BY-PRP-P1-009-污染控制用品</x:v>
      </x:c>
      <x:c r="B117" s="38" t="str">
        <x:v>PRP</x:v>
      </x:c>
      <x:c r="C117" s="38" t="str">
        <x:v>月尘污染控制用品</x:v>
      </x:c>
      <x:c r="D117" s="38" t="str">
        <x:v>P1</x:v>
      </x:c>
      <x:c r="E117" s="38" t="str">
        <x:v>已确认生产方向</x:v>
      </x:c>
      <x:c r="F117" s="38" t="str">
        <x:v>阶段2A重入后按生产包执行</x:v>
      </x:c>
      <x:c r="G117" s="39" t="str">
        <x:v>保留候选</x:v>
      </x:c>
      <x:c r="H117" s="42" t="str">
        <x:v>P1</x:v>
      </x:c>
      <x:c r="I117" s="38" t="str">
        <x:v>独立资产</x:v>
      </x:c>
      <x:c r="J117" s="38" t="str">
        <x:v>保留为V1.3.2候选；按新构型、屏幕、光照与顾问结论做继承检查</x:v>
      </x:c>
      <x:c r="K117" s="38" t="str">
        <x:v>未触发强制退出或重做规则</x:v>
      </x:c>
      <x:c r="L117" s="38" t="str">
        <x:v>资产主表</x:v>
      </x:c>
      <x:c r="M117" s="38" t="str">
        <x:v>场10；镜071</x:v>
      </x:c>
      <x:c r="N117" s="38" t="str">
        <x:v>V1.2剧本明确＋项目锁定＋公开工程资料边界</x:v>
      </x:c>
    </x:row>
    <x:row r="118">
      <x:c r="A118" s="38" t="str">
        <x:v>BY-PRP-P1-010-返回舱样品柜与锁止</x:v>
      </x:c>
      <x:c r="B118" s="38" t="str">
        <x:v>PRP</x:v>
      </x:c>
      <x:c r="C118" s="38" t="str">
        <x:v>梦舟返回舱样品柜与锁止</x:v>
      </x:c>
      <x:c r="D118" s="38" t="str">
        <x:v>P1</x:v>
      </x:c>
      <x:c r="E118" s="38" t="str">
        <x:v>已确认生产方向</x:v>
      </x:c>
      <x:c r="F118" s="38" t="str">
        <x:v>阶段2A重入后按生产包执行</x:v>
      </x:c>
      <x:c r="G118" s="41" t="str">
        <x:v>修订</x:v>
      </x:c>
      <x:c r="H118" s="42" t="str">
        <x:v>P1</x:v>
      </x:c>
      <x:c r="I118" s="38" t="str">
        <x:v>独立工程道具／设备资产</x:v>
      </x:c>
      <x:c r="J118" s="38" t="str">
        <x:v>按真实操作、承力、转移、维护与摄影路径复核后修订</x:v>
      </x:c>
      <x:c r="K118" s="38" t="str">
        <x:v>需要与新航天器／舱内／回收设备共享工程逻辑</x:v>
      </x:c>
      <x:c r="L118" s="38" t="str">
        <x:v>资产主表</x:v>
      </x:c>
      <x:c r="M118" s="38" t="str">
        <x:v>场14；镜101</x:v>
      </x:c>
      <x:c r="N118" s="38" t="str">
        <x:v>V1.2剧本明确＋项目锁定＋公开工程资料边界</x:v>
      </x:c>
    </x:row>
    <x:row r="119">
      <x:c r="A119" s="38" t="str">
        <x:v>BY-PRP-P1-011-返回舱信标与现场安全工具</x:v>
      </x:c>
      <x:c r="B119" s="38" t="str">
        <x:v>PRP</x:v>
      </x:c>
      <x:c r="C119" s="38" t="str">
        <x:v>返回舱信标与现场安全处置工具</x:v>
      </x:c>
      <x:c r="D119" s="38" t="str">
        <x:v>P1</x:v>
      </x:c>
      <x:c r="E119" s="38" t="str">
        <x:v>已确认生产方向</x:v>
      </x:c>
      <x:c r="F119" s="38" t="str">
        <x:v>阶段2A重入后按生产包执行</x:v>
      </x:c>
      <x:c r="G119" s="41" t="str">
        <x:v>修订</x:v>
      </x:c>
      <x:c r="H119" s="42" t="str">
        <x:v>P1</x:v>
      </x:c>
      <x:c r="I119" s="38" t="str">
        <x:v>独立工程道具／设备资产</x:v>
      </x:c>
      <x:c r="J119" s="38" t="str">
        <x:v>按真实操作、承力、转移、维护与摄影路径复核后修订</x:v>
      </x:c>
      <x:c r="K119" s="38" t="str">
        <x:v>需要与新航天器／舱内／回收设备共享工程逻辑</x:v>
      </x:c>
      <x:c r="L119" s="38" t="str">
        <x:v>资产主表</x:v>
      </x:c>
      <x:c r="M119" s="38" t="str">
        <x:v>场16；镜111</x:v>
      </x:c>
      <x:c r="N119" s="38" t="str">
        <x:v>V1.2剧本明确＋项目锁定＋公开工程资料边界</x:v>
      </x:c>
    </x:row>
    <x:row r="120">
      <x:c r="A120" s="38" t="str">
        <x:v>BY-VFX-P0-005-返回舱等离子辉光与黑障视觉</x:v>
      </x:c>
      <x:c r="B120" s="38" t="str">
        <x:v>VFX</x:v>
      </x:c>
      <x:c r="C120" s="38" t="str">
        <x:v>返回舱等离子辉光与黑障视觉</x:v>
      </x:c>
      <x:c r="D120" s="38" t="str">
        <x:v>P0</x:v>
      </x:c>
      <x:c r="E120" s="38" t="str">
        <x:v>已确认生产方向</x:v>
      </x:c>
      <x:c r="F120" s="38" t="str">
        <x:v>阶段2A重入后按生产包执行</x:v>
      </x:c>
      <x:c r="G120" s="41" t="str">
        <x:v>混合制作</x:v>
      </x:c>
      <x:c r="H120" s="42" t="str">
        <x:v>P0</x:v>
      </x:c>
      <x:c r="I120" s="38" t="str">
        <x:v>VFX物理基准测试包＋逐镜Prompt</x:v>
      </x:c>
      <x:c r="J120" s="38" t="str">
        <x:v>只固化物理规律、尺度与可接受边界；每镜运动、尘埃、辉光、伞降与冲击仍随视频生成</x:v>
      </x:c>
      <x:c r="K120" s="38" t="str">
        <x:v>高风险现象需统一测试，但不应把每个动态状态都制成静态资产</x:v>
      </x:c>
      <x:c r="L120" s="38" t="str">
        <x:v>资产主表</x:v>
      </x:c>
      <x:c r="M120" s="38" t="str">
        <x:v>场15；镜104,106,108</x:v>
      </x:c>
      <x:c r="N120" s="38" t="str">
        <x:v>V1.2剧本明确＋项目锁定＋公开工程资料边界</x:v>
      </x:c>
    </x:row>
    <x:row r="121">
      <x:c r="A121" s="38" t="str">
        <x:v>BY-VFX-P0-006-稳定伞与主伞展开</x:v>
      </x:c>
      <x:c r="B121" s="38" t="str">
        <x:v>VFX</x:v>
      </x:c>
      <x:c r="C121" s="38" t="str">
        <x:v>返回舱稳定伞／主伞展开</x:v>
      </x:c>
      <x:c r="D121" s="38" t="str">
        <x:v>P0</x:v>
      </x:c>
      <x:c r="E121" s="38" t="str">
        <x:v>已确认生产方向</x:v>
      </x:c>
      <x:c r="F121" s="38" t="str">
        <x:v>阶段2A重入后按生产包执行</x:v>
      </x:c>
      <x:c r="G121" s="41" t="str">
        <x:v>混合制作</x:v>
      </x:c>
      <x:c r="H121" s="42" t="str">
        <x:v>P0</x:v>
      </x:c>
      <x:c r="I121" s="38" t="str">
        <x:v>VFX物理基准测试包＋逐镜Prompt</x:v>
      </x:c>
      <x:c r="J121" s="38" t="str">
        <x:v>只固化物理规律、尺度与可接受边界；每镜运动、尘埃、辉光、伞降与冲击仍随视频生成</x:v>
      </x:c>
      <x:c r="K121" s="38" t="str">
        <x:v>高风险现象需统一测试，但不应把每个动态状态都制成静态资产</x:v>
      </x:c>
      <x:c r="L121" s="38" t="str">
        <x:v>资产主表</x:v>
      </x:c>
      <x:c r="M121" s="38" t="str">
        <x:v>场15；镜108</x:v>
      </x:c>
      <x:c r="N121" s="38" t="str">
        <x:v>V1.2剧本明确＋项目锁定＋公开工程资料边界</x:v>
      </x:c>
    </x:row>
    <x:row r="122">
      <x:c r="A122" s="38" t="str">
        <x:v>BY-VFX-P0-007-气囊触地滚摆</x:v>
      </x:c>
      <x:c r="B122" s="38" t="str">
        <x:v>VFX</x:v>
      </x:c>
      <x:c r="C122" s="38" t="str">
        <x:v>返回舱气囊触地与滚摆</x:v>
      </x:c>
      <x:c r="D122" s="38" t="str">
        <x:v>P0</x:v>
      </x:c>
      <x:c r="E122" s="38" t="str">
        <x:v>已确认生产方向</x:v>
      </x:c>
      <x:c r="F122" s="38" t="str">
        <x:v>阶段2A重入后按生产包执行</x:v>
      </x:c>
      <x:c r="G122" s="41" t="str">
        <x:v>混合制作</x:v>
      </x:c>
      <x:c r="H122" s="42" t="str">
        <x:v>P0</x:v>
      </x:c>
      <x:c r="I122" s="38" t="str">
        <x:v>VFX物理基准测试包＋逐镜Prompt</x:v>
      </x:c>
      <x:c r="J122" s="38" t="str">
        <x:v>只固化物理规律、尺度与可接受边界；每镜运动、尘埃、辉光、伞降与冲击仍随视频生成</x:v>
      </x:c>
      <x:c r="K122" s="38" t="str">
        <x:v>高风险现象需统一测试，但不应把每个动态状态都制成静态资产</x:v>
      </x:c>
      <x:c r="L122" s="38" t="str">
        <x:v>资产主表</x:v>
      </x:c>
      <x:c r="M122" s="38" t="str">
        <x:v>场15；镜109</x:v>
      </x:c>
      <x:c r="N122" s="38" t="str">
        <x:v>V1.2剧本明确＋项目锁定＋公开工程资料边界</x:v>
      </x:c>
    </x:row>
    <x:row r="123">
      <x:c r="A123" s="38" t="str">
        <x:v>BY-VFX-P1-004-姿控喷流</x:v>
      </x:c>
      <x:c r="B123" s="38" t="str">
        <x:v>VFX</x:v>
      </x:c>
      <x:c r="C123" s="38" t="str">
        <x:v>月轨姿态控制喷流</x:v>
      </x:c>
      <x:c r="D123" s="38" t="str">
        <x:v>P1</x:v>
      </x:c>
      <x:c r="E123" s="38" t="str">
        <x:v>已确认生产方向</x:v>
      </x:c>
      <x:c r="F123" s="38" t="str">
        <x:v>阶段2A重入后按生产包执行</x:v>
      </x:c>
      <x:c r="G123" s="43" t="str">
        <x:v>退出独立资产</x:v>
      </x:c>
      <x:c r="H123" s="42" t="str">
        <x:v>P1</x:v>
      </x:c>
      <x:c r="I123" s="38" t="str">
        <x:v>逐镜视频Prompt控制</x:v>
      </x:c>
      <x:c r="J123" s="38" t="str">
        <x:v>写入镜头级物理约束、运动路径与禁项；不制作独立静态资产</x:v>
      </x:c>
      <x:c r="K123" s="38" t="str">
        <x:v>变化依赖镜头时长、机位与运动，不具备稳定复用价值</x:v>
      </x:c>
      <x:c r="L123" s="38" t="str">
        <x:v>Prompt控制项</x:v>
      </x:c>
      <x:c r="M123" s="38" t="str">
        <x:v>场2,4,12,13,15；镜008,025,084,093,102,103</x:v>
      </x:c>
      <x:c r="N123" s="38" t="str">
        <x:v>V1.2剧本明确＋项目锁定＋公开工程资料边界</x:v>
      </x:c>
    </x:row>
    <x:row r="124">
      <x:c r="A124" s="38" t="str">
        <x:v>BY-VFX-P1-005-半弹道跳跃式再入轨迹</x:v>
      </x:c>
      <x:c r="B124" s="38" t="str">
        <x:v>VFX</x:v>
      </x:c>
      <x:c r="C124" s="38" t="str">
        <x:v>半弹道跳跃式再入轨迹</x:v>
      </x:c>
      <x:c r="D124" s="38" t="str">
        <x:v>P1</x:v>
      </x:c>
      <x:c r="E124" s="38" t="str">
        <x:v>已确认生产方向</x:v>
      </x:c>
      <x:c r="F124" s="38" t="str">
        <x:v>阶段2A重入后按生产包执行</x:v>
      </x:c>
      <x:c r="G124" s="43" t="str">
        <x:v>退出独立资产</x:v>
      </x:c>
      <x:c r="H124" s="42" t="str">
        <x:v>P1</x:v>
      </x:c>
      <x:c r="I124" s="38" t="str">
        <x:v>逐镜视频Prompt控制</x:v>
      </x:c>
      <x:c r="J124" s="38" t="str">
        <x:v>写入镜头级物理约束、运动路径与禁项；不制作独立静态资产</x:v>
      </x:c>
      <x:c r="K124" s="38" t="str">
        <x:v>变化依赖镜头时长、机位与运动，不具备稳定复用价值</x:v>
      </x:c>
      <x:c r="L124" s="38" t="str">
        <x:v>Prompt控制项</x:v>
      </x:c>
      <x:c r="M124" s="38" t="str">
        <x:v>场15；镜104,105,106</x:v>
      </x:c>
      <x:c r="N124" s="38" t="str">
        <x:v>V1.2剧本明确＋项目锁定＋公开工程资料边界</x:v>
      </x:c>
    </x:row>
    <x:row r="125">
      <x:c r="A125" s="38" t="str">
        <x:v>BY-VFX-P1-006-揽月受控处置轨迹</x:v>
      </x:c>
      <x:c r="B125" s="38" t="str">
        <x:v>VFX</x:v>
      </x:c>
      <x:c r="C125" s="38" t="str">
        <x:v>揽月受控处置轨迹</x:v>
      </x:c>
      <x:c r="D125" s="38" t="str">
        <x:v>P1</x:v>
      </x:c>
      <x:c r="E125" s="38" t="str">
        <x:v>已确认生产方向</x:v>
      </x:c>
      <x:c r="F125" s="38" t="str">
        <x:v>阶段2A重入后按生产包执行</x:v>
      </x:c>
      <x:c r="G125" s="43" t="str">
        <x:v>退出独立资产</x:v>
      </x:c>
      <x:c r="H125" s="42" t="str">
        <x:v>P1</x:v>
      </x:c>
      <x:c r="I125" s="38" t="str">
        <x:v>逐镜视频Prompt控制</x:v>
      </x:c>
      <x:c r="J125" s="38" t="str">
        <x:v>写入镜头级物理约束、运动路径与禁项；不制作独立静态资产</x:v>
      </x:c>
      <x:c r="K125" s="38" t="str">
        <x:v>变化依赖镜头时长、机位与运动，不具备稳定复用价值</x:v>
      </x:c>
      <x:c r="L125" s="38" t="str">
        <x:v>Prompt控制项</x:v>
      </x:c>
      <x:c r="M125" s="38" t="str">
        <x:v>场13；镜093,095</x:v>
      </x:c>
      <x:c r="N125" s="38" t="str">
        <x:v>V1.2剧本明确＋项目锁定＋公开工程资料边界</x:v>
      </x:c>
    </x:row>
    <x:row r="126">
      <x:c r="A126" s="38" t="str">
        <x:v>BY-VFX-P1-007-月球车轮迹与低重力扬尘</x:v>
      </x:c>
      <x:c r="B126" s="38" t="str">
        <x:v>VFX</x:v>
      </x:c>
      <x:c r="C126" s="38" t="str">
        <x:v>月球车轮迹与低重力扬尘</x:v>
      </x:c>
      <x:c r="D126" s="38" t="str">
        <x:v>P1</x:v>
      </x:c>
      <x:c r="E126" s="38" t="str">
        <x:v>已确认生产方向</x:v>
      </x:c>
      <x:c r="F126" s="38" t="str">
        <x:v>阶段2A重入后按生产包执行</x:v>
      </x:c>
      <x:c r="G126" s="43" t="str">
        <x:v>退出独立资产</x:v>
      </x:c>
      <x:c r="H126" s="42" t="str">
        <x:v>P1</x:v>
      </x:c>
      <x:c r="I126" s="38" t="str">
        <x:v>逐镜视频Prompt控制</x:v>
      </x:c>
      <x:c r="J126" s="38" t="str">
        <x:v>写入镜头级物理约束、运动路径与禁项；不制作独立静态资产</x:v>
      </x:c>
      <x:c r="K126" s="38" t="str">
        <x:v>变化依赖镜头时长、机位与运动，不具备稳定复用价值</x:v>
      </x:c>
      <x:c r="L126" s="38" t="str">
        <x:v>Prompt控制项</x:v>
      </x:c>
      <x:c r="M126" s="38" t="str">
        <x:v>场9；镜058,059,066,067</x:v>
      </x:c>
      <x:c r="N126" s="38" t="str">
        <x:v>V1.2剧本明确＋项目锁定＋公开工程资料边界</x:v>
      </x:c>
    </x:row>
    <x:row r="127">
      <x:c r="A127" s="38" t="str">
        <x:v>BY-SYM-P0-002-艺术化光照偏差推演声明</x:v>
      </x:c>
      <x:c r="B127" s="38" t="str">
        <x:v>SYM</x:v>
      </x:c>
      <x:c r="C127" s="38" t="str">
        <x:v>艺术化光照偏差推演声明</x:v>
      </x:c>
      <x:c r="D127" s="38" t="str">
        <x:v>P0</x:v>
      </x:c>
      <x:c r="E127" s="38" t="str">
        <x:v>用户已确认</x:v>
      </x:c>
      <x:c r="F127" s="38" t="str">
        <x:v>建立后期包装规范；不进入生图正文</x:v>
      </x:c>
      <x:c r="G127" s="43" t="str">
        <x:v>停用（规则替代）</x:v>
      </x:c>
      <x:c r="H127" s="42" t="str">
        <x:v>P2</x:v>
      </x:c>
      <x:c r="I127" s="38" t="str">
        <x:v>不单列资产</x:v>
      </x:c>
      <x:c r="J127" s="38" t="str">
        <x:v>由日期一致的月面光照控制与通用未来纪实推演标识替代</x:v>
      </x:c>
      <x:c r="K127" s="38" t="str">
        <x:v>不再采用独立艺术化偏差光照口径</x:v>
      </x:c>
      <x:c r="L127" s="38" t="str">
        <x:v>仅审计追溯</x:v>
      </x:c>
      <x:c r="M127" s="38" t="str">
        <x:v>场1,16；镜001,114</x:v>
      </x:c>
      <x:c r="N127" s="38" t="str">
        <x:v>V1.2剧本明确＋项目锁定＋公开工程资料边界</x:v>
      </x:c>
    </x:row>
    <x:row r="128">
      <x:c r="A128" s="38" t="str">
        <x:v>BY-SYM-P1-004-任务轨迹与相位图模板</x:v>
      </x:c>
      <x:c r="B128" s="38" t="str">
        <x:v>SYM</x:v>
      </x:c>
      <x:c r="C128" s="38" t="str">
        <x:v>任务轨迹、相位与走廊图后期模板</x:v>
      </x:c>
      <x:c r="D128" s="38" t="str">
        <x:v>P1</x:v>
      </x:c>
      <x:c r="E128" s="38" t="str">
        <x:v>已确认生产方向</x:v>
      </x:c>
      <x:c r="F128" s="38" t="str">
        <x:v>阶段2A重入后按生产包执行</x:v>
      </x:c>
      <x:c r="G128" s="40" t="str">
        <x:v>重做</x:v>
      </x:c>
      <x:c r="H128" s="42" t="str">
        <x:v>P1</x:v>
      </x:c>
      <x:c r="I128" s="38" t="str">
        <x:v>独立后期图形资产</x:v>
      </x:c>
      <x:c r="J128" s="38" t="str">
        <x:v>按V1.3.2日期、任务阶段、RF／光通信分工及新席位体系重建；不得继承旧屏内容</x:v>
      </x:c>
      <x:c r="K128" s="38" t="str">
        <x:v>屏幕体系强制重做</x:v>
      </x:c>
      <x:c r="L128" s="38" t="str">
        <x:v>资产主表</x:v>
      </x:c>
      <x:c r="M128" s="38" t="str">
        <x:v>场1,2,3,4,5,6,7,8,9,10,14,16；镜003,004,006,007,012,018,019,022,023,026,028,029,034,042,046,053,065,070,099,113</x:v>
      </x:c>
      <x:c r="N128" s="38" t="str">
        <x:v>V1.2剧本明确＋项目锁定＋公开工程资料边界</x:v>
      </x:c>
    </x:row>
    <x:row r="129">
      <x:c r="A129" s="38" t="str">
        <x:v>BY-SYM-P1-005-样品编号与封签模板</x:v>
      </x:c>
      <x:c r="B129" s="38" t="str">
        <x:v>SYM</x:v>
      </x:c>
      <x:c r="C129" s="38" t="str">
        <x:v>样品编号、封签与接收状态模板</x:v>
      </x:c>
      <x:c r="D129" s="38" t="str">
        <x:v>P1</x:v>
      </x:c>
      <x:c r="E129" s="38" t="str">
        <x:v>已确认生产方向</x:v>
      </x:c>
      <x:c r="F129" s="38" t="str">
        <x:v>阶段2A重入后按生产包执行</x:v>
      </x:c>
      <x:c r="G129" s="39" t="str">
        <x:v>保留候选</x:v>
      </x:c>
      <x:c r="H129" s="42" t="str">
        <x:v>P1</x:v>
      </x:c>
      <x:c r="I129" s="38" t="str">
        <x:v>独立资产</x:v>
      </x:c>
      <x:c r="J129" s="38" t="str">
        <x:v>保留为V1.3.2候选；按新构型、屏幕、光照与顾问结论做继承检查</x:v>
      </x:c>
      <x:c r="K129" s="38" t="str">
        <x:v>未触发强制退出或重做规则</x:v>
      </x:c>
      <x:c r="L129" s="38" t="str">
        <x:v>资产主表</x:v>
      </x:c>
      <x:c r="M129" s="38" t="str">
        <x:v>场7,9；镜045,059,062</x:v>
      </x:c>
      <x:c r="N129" s="38" t="str">
        <x:v>V1.2剧本明确＋项目锁定＋公开工程资料边界</x:v>
      </x:c>
    </x:row>
    <x:row r="130">
      <x:c r="A130" s="38" t="str">
        <x:v>BY-CRO-P1-002-深空测控值班团队</x:v>
      </x:c>
      <x:c r="B130" s="38" t="str">
        <x:v>CRO</x:v>
      </x:c>
      <x:c r="C130" s="38" t="str">
        <x:v>深空测控值班团队</x:v>
      </x:c>
      <x:c r="D130" s="38" t="str">
        <x:v>P1</x:v>
      </x:c>
      <x:c r="E130" s="38" t="str">
        <x:v>已确认生产方向</x:v>
      </x:c>
      <x:c r="F130" s="38" t="str">
        <x:v>阶段2A重入后按生产包执行</x:v>
      </x:c>
      <x:c r="G130" s="40" t="str">
        <x:v>强制重做</x:v>
      </x:c>
      <x:c r="H130" s="42" t="str">
        <x:v>P1</x:v>
      </x:c>
      <x:c r="I130" s="38" t="str">
        <x:v>独立团队／群组资产</x:v>
      </x:c>
      <x:c r="J130" s="38" t="str">
        <x:v>屏幕信息架构、席位职责、人员数量与调度全部从零复核；不得沿用旧图的岗位标签与站位</x:v>
      </x:c>
      <x:c r="K130" s="38" t="str">
        <x:v>用户明确要求屏幕、席位职责和人员调度必须重做</x:v>
      </x:c>
      <x:c r="L130" s="38" t="str">
        <x:v>资产主表</x:v>
      </x:c>
      <x:c r="M130" s="38" t="str">
        <x:v>场1,4,5,8,11；镜003,022,035,053,077</x:v>
      </x:c>
      <x:c r="N130" s="38" t="str">
        <x:v>V1.2剧本明确＋项目锁定＋公开工程资料边界</x:v>
      </x:c>
    </x:row>
    <x:row r="131">
      <x:c r="A131" s="38" t="str">
        <x:v>BY-CRO-P1-003-搜救与医疗团队</x:v>
      </x:c>
      <x:c r="B131" s="38" t="str">
        <x:v>CRO</x:v>
      </x:c>
      <x:c r="C131" s="38" t="str">
        <x:v>搜救、安全处置与医疗团队</x:v>
      </x:c>
      <x:c r="D131" s="38" t="str">
        <x:v>P1</x:v>
      </x:c>
      <x:c r="E131" s="38" t="str">
        <x:v>已确认生产方向</x:v>
      </x:c>
      <x:c r="F131" s="38" t="str">
        <x:v>阶段2A重入后按生产包执行</x:v>
      </x:c>
      <x:c r="G131" s="40" t="str">
        <x:v>强制重做</x:v>
      </x:c>
      <x:c r="H131" s="42" t="str">
        <x:v>P1</x:v>
      </x:c>
      <x:c r="I131" s="38" t="str">
        <x:v>独立团队／群组资产</x:v>
      </x:c>
      <x:c r="J131" s="38" t="str">
        <x:v>屏幕信息架构、席位职责、人员数量与调度全部从零复核；不得沿用旧图的岗位标签与站位</x:v>
      </x:c>
      <x:c r="K131" s="38" t="str">
        <x:v>用户明确要求屏幕、席位职责和人员调度必须重做</x:v>
      </x:c>
      <x:c r="L131" s="38" t="str">
        <x:v>资产主表</x:v>
      </x:c>
      <x:c r="M131" s="38" t="str">
        <x:v>场16；镜110,111,112,113,114</x:v>
      </x:c>
      <x:c r="N131" s="38" t="str">
        <x:v>V1.2剧本明确＋项目锁定＋公开工程资料边界</x:v>
      </x:c>
    </x:row>
    <x:row r="132">
      <x:c r="A132" s="38" t="str">
        <x:v>BY-VOI-P1-005-林海深空测控声音</x:v>
      </x:c>
      <x:c r="B132" s="38" t="str">
        <x:v>VOI</x:v>
      </x:c>
      <x:c r="C132" s="38" t="str">
        <x:v>林海深空测控稳定音色</x:v>
      </x:c>
      <x:c r="D132" s="38" t="str">
        <x:v>P1</x:v>
      </x:c>
      <x:c r="E132" s="38" t="str">
        <x:v>已确认生产方向</x:v>
      </x:c>
      <x:c r="F132" s="38" t="str">
        <x:v>阶段2A重入后按生产包执行</x:v>
      </x:c>
      <x:c r="G132" s="39" t="str">
        <x:v>保留</x:v>
      </x:c>
      <x:c r="H132" s="42" t="str">
        <x:v>P1</x:v>
      </x:c>
      <x:c r="I132" s="38" t="str">
        <x:v>独立稳定音色资产</x:v>
      </x:c>
      <x:c r="J132" s="38" t="str">
        <x:v>角色音色独立确认登记；具体对白与通信质感仍随视频同步生成</x:v>
      </x:c>
      <x:c r="K132" s="38" t="str">
        <x:v>跨镜头身份稳定需要</x:v>
      </x:c>
      <x:c r="L132" s="38" t="str">
        <x:v>资产主表</x:v>
      </x:c>
      <x:c r="M132" s="38" t="str">
        <x:v>场1,5,8,11,14；镜003,028,035,053,077,097</x:v>
      </x:c>
      <x:c r="N132" s="38" t="str">
        <x:v>V1.2剧本明确＋项目锁定＋公开工程资料边界</x:v>
      </x:c>
    </x:row>
    <x:row r="133">
      <x:c r="A133" s="38" t="str">
        <x:v>BY-VOI-P1-006-叶河深空测控声音</x:v>
      </x:c>
      <x:c r="B133" s="38" t="str">
        <x:v>VOI</x:v>
      </x:c>
      <x:c r="C133" s="38" t="str">
        <x:v>叶河深空测控稳定音色</x:v>
      </x:c>
      <x:c r="D133" s="38" t="str">
        <x:v>P1</x:v>
      </x:c>
      <x:c r="E133" s="38" t="str">
        <x:v>已确认生产方向</x:v>
      </x:c>
      <x:c r="F133" s="38" t="str">
        <x:v>阶段2A重入后按生产包执行</x:v>
      </x:c>
      <x:c r="G133" s="39" t="str">
        <x:v>保留</x:v>
      </x:c>
      <x:c r="H133" s="42" t="str">
        <x:v>P1</x:v>
      </x:c>
      <x:c r="I133" s="38" t="str">
        <x:v>独立稳定音色资产</x:v>
      </x:c>
      <x:c r="J133" s="38" t="str">
        <x:v>角色音色独立确认登记；具体对白与通信质感仍随视频同步生成</x:v>
      </x:c>
      <x:c r="K133" s="38" t="str">
        <x:v>跨镜头身份稳定需要</x:v>
      </x:c>
      <x:c r="L133" s="38" t="str">
        <x:v>资产主表</x:v>
      </x:c>
      <x:c r="M133" s="38" t="str">
        <x:v>场4,5,11；镜022,035,077</x:v>
      </x:c>
      <x:c r="N133" s="38" t="str">
        <x:v>V1.2剧本明确＋项目锁定＋公开工程资料边界</x:v>
      </x:c>
    </x:row>
    <x:row r="134">
      <x:c r="A134" s="38" t="str">
        <x:v>BY-VOI-P1-007-天衡测轨声音</x:v>
      </x:c>
      <x:c r="B134" s="38" t="str">
        <x:v>VOI</x:v>
      </x:c>
      <x:c r="C134" s="38" t="str">
        <x:v>天衡VLBI测轨稳定音色</x:v>
      </x:c>
      <x:c r="D134" s="38" t="str">
        <x:v>P1</x:v>
      </x:c>
      <x:c r="E134" s="38" t="str">
        <x:v>已确认生产方向</x:v>
      </x:c>
      <x:c r="F134" s="38" t="str">
        <x:v>阶段2A重入后按生产包执行</x:v>
      </x:c>
      <x:c r="G134" s="39" t="str">
        <x:v>保留</x:v>
      </x:c>
      <x:c r="H134" s="42" t="str">
        <x:v>P1</x:v>
      </x:c>
      <x:c r="I134" s="38" t="str">
        <x:v>独立稳定音色资产</x:v>
      </x:c>
      <x:c r="J134" s="38" t="str">
        <x:v>角色音色独立确认登记；具体对白与通信质感仍随视频同步生成</x:v>
      </x:c>
      <x:c r="K134" s="38" t="str">
        <x:v>跨镜头身份稳定需要</x:v>
      </x:c>
      <x:c r="L134" s="38" t="str">
        <x:v>资产主表</x:v>
      </x:c>
      <x:c r="M134" s="38" t="str">
        <x:v>场4,5,10,12,14；镜022,035,072,083,099</x:v>
      </x:c>
      <x:c r="N134" s="38" t="str">
        <x:v>V1.2剧本明确＋项目锁定＋公开工程资料边界</x:v>
      </x:c>
    </x:row>
    <x:row r="135">
      <x:c r="A135" s="38" t="str">
        <x:v>BY-VOI-P1-008-搜救指挥声音</x:v>
      </x:c>
      <x:c r="B135" s="38" t="str">
        <x:v>VOI</x:v>
      </x:c>
      <x:c r="C135" s="38" t="str">
        <x:v>东风着陆场调度／搜救指挥稳定音色</x:v>
      </x:c>
      <x:c r="D135" s="38" t="str">
        <x:v>P1</x:v>
      </x:c>
      <x:c r="E135" s="38" t="str">
        <x:v>已确认生产方向</x:v>
      </x:c>
      <x:c r="F135" s="38" t="str">
        <x:v>阶段2A重入后按生产包执行</x:v>
      </x:c>
      <x:c r="G135" s="39" t="str">
        <x:v>保留</x:v>
      </x:c>
      <x:c r="H135" s="42" t="str">
        <x:v>P1</x:v>
      </x:c>
      <x:c r="I135" s="38" t="str">
        <x:v>独立稳定音色资产</x:v>
      </x:c>
      <x:c r="J135" s="38" t="str">
        <x:v>角色音色独立确认登记；具体对白与通信质感仍随视频同步生成</x:v>
      </x:c>
      <x:c r="K135" s="38" t="str">
        <x:v>跨镜头身份稳定需要</x:v>
      </x:c>
      <x:c r="L135" s="38" t="str">
        <x:v>资产主表</x:v>
      </x:c>
      <x:c r="M135" s="38" t="str">
        <x:v>第13—15场</x:v>
      </x:c>
      <x:c r="N135" s="38" t="str">
        <x:v>V1.2剧本明确＋项目锁定＋公开工程资料边界</x:v>
      </x:c>
    </x:row>
    <x:row r="136">
      <x:c r="A136" s="38" t="str">
        <x:v>BY-VOI-P1-009-小天任务智能体声音</x:v>
      </x:c>
      <x:c r="B136" s="38" t="str">
        <x:v>VOI</x:v>
      </x:c>
      <x:c r="C136" s="38" t="str">
        <x:v>小天任务智能体稳定音色</x:v>
      </x:c>
      <x:c r="D136" s="38" t="str">
        <x:v>P1</x:v>
      </x:c>
      <x:c r="E136" s="38" t="str">
        <x:v>已确认生产方向</x:v>
      </x:c>
      <x:c r="F136" s="38" t="str">
        <x:v>阶段2A重入后按生产包执行</x:v>
      </x:c>
      <x:c r="G136" s="39" t="str">
        <x:v>保留</x:v>
      </x:c>
      <x:c r="H136" s="42" t="str">
        <x:v>P1</x:v>
      </x:c>
      <x:c r="I136" s="38" t="str">
        <x:v>独立稳定音色资产</x:v>
      </x:c>
      <x:c r="J136" s="38" t="str">
        <x:v>角色音色独立确认登记；具体对白与通信质感仍随视频同步生成</x:v>
      </x:c>
      <x:c r="K136" s="38" t="str">
        <x:v>跨镜头身份稳定需要</x:v>
      </x:c>
      <x:c r="L136" s="38" t="str">
        <x:v>资产主表</x:v>
      </x:c>
      <x:c r="M136" s="38" t="str">
        <x:v>场1,2,3,5,7,10,11,12,13,15；镜004,007,018,030,032,034,046,070,076,085,094,103</x:v>
      </x:c>
      <x:c r="N136" s="38" t="str">
        <x:v>V1.2剧本明确＋项目锁定＋公开工程资料边界</x:v>
      </x:c>
    </x:row>
    <x:row r="137">
      <x:c r="A137" s="38" t="str">
        <x:v>BY-VOI-P1-010-北京地质席声音</x:v>
      </x:c>
      <x:c r="B137" s="38" t="str">
        <x:v>VOI</x:v>
      </x:c>
      <x:c r="C137" s="38" t="str">
        <x:v>北京地质席稳定音色</x:v>
      </x:c>
      <x:c r="D137" s="38" t="str">
        <x:v>P1</x:v>
      </x:c>
      <x:c r="E137" s="38" t="str">
        <x:v>已确认生产方向</x:v>
      </x:c>
      <x:c r="F137" s="38" t="str">
        <x:v>阶段2A重入后按生产包执行</x:v>
      </x:c>
      <x:c r="G137" s="39" t="str">
        <x:v>保留</x:v>
      </x:c>
      <x:c r="H137" s="42" t="str">
        <x:v>P1</x:v>
      </x:c>
      <x:c r="I137" s="38" t="str">
        <x:v>独立稳定音色资产</x:v>
      </x:c>
      <x:c r="J137" s="38" t="str">
        <x:v>角色音色独立确认登记；具体对白与通信质感仍随视频同步生成</x:v>
      </x:c>
      <x:c r="K137" s="38" t="str">
        <x:v>跨镜头身份稳定需要</x:v>
      </x:c>
      <x:c r="L137" s="38" t="str">
        <x:v>资产主表</x:v>
      </x:c>
      <x:c r="M137" s="38" t="str">
        <x:v>场9；镜061</x:v>
      </x:c>
      <x:c r="N137" s="38" t="str">
        <x:v>V1.2剧本明确＋项目锁定＋公开工程资料边界</x:v>
      </x:c>
    </x:row>
    <x:row r="138">
      <x:c r="A138" s="38" t="str">
        <x:v>BY-VOI-P1-011-现场指挥声音</x:v>
      </x:c>
      <x:c r="B138" s="38" t="str">
        <x:v>VOI</x:v>
      </x:c>
      <x:c r="C138" s="38" t="str">
        <x:v>回收现场指挥稳定音色</x:v>
      </x:c>
      <x:c r="D138" s="38" t="str">
        <x:v>P1</x:v>
      </x:c>
      <x:c r="E138" s="38" t="str">
        <x:v>已确认生产方向</x:v>
      </x:c>
      <x:c r="F138" s="38" t="str">
        <x:v>阶段2A重入后按生产包执行</x:v>
      </x:c>
      <x:c r="G138" s="39" t="str">
        <x:v>保留</x:v>
      </x:c>
      <x:c r="H138" s="42" t="str">
        <x:v>P1</x:v>
      </x:c>
      <x:c r="I138" s="38" t="str">
        <x:v>独立稳定音色资产</x:v>
      </x:c>
      <x:c r="J138" s="38" t="str">
        <x:v>角色音色独立确认登记；具体对白与通信质感仍随视频同步生成</x:v>
      </x:c>
      <x:c r="K138" s="38" t="str">
        <x:v>跨镜头身份稳定需要</x:v>
      </x:c>
      <x:c r="L138" s="38" t="str">
        <x:v>资产主表</x:v>
      </x:c>
      <x:c r="M138" s="38" t="str">
        <x:v>场16；镜111</x:v>
      </x:c>
      <x:c r="N138" s="38" t="str">
        <x:v>V1.2剧本明确＋项目锁定＋公开工程资料边界</x:v>
      </x:c>
    </x:row>
    <x:row r="139">
      <x:c r="A139" s="38" t="str">
        <x:v>BY-SND-P1-004-再入结构与通信衰减</x:v>
      </x:c>
      <x:c r="B139" s="38" t="str">
        <x:v>SND</x:v>
      </x:c>
      <x:c r="C139" s="38" t="str">
        <x:v>再入舱内结构与通信衰减</x:v>
      </x:c>
      <x:c r="D139" s="38" t="str">
        <x:v>P1</x:v>
      </x:c>
      <x:c r="E139" s="38" t="str">
        <x:v>已确认生产方向</x:v>
      </x:c>
      <x:c r="F139" s="38" t="str">
        <x:v>阶段2A重入后按生产包执行</x:v>
      </x:c>
      <x:c r="G139" s="43" t="str">
        <x:v>退出独立资产</x:v>
      </x:c>
      <x:c r="H139" s="42" t="str">
        <x:v>P1</x:v>
      </x:c>
      <x:c r="I139" s="38" t="str">
        <x:v>随视频同步生成／逐镜声音Prompt</x:v>
      </x:c>
      <x:c r="J139" s="38" t="str">
        <x:v>对白、无线电、设备声、任务通信随视频同步；全片无配乐；月面外部无空气传播声</x:v>
      </x:c>
      <x:c r="K139" s="38" t="str">
        <x:v>项目声音锁定口径</x:v>
      </x:c>
      <x:c r="L139" s="38" t="str">
        <x:v>Prompt控制项</x:v>
      </x:c>
      <x:c r="M139" s="38" t="str">
        <x:v>场15；镜102,103,104,105,106,108</x:v>
      </x:c>
      <x:c r="N139" s="38" t="str">
        <x:v>V1.2剧本明确＋项目锁定＋公开工程资料边界</x:v>
      </x:c>
    </x:row>
    <x:row r="140">
      <x:c r="A140" s="38" t="str">
        <x:v>BY-SND-P1-005-降落伞与着陆冲击</x:v>
      </x:c>
      <x:c r="B140" s="38" t="str">
        <x:v>SND</x:v>
      </x:c>
      <x:c r="C140" s="38" t="str">
        <x:v>降落伞气动与着陆冲击</x:v>
      </x:c>
      <x:c r="D140" s="38" t="str">
        <x:v>P1</x:v>
      </x:c>
      <x:c r="E140" s="38" t="str">
        <x:v>已确认生产方向</x:v>
      </x:c>
      <x:c r="F140" s="38" t="str">
        <x:v>阶段2A重入后按生产包执行</x:v>
      </x:c>
      <x:c r="G140" s="43" t="str">
        <x:v>退出独立资产</x:v>
      </x:c>
      <x:c r="H140" s="42" t="str">
        <x:v>P1</x:v>
      </x:c>
      <x:c r="I140" s="38" t="str">
        <x:v>随视频同步生成／逐镜声音Prompt</x:v>
      </x:c>
      <x:c r="J140" s="38" t="str">
        <x:v>对白、无线电、设备声、任务通信随视频同步；全片无配乐；月面外部无空气传播声</x:v>
      </x:c>
      <x:c r="K140" s="38" t="str">
        <x:v>项目声音锁定口径</x:v>
      </x:c>
      <x:c r="L140" s="38" t="str">
        <x:v>Prompt控制项</x:v>
      </x:c>
      <x:c r="M140" s="38" t="str">
        <x:v>场15；镜108,109</x:v>
      </x:c>
      <x:c r="N140" s="38" t="str">
        <x:v>V1.2剧本明确＋项目锁定＋公开工程资料边界</x:v>
      </x:c>
    </x:row>
    <x:row r="141">
      <x:c r="A141" s="38" t="str">
        <x:v>BY-SND-P1-006-搜救现场声</x:v>
      </x:c>
      <x:c r="B141" s="38" t="str">
        <x:v>SND</x:v>
      </x:c>
      <x:c r="C141" s="38" t="str">
        <x:v>搜救现场风声、车辆设备与远距通信</x:v>
      </x:c>
      <x:c r="D141" s="38" t="str">
        <x:v>P1</x:v>
      </x:c>
      <x:c r="E141" s="38" t="str">
        <x:v>已确认生产方向</x:v>
      </x:c>
      <x:c r="F141" s="38" t="str">
        <x:v>阶段2A重入后按生产包执行</x:v>
      </x:c>
      <x:c r="G141" s="43" t="str">
        <x:v>退出独立资产</x:v>
      </x:c>
      <x:c r="H141" s="42" t="str">
        <x:v>P1</x:v>
      </x:c>
      <x:c r="I141" s="38" t="str">
        <x:v>随视频同步生成／逐镜声音Prompt</x:v>
      </x:c>
      <x:c r="J141" s="38" t="str">
        <x:v>对白、无线电、设备声、任务通信随视频同步；全片无配乐；月面外部无空气传播声</x:v>
      </x:c>
      <x:c r="K141" s="38" t="str">
        <x:v>项目声音锁定口径</x:v>
      </x:c>
      <x:c r="L141" s="38" t="str">
        <x:v>Prompt控制项</x:v>
      </x:c>
      <x:c r="M141" s="38" t="str">
        <x:v>场16；镜110,111,112,113,114</x:v>
      </x:c>
      <x:c r="N141" s="38" t="str">
        <x:v>V1.2剧本明确＋项目锁定＋公开工程资料边界</x:v>
      </x:c>
    </x:row>
    <x:row r="142">
      <x:c r="A142" s="38" t="str">
        <x:v>BY-SND-P1-007-月球车设备链路结构声</x:v>
      </x:c>
      <x:c r="B142" s="38" t="str">
        <x:v>SND</x:v>
      </x:c>
      <x:c r="C142" s="38" t="str">
        <x:v>月球车设备链路结构声</x:v>
      </x:c>
      <x:c r="D142" s="38" t="str">
        <x:v>P1</x:v>
      </x:c>
      <x:c r="E142" s="38" t="str">
        <x:v>已确认生产方向</x:v>
      </x:c>
      <x:c r="F142" s="38" t="str">
        <x:v>阶段2A重入后按生产包执行</x:v>
      </x:c>
      <x:c r="G142" s="43" t="str">
        <x:v>退出独立资产</x:v>
      </x:c>
      <x:c r="H142" s="42" t="str">
        <x:v>P1</x:v>
      </x:c>
      <x:c r="I142" s="38" t="str">
        <x:v>随视频同步生成／逐镜声音Prompt</x:v>
      </x:c>
      <x:c r="J142" s="38" t="str">
        <x:v>对白、无线电、设备声、任务通信随视频同步；全片无配乐；月面外部无空气传播声</x:v>
      </x:c>
      <x:c r="K142" s="38" t="str">
        <x:v>项目声音锁定口径</x:v>
      </x:c>
      <x:c r="L142" s="38" t="str">
        <x:v>Prompt控制项</x:v>
      </x:c>
      <x:c r="M142" s="38" t="str">
        <x:v>场9；镜058,059,066,067</x:v>
      </x:c>
      <x:c r="N142" s="38" t="str">
        <x:v>V1.2剧本明确＋项目锁定＋公开工程资料边界</x:v>
      </x:c>
    </x:row>
    <x:row r="143">
      <x:c r="A143" s="38" t="str">
        <x:v>BY-SND-P1-008-飞控与测控大厅底噪</x:v>
      </x:c>
      <x:c r="B143" s="38" t="str">
        <x:v>SND</x:v>
      </x:c>
      <x:c r="C143" s="38" t="str">
        <x:v>飞控与测控大厅设备底噪</x:v>
      </x:c>
      <x:c r="D143" s="38" t="str">
        <x:v>P1</x:v>
      </x:c>
      <x:c r="E143" s="38" t="str">
        <x:v>已确认生产方向</x:v>
      </x:c>
      <x:c r="F143" s="38" t="str">
        <x:v>阶段2A重入后按生产包执行</x:v>
      </x:c>
      <x:c r="G143" s="43" t="str">
        <x:v>退出独立资产</x:v>
      </x:c>
      <x:c r="H143" s="42" t="str">
        <x:v>P1</x:v>
      </x:c>
      <x:c r="I143" s="38" t="str">
        <x:v>随视频同步生成／逐镜声音Prompt</x:v>
      </x:c>
      <x:c r="J143" s="38" t="str">
        <x:v>对白、无线电、设备声、任务通信随视频同步；全片无配乐；月面外部无空气传播声</x:v>
      </x:c>
      <x:c r="K143" s="38" t="str">
        <x:v>项目声音锁定口径</x:v>
      </x:c>
      <x:c r="L143" s="38" t="str">
        <x:v>Prompt控制项</x:v>
      </x:c>
      <x:c r="M143" s="38" t="str">
        <x:v>场2,4,5,6,8,10,11,12,14,15,16；镜006,012,022,028,031,035,041,053,072,077,083,088,097,104,107,113</x:v>
      </x:c>
      <x:c r="N143" s="38" t="str">
        <x:v>V1.2剧本明确＋项目锁定＋公开工程资料边界</x:v>
      </x:c>
    </x:row>
    <x:row r="144">
      <x:c r="A144" s="38" t="str">
        <x:v>BY-REL-P0-009-梦舟三座返航承载与环月工作位</x:v>
      </x:c>
      <x:c r="B144" s="38" t="str">
        <x:v>REL</x:v>
      </x:c>
      <x:c r="C144" s="38" t="str">
        <x:v>梦舟三座四种乘员状态与环月工作位关系</x:v>
      </x:c>
      <x:c r="D144" s="38" t="str">
        <x:v>P0</x:v>
      </x:c>
      <x:c r="E144" s="38" t="str">
        <x:v>已确认生产方向</x:v>
      </x:c>
      <x:c r="F144" s="38" t="str">
        <x:v>阶段2A重入后按生产包执行</x:v>
      </x:c>
      <x:c r="G144" s="41" t="str">
        <x:v>转为控制项</x:v>
      </x:c>
      <x:c r="H144" s="42" t="str">
        <x:v>P0</x:v>
      </x:c>
      <x:c r="I144" s="38" t="str">
        <x:v>连续性／动作链Prompt控制</x:v>
      </x:c>
      <x:c r="J144" s="38" t="str">
        <x:v>不按单张资产生产；作为母资产继承规则与逐镜验收条件</x:v>
      </x:c>
      <x:c r="K144" s="38" t="str">
        <x:v>本质是生成约束或关系，不是稳定独立对象</x:v>
      </x:c>
      <x:c r="L144" s="38" t="str">
        <x:v>Prompt控制项</x:v>
      </x:c>
      <x:c r="M144" s="38" t="str">
        <x:v>第1—3、5、11、14—15场</x:v>
      </x:c>
      <x:c r="N144" s="38" t="str">
        <x:v>V1.2剧本明确＋项目锁定＋公开工程资料边界</x:v>
      </x:c>
    </x:row>
    <x:row r="145">
      <x:c r="A145" s="38" t="str">
        <x:v>BY-REL-P0-010-梦舟轴向转移顺序</x:v>
      </x:c>
      <x:c r="B145" s="38" t="str">
        <x:v>REL</x:v>
      </x:c>
      <x:c r="C145" s="38" t="str">
        <x:v>梦舟轴向通道人员／样品转移顺序</x:v>
      </x:c>
      <x:c r="D145" s="38" t="str">
        <x:v>P0</x:v>
      </x:c>
      <x:c r="E145" s="38" t="str">
        <x:v>已确认生产方向</x:v>
      </x:c>
      <x:c r="F145" s="38" t="str">
        <x:v>阶段2A重入后按生产包执行</x:v>
      </x:c>
      <x:c r="G145" s="41" t="str">
        <x:v>转为控制项</x:v>
      </x:c>
      <x:c r="H145" s="42" t="str">
        <x:v>P0</x:v>
      </x:c>
      <x:c r="I145" s="38" t="str">
        <x:v>连续性／动作链Prompt控制</x:v>
      </x:c>
      <x:c r="J145" s="38" t="str">
        <x:v>不按单张资产生产；作为母资产继承规则与逐镜验收条件</x:v>
      </x:c>
      <x:c r="K145" s="38" t="str">
        <x:v>本质是生成约束或关系，不是稳定独立对象</x:v>
      </x:c>
      <x:c r="L145" s="38" t="str">
        <x:v>Prompt控制项</x:v>
      </x:c>
      <x:c r="M145" s="38" t="str"/>
      <x:c r="N145" s="38" t="str">
        <x:v>V1.2剧本明确＋项目锁定＋公开工程资料边界</x:v>
      </x:c>
    </x:row>
    <x:row r="146">
      <x:c r="A146" s="38" t="str">
        <x:v>BY-REL-P0-011-梦舟返地构型状态链</x:v>
      </x:c>
      <x:c r="B146" s="38" t="str">
        <x:v>REL</x:v>
      </x:c>
      <x:c r="C146" s="38" t="str">
        <x:v>梦舟月轨—地月转移—再入状态链</x:v>
      </x:c>
      <x:c r="D146" s="38" t="str">
        <x:v>P0</x:v>
      </x:c>
      <x:c r="E146" s="38" t="str">
        <x:v>已确认生产方向</x:v>
      </x:c>
      <x:c r="F146" s="38" t="str">
        <x:v>阶段2A重入后按生产包执行</x:v>
      </x:c>
      <x:c r="G146" s="41" t="str">
        <x:v>转为控制项</x:v>
      </x:c>
      <x:c r="H146" s="42" t="str">
        <x:v>P0</x:v>
      </x:c>
      <x:c r="I146" s="38" t="str">
        <x:v>连续性／动作链Prompt控制</x:v>
      </x:c>
      <x:c r="J146" s="38" t="str">
        <x:v>不按单张资产生产；作为母资产继承规则与逐镜验收条件</x:v>
      </x:c>
      <x:c r="K146" s="38" t="str">
        <x:v>本质是生成约束或关系，不是稳定独立对象</x:v>
      </x:c>
      <x:c r="L146" s="38" t="str">
        <x:v>Prompt控制项</x:v>
      </x:c>
      <x:c r="M146" s="38" t="str"/>
      <x:c r="N146" s="38" t="str">
        <x:v>V1.2剧本明确＋项目锁定＋公开工程资料边界</x:v>
      </x:c>
    </x:row>
    <x:row r="147">
      <x:c r="A147" s="38" t="str">
        <x:v>BY-REL-P0-012-月面艺术化光照与声明</x:v>
      </x:c>
      <x:c r="B147" s="38" t="str">
        <x:v>REL</x:v>
      </x:c>
      <x:c r="C147" s="38" t="str">
        <x:v>月面艺术化光照与推演声明关系</x:v>
      </x:c>
      <x:c r="D147" s="38" t="str">
        <x:v>P0</x:v>
      </x:c>
      <x:c r="E147" s="38" t="str">
        <x:v>用户已确认</x:v>
      </x:c>
      <x:c r="F147" s="38" t="str">
        <x:v>所有月面资产和后期声明必须继承</x:v>
      </x:c>
      <x:c r="G147" s="41" t="str">
        <x:v>转为控制项</x:v>
      </x:c>
      <x:c r="H147" s="42" t="str">
        <x:v>P0</x:v>
      </x:c>
      <x:c r="I147" s="38" t="str">
        <x:v>连续性／动作链Prompt控制</x:v>
      </x:c>
      <x:c r="J147" s="38" t="str">
        <x:v>不按单张资产生产；作为母资产继承规则与逐镜验收条件</x:v>
      </x:c>
      <x:c r="K147" s="38" t="str">
        <x:v>本质是生成约束或关系，不是稳定独立对象</x:v>
      </x:c>
      <x:c r="L147" s="38" t="str">
        <x:v>Prompt控制项</x:v>
      </x:c>
      <x:c r="M147" s="38" t="str"/>
      <x:c r="N147" s="38" t="str">
        <x:v>V1.2剧本明确＋项目锁定＋公开工程资料边界</x:v>
      </x:c>
    </x:row>
    <x:row r="148">
      <x:c r="A148" s="38" t="str">
        <x:v>BY-REL-P0-013-返回舱再入搜救状态链</x:v>
      </x:c>
      <x:c r="B148" s="38" t="str">
        <x:v>REL</x:v>
      </x:c>
      <x:c r="C148" s="38" t="str">
        <x:v>返回舱再入、着陆与搜救状态链</x:v>
      </x:c>
      <x:c r="D148" s="38" t="str">
        <x:v>P0</x:v>
      </x:c>
      <x:c r="E148" s="38" t="str">
        <x:v>已确认生产方向</x:v>
      </x:c>
      <x:c r="F148" s="38" t="str">
        <x:v>阶段2A重入后按生产包执行</x:v>
      </x:c>
      <x:c r="G148" s="41" t="str">
        <x:v>转为控制项</x:v>
      </x:c>
      <x:c r="H148" s="42" t="str">
        <x:v>P0</x:v>
      </x:c>
      <x:c r="I148" s="38" t="str">
        <x:v>连续性／动作链Prompt控制</x:v>
      </x:c>
      <x:c r="J148" s="38" t="str">
        <x:v>不按单张资产生产；作为母资产继承规则与逐镜验收条件</x:v>
      </x:c>
      <x:c r="K148" s="38" t="str">
        <x:v>本质是生成约束或关系，不是稳定独立对象</x:v>
      </x:c>
      <x:c r="L148" s="38" t="str">
        <x:v>Prompt控制项</x:v>
      </x:c>
      <x:c r="M148" s="38" t="str"/>
      <x:c r="N148" s="38" t="str">
        <x:v>V1.2剧本明确＋项目锁定＋公开工程资料边界</x:v>
      </x:c>
    </x:row>
    <x:row r="149">
      <x:c r="A149" s="38" t="str">
        <x:v>BY-REL-P1-004-地面测控接力链</x:v>
      </x:c>
      <x:c r="B149" s="38" t="str">
        <x:v>REL</x:v>
      </x:c>
      <x:c r="C149" s="38" t="str">
        <x:v>北京—佳木斯—喀什—VLBI测控接力链</x:v>
      </x:c>
      <x:c r="D149" s="38" t="str">
        <x:v>P1</x:v>
      </x:c>
      <x:c r="E149" s="38" t="str">
        <x:v>已确认生产方向</x:v>
      </x:c>
      <x:c r="F149" s="38" t="str">
        <x:v>阶段2A重入后按生产包执行</x:v>
      </x:c>
      <x:c r="G149" s="41" t="str">
        <x:v>转为控制项</x:v>
      </x:c>
      <x:c r="H149" s="42" t="str">
        <x:v>P1</x:v>
      </x:c>
      <x:c r="I149" s="38" t="str">
        <x:v>连续性／动作链Prompt控制</x:v>
      </x:c>
      <x:c r="J149" s="38" t="str">
        <x:v>不按单张资产生产；作为母资产继承规则与逐镜验收条件</x:v>
      </x:c>
      <x:c r="K149" s="38" t="str">
        <x:v>本质是生成约束或关系，不是稳定独立对象</x:v>
      </x:c>
      <x:c r="L149" s="38" t="str">
        <x:v>Prompt控制项</x:v>
      </x:c>
      <x:c r="M149" s="38" t="str"/>
      <x:c r="N149" s="38" t="str">
        <x:v>V1.2剧本明确＋项目锁定＋公开工程资料边界</x:v>
      </x:c>
    </x:row>
    <x:row r="150">
      <x:c r="A150" s="38" t="str">
        <x:v>BY-REL-P1-005-小天AI权限边界</x:v>
      </x:c>
      <x:c r="B150" s="38" t="str">
        <x:v>REL</x:v>
      </x:c>
      <x:c r="C150" s="38" t="str">
        <x:v>小天AI权限边界</x:v>
      </x:c>
      <x:c r="D150" s="38" t="str">
        <x:v>P1</x:v>
      </x:c>
      <x:c r="E150" s="38" t="str">
        <x:v>已确认生产方向</x:v>
      </x:c>
      <x:c r="F150" s="38" t="str">
        <x:v>阶段2A重入后按生产包执行</x:v>
      </x:c>
      <x:c r="G150" s="41" t="str">
        <x:v>转为控制项</x:v>
      </x:c>
      <x:c r="H150" s="42" t="str">
        <x:v>P1</x:v>
      </x:c>
      <x:c r="I150" s="38" t="str">
        <x:v>连续性／动作链Prompt控制</x:v>
      </x:c>
      <x:c r="J150" s="38" t="str">
        <x:v>不按单张资产生产；作为母资产继承规则与逐镜验收条件</x:v>
      </x:c>
      <x:c r="K150" s="38" t="str">
        <x:v>本质是生成约束或关系，不是稳定独立对象</x:v>
      </x:c>
      <x:c r="L150" s="38" t="str">
        <x:v>Prompt控制项</x:v>
      </x:c>
      <x:c r="M150" s="38" t="str"/>
      <x:c r="N150" s="38" t="str">
        <x:v>V1.2剧本明确＋项目锁定＋公开工程资料边界</x:v>
      </x:c>
    </x:row>
    <x:row r="151">
      <x:c r="A151" s="38" t="str">
        <x:v>BY-REL-P1-006-月面科学路线与样品链</x:v>
      </x:c>
      <x:c r="B151" s="38" t="str">
        <x:v>REL</x:v>
      </x:c>
      <x:c r="C151" s="38" t="str">
        <x:v>月面科学路线与样品编号链</x:v>
      </x:c>
      <x:c r="D151" s="38" t="str">
        <x:v>P1</x:v>
      </x:c>
      <x:c r="E151" s="38" t="str">
        <x:v>已确认生产方向</x:v>
      </x:c>
      <x:c r="F151" s="38" t="str">
        <x:v>阶段2A重入后按生产包执行</x:v>
      </x:c>
      <x:c r="G151" s="41" t="str">
        <x:v>转为控制项</x:v>
      </x:c>
      <x:c r="H151" s="42" t="str">
        <x:v>P1</x:v>
      </x:c>
      <x:c r="I151" s="38" t="str">
        <x:v>连续性／动作链Prompt控制</x:v>
      </x:c>
      <x:c r="J151" s="38" t="str">
        <x:v>不按单张资产生产；作为母资产继承规则与逐镜验收条件</x:v>
      </x:c>
      <x:c r="K151" s="38" t="str">
        <x:v>本质是生成约束或关系，不是稳定独立对象</x:v>
      </x:c>
      <x:c r="L151" s="38" t="str">
        <x:v>Prompt控制项</x:v>
      </x:c>
      <x:c r="M151" s="38" t="str"/>
      <x:c r="N151" s="38" t="str">
        <x:v>V1.2剧本明确＋项目锁定＋公开工程资料边界</x:v>
      </x:c>
    </x:row>
    <x:row r="152">
      <x:c r="A152" s="38" t="str">
        <x:v>BY-CHR-P1-004-何文澜</x:v>
      </x:c>
      <x:c r="B152" s="38" t="str">
        <x:v>CHR</x:v>
      </x:c>
      <x:c r="C152" s="38" t="str">
        <x:v>何文澜</x:v>
      </x:c>
      <x:c r="D152" s="38" t="str">
        <x:v>P1</x:v>
      </x:c>
      <x:c r="E152" s="38" t="str">
        <x:v>阶段1已确认生产方向</x:v>
      </x:c>
      <x:c r="F152" s="38" t="str">
        <x:v>阶段2B建立母资产并按镜头状态派生</x:v>
      </x:c>
      <x:c r="G152" s="39" t="str">
        <x:v>保留候选</x:v>
      </x:c>
      <x:c r="H152" s="42" t="str">
        <x:v>P1</x:v>
      </x:c>
      <x:c r="I152" s="38" t="str">
        <x:v>独立人物资产</x:v>
      </x:c>
      <x:c r="J152" s="38" t="str">
        <x:v>保留现有人脸图为候选身份母图；仍需一次最终身份母图确认</x:v>
      </x:c>
      <x:c r="K152" s="38" t="str">
        <x:v>用户明确保留候选</x:v>
      </x:c>
      <x:c r="L152" s="38" t="str">
        <x:v>资产主表</x:v>
      </x:c>
      <x:c r="M152" s="38" t="str">
        <x:v>第3、7、11、15场</x:v>
      </x:c>
      <x:c r="N152" s="38" t="str">
        <x:v>V1.3.1正式分镜稿＋公开资料边界内艺术推演</x:v>
      </x:c>
    </x:row>
    <x:row r="153">
      <x:c r="A153" s="38" t="str">
        <x:v>BY-CHR-P1-005-孙亦川</x:v>
      </x:c>
      <x:c r="B153" s="38" t="str">
        <x:v>CHR</x:v>
      </x:c>
      <x:c r="C153" s="38" t="str">
        <x:v>孙亦川</x:v>
      </x:c>
      <x:c r="D153" s="38" t="str">
        <x:v>P1</x:v>
      </x:c>
      <x:c r="E153" s="38" t="str">
        <x:v>阶段1已确认生产方向</x:v>
      </x:c>
      <x:c r="F153" s="38" t="str">
        <x:v>阶段2B建立母资产并按镜头状态派生</x:v>
      </x:c>
      <x:c r="G153" s="39" t="str">
        <x:v>保留候选</x:v>
      </x:c>
      <x:c r="H153" s="42" t="str">
        <x:v>P1</x:v>
      </x:c>
      <x:c r="I153" s="38" t="str">
        <x:v>独立人物资产</x:v>
      </x:c>
      <x:c r="J153" s="38" t="str">
        <x:v>保留现有人脸图为候选身份母图；仍需一次最终身份母图确认</x:v>
      </x:c>
      <x:c r="K153" s="38" t="str">
        <x:v>用户明确保留候选</x:v>
      </x:c>
      <x:c r="L153" s="38" t="str">
        <x:v>资产主表</x:v>
      </x:c>
      <x:c r="M153" s="38" t="str">
        <x:v>第6、12—14场</x:v>
      </x:c>
      <x:c r="N153" s="38" t="str">
        <x:v>V1.3.1正式分镜稿＋公开资料边界内艺术推演</x:v>
      </x:c>
    </x:row>
    <x:row r="154">
      <x:c r="A154" s="38" t="str">
        <x:v>BY-CHR-P1-006-顾青岚</x:v>
      </x:c>
      <x:c r="B154" s="38" t="str">
        <x:v>CHR</x:v>
      </x:c>
      <x:c r="C154" s="38" t="str">
        <x:v>顾青岚</x:v>
      </x:c>
      <x:c r="D154" s="38" t="str">
        <x:v>P1</x:v>
      </x:c>
      <x:c r="E154" s="38" t="str">
        <x:v>阶段1已确认生产方向</x:v>
      </x:c>
      <x:c r="F154" s="38" t="str">
        <x:v>阶段2B建立母资产并按镜头状态派生</x:v>
      </x:c>
      <x:c r="G154" s="39" t="str">
        <x:v>保留候选</x:v>
      </x:c>
      <x:c r="H154" s="42" t="str">
        <x:v>P1</x:v>
      </x:c>
      <x:c r="I154" s="38" t="str">
        <x:v>独立人物资产</x:v>
      </x:c>
      <x:c r="J154" s="38" t="str">
        <x:v>保留现有人脸图为候选身份母图；仍需一次最终身份母图确认</x:v>
      </x:c>
      <x:c r="K154" s="38" t="str">
        <x:v>用户明确保留候选</x:v>
      </x:c>
      <x:c r="L154" s="38" t="str">
        <x:v>资产主表</x:v>
      </x:c>
      <x:c r="M154" s="38" t="str">
        <x:v>第9—10场</x:v>
      </x:c>
      <x:c r="N154" s="38" t="str">
        <x:v>V1.3.1正式分镜稿＋公开资料边界内艺术推演</x:v>
      </x:c>
    </x:row>
    <x:row r="155">
      <x:c r="A155" s="38" t="str">
        <x:v>BY-CST-P1-006-何文澜专家服装</x:v>
      </x:c>
      <x:c r="B155" s="38" t="str">
        <x:v>CST</x:v>
      </x:c>
      <x:c r="C155" s="38" t="str">
        <x:v>何文澜专家服装</x:v>
      </x:c>
      <x:c r="D155" s="38" t="str">
        <x:v>P1</x:v>
      </x:c>
      <x:c r="E155" s="38" t="str">
        <x:v>阶段1已确认生产方向</x:v>
      </x:c>
      <x:c r="F155" s="38" t="str">
        <x:v>阶段2B建立母资产并按镜头状态派生</x:v>
      </x:c>
      <x:c r="G155" s="39" t="str">
        <x:v>保留候选</x:v>
      </x:c>
      <x:c r="H155" s="42" t="str">
        <x:v>P1</x:v>
      </x:c>
      <x:c r="I155" s="38" t="str">
        <x:v>独立服装资产</x:v>
      </x:c>
      <x:c r="J155" s="38" t="str">
        <x:v>保留现有服装方向候选，待身份母图与航天器接口确认后锁定</x:v>
      </x:c>
      <x:c r="K155" s="38" t="str">
        <x:v>人物／接口尚未全部闭合</x:v>
      </x:c>
      <x:c r="L155" s="38" t="str">
        <x:v>资产主表</x:v>
      </x:c>
      <x:c r="M155" s="38" t="str">
        <x:v>第3、7、15场</x:v>
      </x:c>
      <x:c r="N155" s="38" t="str">
        <x:v>V1.3.1正式分镜稿＋公开资料边界内艺术推演</x:v>
      </x:c>
    </x:row>
    <x:row r="156">
      <x:c r="A156" s="38" t="str">
        <x:v>BY-CST-P1-007-孙亦川专家服装</x:v>
      </x:c>
      <x:c r="B156" s="38" t="str">
        <x:v>CST</x:v>
      </x:c>
      <x:c r="C156" s="38" t="str">
        <x:v>孙亦川专家服装</x:v>
      </x:c>
      <x:c r="D156" s="38" t="str">
        <x:v>P1</x:v>
      </x:c>
      <x:c r="E156" s="38" t="str">
        <x:v>阶段1已确认生产方向</x:v>
      </x:c>
      <x:c r="F156" s="38" t="str">
        <x:v>阶段2B建立母资产并按镜头状态派生</x:v>
      </x:c>
      <x:c r="G156" s="39" t="str">
        <x:v>保留候选</x:v>
      </x:c>
      <x:c r="H156" s="42" t="str">
        <x:v>P1</x:v>
      </x:c>
      <x:c r="I156" s="38" t="str">
        <x:v>独立服装资产</x:v>
      </x:c>
      <x:c r="J156" s="38" t="str">
        <x:v>保留现有服装方向候选，待身份母图与航天器接口确认后锁定</x:v>
      </x:c>
      <x:c r="K156" s="38" t="str">
        <x:v>人物／接口尚未全部闭合</x:v>
      </x:c>
      <x:c r="L156" s="38" t="str">
        <x:v>资产主表</x:v>
      </x:c>
      <x:c r="M156" s="38" t="str">
        <x:v>第6、12—13场</x:v>
      </x:c>
      <x:c r="N156" s="38" t="str">
        <x:v>V1.3.1正式分镜稿＋公开资料边界内艺术推演</x:v>
      </x:c>
    </x:row>
    <x:row r="157">
      <x:c r="A157" s="38" t="str">
        <x:v>BY-CST-P1-008-顾青岚专家服装</x:v>
      </x:c>
      <x:c r="B157" s="38" t="str">
        <x:v>CST</x:v>
      </x:c>
      <x:c r="C157" s="38" t="str">
        <x:v>顾青岚专家服装</x:v>
      </x:c>
      <x:c r="D157" s="38" t="str">
        <x:v>P1</x:v>
      </x:c>
      <x:c r="E157" s="38" t="str">
        <x:v>阶段1已确认生产方向</x:v>
      </x:c>
      <x:c r="F157" s="38" t="str">
        <x:v>阶段2B建立母资产并按镜头状态派生</x:v>
      </x:c>
      <x:c r="G157" s="39" t="str">
        <x:v>保留候选</x:v>
      </x:c>
      <x:c r="H157" s="42" t="str">
        <x:v>P1</x:v>
      </x:c>
      <x:c r="I157" s="38" t="str">
        <x:v>独立服装资产</x:v>
      </x:c>
      <x:c r="J157" s="38" t="str">
        <x:v>保留现有服装方向候选，待身份母图与航天器接口确认后锁定</x:v>
      </x:c>
      <x:c r="K157" s="38" t="str">
        <x:v>人物／接口尚未全部闭合</x:v>
      </x:c>
      <x:c r="L157" s="38" t="str">
        <x:v>资产主表</x:v>
      </x:c>
      <x:c r="M157" s="38" t="str">
        <x:v>第9场</x:v>
      </x:c>
      <x:c r="N157" s="38" t="str">
        <x:v>V1.3.1正式分镜稿＋公开资料边界内艺术推演</x:v>
      </x:c>
    </x:row>
    <x:row r="158">
      <x:c r="A158" s="38" t="str">
        <x:v>BY-VOI-P1-012-何文澜声音</x:v>
      </x:c>
      <x:c r="B158" s="38" t="str">
        <x:v>VOI</x:v>
      </x:c>
      <x:c r="C158" s="38" t="str">
        <x:v>何文澜稳定音色</x:v>
      </x:c>
      <x:c r="D158" s="38" t="str">
        <x:v>P1</x:v>
      </x:c>
      <x:c r="E158" s="38" t="str">
        <x:v>阶段1已确认生产方向</x:v>
      </x:c>
      <x:c r="F158" s="38" t="str">
        <x:v>阶段2B建立母资产并按镜头状态派生</x:v>
      </x:c>
      <x:c r="G158" s="39" t="str">
        <x:v>保留</x:v>
      </x:c>
      <x:c r="H158" s="42" t="str">
        <x:v>P1</x:v>
      </x:c>
      <x:c r="I158" s="38" t="str">
        <x:v>独立稳定音色资产</x:v>
      </x:c>
      <x:c r="J158" s="38" t="str">
        <x:v>角色音色独立确认登记；具体对白与通信质感仍随视频同步生成</x:v>
      </x:c>
      <x:c r="K158" s="38" t="str">
        <x:v>跨镜头身份稳定需要</x:v>
      </x:c>
      <x:c r="L158" s="38" t="str">
        <x:v>资产主表</x:v>
      </x:c>
      <x:c r="M158" s="38" t="str">
        <x:v>第3、7、11、15场</x:v>
      </x:c>
      <x:c r="N158" s="38" t="str">
        <x:v>V1.3.1正式分镜稿＋公开资料边界内艺术推演</x:v>
      </x:c>
    </x:row>
    <x:row r="159">
      <x:c r="A159" s="38" t="str">
        <x:v>BY-VOI-P1-013-孙亦川声音</x:v>
      </x:c>
      <x:c r="B159" s="38" t="str">
        <x:v>VOI</x:v>
      </x:c>
      <x:c r="C159" s="38" t="str">
        <x:v>孙亦川稳定音色</x:v>
      </x:c>
      <x:c r="D159" s="38" t="str">
        <x:v>P1</x:v>
      </x:c>
      <x:c r="E159" s="38" t="str">
        <x:v>阶段1已确认生产方向</x:v>
      </x:c>
      <x:c r="F159" s="38" t="str">
        <x:v>阶段2B建立母资产并按镜头状态派生</x:v>
      </x:c>
      <x:c r="G159" s="39" t="str">
        <x:v>保留</x:v>
      </x:c>
      <x:c r="H159" s="42" t="str">
        <x:v>P1</x:v>
      </x:c>
      <x:c r="I159" s="38" t="str">
        <x:v>独立稳定音色资产</x:v>
      </x:c>
      <x:c r="J159" s="38" t="str">
        <x:v>角色音色独立确认登记；具体对白与通信质感仍随视频同步生成</x:v>
      </x:c>
      <x:c r="K159" s="38" t="str">
        <x:v>跨镜头身份稳定需要</x:v>
      </x:c>
      <x:c r="L159" s="38" t="str">
        <x:v>资产主表</x:v>
      </x:c>
      <x:c r="M159" s="38" t="str">
        <x:v>第6、12—14场</x:v>
      </x:c>
      <x:c r="N159" s="38" t="str">
        <x:v>V1.3.1正式分镜稿＋公开资料边界内艺术推演</x:v>
      </x:c>
    </x:row>
    <x:row r="160">
      <x:c r="A160" s="38" t="str">
        <x:v>BY-VOI-P1-014-顾青岚声音</x:v>
      </x:c>
      <x:c r="B160" s="38" t="str">
        <x:v>VOI</x:v>
      </x:c>
      <x:c r="C160" s="38" t="str">
        <x:v>顾青岚稳定音色</x:v>
      </x:c>
      <x:c r="D160" s="38" t="str">
        <x:v>P1</x:v>
      </x:c>
      <x:c r="E160" s="38" t="str">
        <x:v>阶段1已确认生产方向</x:v>
      </x:c>
      <x:c r="F160" s="38" t="str">
        <x:v>阶段2B建立母资产并按镜头状态派生</x:v>
      </x:c>
      <x:c r="G160" s="39" t="str">
        <x:v>保留</x:v>
      </x:c>
      <x:c r="H160" s="42" t="str">
        <x:v>P1</x:v>
      </x:c>
      <x:c r="I160" s="38" t="str">
        <x:v>独立稳定音色资产</x:v>
      </x:c>
      <x:c r="J160" s="38" t="str">
        <x:v>角色音色独立确认登记；具体对白与通信质感仍随视频同步生成</x:v>
      </x:c>
      <x:c r="K160" s="38" t="str">
        <x:v>跨镜头身份稳定需要</x:v>
      </x:c>
      <x:c r="L160" s="38" t="str">
        <x:v>资产主表</x:v>
      </x:c>
      <x:c r="M160" s="38" t="str">
        <x:v>第9—10场</x:v>
      </x:c>
      <x:c r="N160" s="38" t="str">
        <x:v>V1.3.1正式分镜稿＋公开资料边界内艺术推演</x:v>
      </x:c>
    </x:row>
    <x:row r="161">
      <x:c r="A161" s="38" t="str">
        <x:v>BY-VOI-P1-015-医监人员声音</x:v>
      </x:c>
      <x:c r="B161" s="38" t="str">
        <x:v>VOI</x:v>
      </x:c>
      <x:c r="C161" s="38" t="str">
        <x:v>东风医监人员稳定音色</x:v>
      </x:c>
      <x:c r="D161" s="38" t="str">
        <x:v>P1</x:v>
      </x:c>
      <x:c r="E161" s="38" t="str">
        <x:v>阶段1已确认生产方向</x:v>
      </x:c>
      <x:c r="F161" s="38" t="str">
        <x:v>阶段2B建立母资产并按镜头状态派生</x:v>
      </x:c>
      <x:c r="G161" s="39" t="str">
        <x:v>保留</x:v>
      </x:c>
      <x:c r="H161" s="42" t="str">
        <x:v>P1</x:v>
      </x:c>
      <x:c r="I161" s="38" t="str">
        <x:v>独立稳定音色资产</x:v>
      </x:c>
      <x:c r="J161" s="38" t="str">
        <x:v>角色音色独立确认登记；具体对白与通信质感仍随视频同步生成</x:v>
      </x:c>
      <x:c r="K161" s="38" t="str">
        <x:v>跨镜头身份稳定需要</x:v>
      </x:c>
      <x:c r="L161" s="38" t="str">
        <x:v>资产主表</x:v>
      </x:c>
      <x:c r="M161" s="38" t="str">
        <x:v>第15场</x:v>
      </x:c>
      <x:c r="N161" s="38" t="str">
        <x:v>V1.3.1正式分镜稿＋公开资料边界内艺术推演</x:v>
      </x:c>
    </x:row>
    <x:row r="162">
      <x:c r="A162" s="38" t="str">
        <x:v>BY-SCN-P1-012-东风医监开舱作业区</x:v>
      </x:c>
      <x:c r="B162" s="38" t="str">
        <x:v>SCN</x:v>
      </x:c>
      <x:c r="C162" s="38" t="str">
        <x:v>东风医监医保与开舱作业区</x:v>
      </x:c>
      <x:c r="D162" s="38" t="str">
        <x:v>P1</x:v>
      </x:c>
      <x:c r="E162" s="38" t="str">
        <x:v>阶段1已确认生产方向</x:v>
      </x:c>
      <x:c r="F162" s="38" t="str">
        <x:v>阶段2B建立母资产并按镜头状态派生</x:v>
      </x:c>
      <x:c r="G162" s="40" t="str">
        <x:v>强制重做</x:v>
      </x:c>
      <x:c r="H162" s="42" t="str">
        <x:v>P1</x:v>
      </x:c>
      <x:c r="I162" s="38" t="str">
        <x:v>独立空间／道具资产</x:v>
      </x:c>
      <x:c r="J162" s="38" t="str">
        <x:v>屏幕信息架构、席位职责、人员数量与调度全部从零复核；不得沿用旧图的岗位标签与站位</x:v>
      </x:c>
      <x:c r="K162" s="38" t="str">
        <x:v>用户明确要求屏幕、席位职责和人员调度必须重做</x:v>
      </x:c>
      <x:c r="L162" s="38" t="str">
        <x:v>资产主表</x:v>
      </x:c>
      <x:c r="M162" s="38" t="str">
        <x:v>第15场</x:v>
      </x:c>
      <x:c r="N162" s="38" t="str">
        <x:v>V1.3.1正式分镜稿＋公开资料边界内艺术推演</x:v>
      </x:c>
    </x:row>
    <x:row r="163">
      <x:c r="A163" s="38" t="str">
        <x:v>BY-LGT-P1-008-飞控媒体区直播光</x:v>
      </x:c>
      <x:c r="B163" s="38" t="str">
        <x:v>LGT</x:v>
      </x:c>
      <x:c r="C163" s="38" t="str">
        <x:v>飞控媒体区直播任务光</x:v>
      </x:c>
      <x:c r="D163" s="38" t="str">
        <x:v>P1</x:v>
      </x:c>
      <x:c r="E163" s="38" t="str">
        <x:v>阶段1已确认生产方向</x:v>
      </x:c>
      <x:c r="F163" s="38" t="str">
        <x:v>阶段2B建立母资产并按镜头状态派生</x:v>
      </x:c>
      <x:c r="G163" s="41" t="str">
        <x:v>转为控制项</x:v>
      </x:c>
      <x:c r="H163" s="42" t="str">
        <x:v>P1</x:v>
      </x:c>
      <x:c r="I163" s="38" t="str">
        <x:v>灯光控制卡＋逐镜Prompt</x:v>
      </x:c>
      <x:c r="J163" s="38" t="str">
        <x:v>不按单张资产生产；作为母资产继承规则与逐镜验收条件</x:v>
      </x:c>
      <x:c r="K163" s="38" t="str">
        <x:v>本质是生成约束或关系，不是稳定独立对象</x:v>
      </x:c>
      <x:c r="L163" s="38" t="str">
        <x:v>Prompt控制项</x:v>
      </x:c>
      <x:c r="M163" s="38" t="str">
        <x:v>第1、3、5—9、12—13、15场</x:v>
      </x:c>
      <x:c r="N163" s="38" t="str">
        <x:v>V1.3.1正式分镜稿＋公开资料边界内艺术推演</x:v>
      </x:c>
    </x:row>
    <x:row r="164">
      <x:c r="A164" s="38" t="str">
        <x:v>BY-PRP-P0-006-东风医监转移设备</x:v>
      </x:c>
      <x:c r="B164" s="38" t="str">
        <x:v>PRP</x:v>
      </x:c>
      <x:c r="C164" s="38" t="str">
        <x:v>东风医监支撑座椅、担架与生命体征设备</x:v>
      </x:c>
      <x:c r="D164" s="38" t="str">
        <x:v>P0</x:v>
      </x:c>
      <x:c r="E164" s="38" t="str">
        <x:v>阶段1已确认生产方向</x:v>
      </x:c>
      <x:c r="F164" s="38" t="str">
        <x:v>阶段2B建立母资产并按镜头状态派生</x:v>
      </x:c>
      <x:c r="G164" s="41" t="str">
        <x:v>修订</x:v>
      </x:c>
      <x:c r="H164" s="42" t="str">
        <x:v>P0</x:v>
      </x:c>
      <x:c r="I164" s="38" t="str">
        <x:v>独立工程道具／设备资产</x:v>
      </x:c>
      <x:c r="J164" s="38" t="str">
        <x:v>按真实操作、承力、转移、维护与摄影路径复核后修订</x:v>
      </x:c>
      <x:c r="K164" s="38" t="str">
        <x:v>需要与新航天器／舱内／回收设备共享工程逻辑</x:v>
      </x:c>
      <x:c r="L164" s="38" t="str">
        <x:v>资产主表</x:v>
      </x:c>
      <x:c r="M164" s="38" t="str">
        <x:v>第15场</x:v>
      </x:c>
      <x:c r="N164" s="38" t="str">
        <x:v>V1.3.1正式分镜稿＋公开资料边界内艺术推演</x:v>
      </x:c>
    </x:row>
    <x:row r="165">
      <x:c r="A165" s="38" t="str">
        <x:v>BY-PRP-P1-012-月球车任务相机组</x:v>
      </x:c>
      <x:c r="B165" s="38" t="str">
        <x:v>PRP</x:v>
      </x:c>
      <x:c r="C165" s="38" t="str">
        <x:v>月球车前向与侧后固定相机组</x:v>
      </x:c>
      <x:c r="D165" s="38" t="str">
        <x:v>P1</x:v>
      </x:c>
      <x:c r="E165" s="38" t="str">
        <x:v>阶段1已确认生产方向</x:v>
      </x:c>
      <x:c r="F165" s="38" t="str">
        <x:v>阶段2B建立母资产并按镜头状态派生</x:v>
      </x:c>
      <x:c r="G165" s="39" t="str">
        <x:v>保留候选</x:v>
      </x:c>
      <x:c r="H165" s="42" t="str">
        <x:v>P1</x:v>
      </x:c>
      <x:c r="I165" s="38" t="str">
        <x:v>独立资产</x:v>
      </x:c>
      <x:c r="J165" s="38" t="str">
        <x:v>保留为V1.3.2候选；按新构型、屏幕、光照与顾问结论做继承检查</x:v>
      </x:c>
      <x:c r="K165" s="38" t="str">
        <x:v>未触发强制退出或重做规则</x:v>
      </x:c>
      <x:c r="L165" s="38" t="str">
        <x:v>资产主表</x:v>
      </x:c>
      <x:c r="M165" s="38" t="str">
        <x:v>第9—10场</x:v>
      </x:c>
      <x:c r="N165" s="38" t="str">
        <x:v>V1.3.1正式分镜稿＋公开资料边界内艺术推演</x:v>
      </x:c>
    </x:row>
    <x:row r="166">
      <x:c r="A166" s="38" t="str">
        <x:v>BY-PRP-P1-013-东风样品接收设备</x:v>
      </x:c>
      <x:c r="B166" s="38" t="str">
        <x:v>PRP</x:v>
      </x:c>
      <x:c r="C166" s="38" t="str">
        <x:v>东风样品接收箱、封签与交接设备</x:v>
      </x:c>
      <x:c r="D166" s="38" t="str">
        <x:v>P1</x:v>
      </x:c>
      <x:c r="E166" s="38" t="str">
        <x:v>阶段1已确认生产方向</x:v>
      </x:c>
      <x:c r="F166" s="38" t="str">
        <x:v>阶段2B建立母资产并按镜头状态派生</x:v>
      </x:c>
      <x:c r="G166" s="41" t="str">
        <x:v>修订</x:v>
      </x:c>
      <x:c r="H166" s="42" t="str">
        <x:v>P1</x:v>
      </x:c>
      <x:c r="I166" s="38" t="str">
        <x:v>独立工程道具／设备资产</x:v>
      </x:c>
      <x:c r="J166" s="38" t="str">
        <x:v>按真实操作、承力、转移、维护与摄影路径复核后修订</x:v>
      </x:c>
      <x:c r="K166" s="38" t="str">
        <x:v>需要与新航天器／舱内／回收设备共享工程逻辑</x:v>
      </x:c>
      <x:c r="L166" s="38" t="str">
        <x:v>资产主表</x:v>
      </x:c>
      <x:c r="M166" s="38" t="str">
        <x:v>第13、15场</x:v>
      </x:c>
      <x:c r="N166" s="38" t="str">
        <x:v>V1.3.1正式分镜稿＋公开资料边界内艺术推演</x:v>
      </x:c>
    </x:row>
    <x:row r="167">
      <x:c r="A167" s="38" t="str">
        <x:v>BY-PRP-P1-014-宇航服任务相机</x:v>
      </x:c>
      <x:c r="B167" s="38" t="str">
        <x:v>PRP</x:v>
      </x:c>
      <x:c r="C167" s="38" t="str">
        <x:v>望宇登月服任务相机与图像链路</x:v>
      </x:c>
      <x:c r="D167" s="38" t="str">
        <x:v>P1</x:v>
      </x:c>
      <x:c r="E167" s="38" t="str">
        <x:v>阶段1已确认生产方向</x:v>
      </x:c>
      <x:c r="F167" s="38" t="str">
        <x:v>阶段2B建立母资产并按镜头状态派生</x:v>
      </x:c>
      <x:c r="G167" s="39" t="str">
        <x:v>保留候选</x:v>
      </x:c>
      <x:c r="H167" s="42" t="str">
        <x:v>P1</x:v>
      </x:c>
      <x:c r="I167" s="38" t="str">
        <x:v>独立资产</x:v>
      </x:c>
      <x:c r="J167" s="38" t="str">
        <x:v>保留为V1.3.2候选；按新构型、屏幕、光照与顾问结论做继承检查</x:v>
      </x:c>
      <x:c r="K167" s="38" t="str">
        <x:v>未触发强制退出或重做规则</x:v>
      </x:c>
      <x:c r="L167" s="38" t="str">
        <x:v>资产主表</x:v>
      </x:c>
      <x:c r="M167" s="38" t="str">
        <x:v>第8—10场</x:v>
      </x:c>
      <x:c r="N167" s="38" t="str">
        <x:v>V1.3.1正式分镜稿＋公开资料边界内艺术推演</x:v>
      </x:c>
    </x:row>
    <x:row r="168">
      <x:c r="A168" s="38" t="str">
        <x:v>BY-PRP-P1-015-航天器任务相机组</x:v>
      </x:c>
      <x:c r="B168" s="38" t="str">
        <x:v>PRP</x:v>
      </x:c>
      <x:c r="C168" s="38" t="str">
        <x:v>梦舟／揽月任务相机组</x:v>
      </x:c>
      <x:c r="D168" s="38" t="str">
        <x:v>P1</x:v>
      </x:c>
      <x:c r="E168" s="38" t="str">
        <x:v>阶段1已确认生产方向</x:v>
      </x:c>
      <x:c r="F168" s="38" t="str">
        <x:v>阶段2B建立母资产并按镜头状态派生</x:v>
      </x:c>
      <x:c r="G168" s="41" t="str">
        <x:v>修订</x:v>
      </x:c>
      <x:c r="H168" s="42" t="str">
        <x:v>P1</x:v>
      </x:c>
      <x:c r="I168" s="38" t="str">
        <x:v>独立工程道具／设备资产</x:v>
      </x:c>
      <x:c r="J168" s="38" t="str">
        <x:v>按真实操作、承力、转移、维护与摄影路径复核后修订</x:v>
      </x:c>
      <x:c r="K168" s="38" t="str">
        <x:v>需要与新航天器／舱内／回收设备共享工程逻辑</x:v>
      </x:c>
      <x:c r="L168" s="38" t="str">
        <x:v>资产主表</x:v>
      </x:c>
      <x:c r="M168" s="38" t="str">
        <x:v>第2、5—8、11、14场</x:v>
      </x:c>
      <x:c r="N168" s="38" t="str">
        <x:v>V1.3.1正式分镜稿＋公开资料边界内艺术推演</x:v>
      </x:c>
    </x:row>
    <x:row r="169">
      <x:c r="A169" s="38" t="str">
        <x:v>BY-VFX-P1-008-遥测视觉重建合成</x:v>
      </x:c>
      <x:c r="B169" s="38" t="str">
        <x:v>VFX</x:v>
      </x:c>
      <x:c r="C169" s="38" t="str">
        <x:v>基于实时遥测的视觉重建合成</x:v>
      </x:c>
      <x:c r="D169" s="38" t="str">
        <x:v>P1</x:v>
      </x:c>
      <x:c r="E169" s="38" t="str">
        <x:v>阶段1已确认生产方向</x:v>
      </x:c>
      <x:c r="F169" s="38" t="str">
        <x:v>阶段2B建立母资产并按镜头状态派生</x:v>
      </x:c>
      <x:c r="G169" s="43" t="str">
        <x:v>退出独立资产</x:v>
      </x:c>
      <x:c r="H169" s="42" t="str">
        <x:v>P1</x:v>
      </x:c>
      <x:c r="I169" s="38" t="str">
        <x:v>逐镜视频Prompt控制</x:v>
      </x:c>
      <x:c r="J169" s="38" t="str">
        <x:v>写入镜头级物理约束、运动路径与禁项；不制作独立静态资产</x:v>
      </x:c>
      <x:c r="K169" s="38" t="str">
        <x:v>变化依赖镜头时长、机位与运动，不具备稳定复用价值</x:v>
      </x:c>
      <x:c r="L169" s="38" t="str">
        <x:v>Prompt控制项</x:v>
      </x:c>
      <x:c r="M169" s="38" t="str">
        <x:v>第1—2、4—7、11—14场</x:v>
      </x:c>
      <x:c r="N169" s="38" t="str">
        <x:v>V1.3.1正式分镜稿＋公开资料边界内艺术推演</x:v>
      </x:c>
    </x:row>
    <x:row r="170">
      <x:c r="A170" s="38" t="str">
        <x:v>BY-SYM-P1-006-视觉重建来源标识</x:v>
      </x:c>
      <x:c r="B170" s="38" t="str">
        <x:v>SYM</x:v>
      </x:c>
      <x:c r="C170" s="38" t="str">
        <x:v>“基于实时遥测的视觉重建”来源标识</x:v>
      </x:c>
      <x:c r="D170" s="38" t="str">
        <x:v>P1</x:v>
      </x:c>
      <x:c r="E170" s="38" t="str">
        <x:v>阶段1已确认生产方向</x:v>
      </x:c>
      <x:c r="F170" s="38" t="str">
        <x:v>阶段2B建立母资产并按镜头状态派生</x:v>
      </x:c>
      <x:c r="G170" s="40" t="str">
        <x:v>重做</x:v>
      </x:c>
      <x:c r="H170" s="42" t="str">
        <x:v>P1</x:v>
      </x:c>
      <x:c r="I170" s="38" t="str">
        <x:v>独立后期图形资产</x:v>
      </x:c>
      <x:c r="J170" s="38" t="str">
        <x:v>按V1.3.2日期、任务阶段、RF／光通信分工及新席位体系重建；不得继承旧屏内容</x:v>
      </x:c>
      <x:c r="K170" s="38" t="str">
        <x:v>屏幕体系强制重做</x:v>
      </x:c>
      <x:c r="L170" s="38" t="str">
        <x:v>资产主表</x:v>
      </x:c>
      <x:c r="M170" s="38" t="str">
        <x:v>第1—2、4—7、11—14场</x:v>
      </x:c>
      <x:c r="N170" s="38" t="str">
        <x:v>V1.3.1正式分镜稿＋公开资料边界内艺术推演</x:v>
      </x:c>
    </x:row>
    <x:row r="171">
      <x:c r="A171" s="38" t="str">
        <x:v>BY-SYM-P1-007-直播进口出口与倒计时</x:v>
      </x:c>
      <x:c r="B171" s="38" t="str">
        <x:v>SYM</x:v>
      </x:c>
      <x:c r="C171" s="38" t="str">
        <x:v>三段直播进口、出口与任务倒计时图形</x:v>
      </x:c>
      <x:c r="D171" s="38" t="str">
        <x:v>P1</x:v>
      </x:c>
      <x:c r="E171" s="38" t="str">
        <x:v>阶段1已确认生产方向</x:v>
      </x:c>
      <x:c r="F171" s="38" t="str">
        <x:v>阶段2B建立母资产并按镜头状态派生</x:v>
      </x:c>
      <x:c r="G171" s="40" t="str">
        <x:v>重做</x:v>
      </x:c>
      <x:c r="H171" s="42" t="str">
        <x:v>P1</x:v>
      </x:c>
      <x:c r="I171" s="38" t="str">
        <x:v>独立后期图形资产</x:v>
      </x:c>
      <x:c r="J171" s="38" t="str">
        <x:v>按V1.3.2日期、任务阶段、RF／光通信分工及新席位体系重建；不得继承旧屏内容</x:v>
      </x:c>
      <x:c r="K171" s="38" t="str">
        <x:v>屏幕体系强制重做</x:v>
      </x:c>
      <x:c r="L171" s="38" t="str">
        <x:v>资产主表</x:v>
      </x:c>
      <x:c r="M171" s="38" t="str">
        <x:v>三段直播</x:v>
      </x:c>
      <x:c r="N171" s="38" t="str">
        <x:v>V1.3.1正式分镜稿＋公开资料边界内艺术推演</x:v>
      </x:c>
    </x:row>
    <x:row r="172">
      <x:c r="A172" s="38" t="str">
        <x:v>BY-SYM-P1-008-东风搜救时间压缩</x:v>
      </x:c>
      <x:c r="B172" s="38" t="str">
        <x:v>SYM</x:v>
      </x:c>
      <x:c r="C172" s="38" t="str">
        <x:v>东风搜救抵达时间压缩标牌</x:v>
      </x:c>
      <x:c r="D172" s="38" t="str">
        <x:v>P1</x:v>
      </x:c>
      <x:c r="E172" s="38" t="str">
        <x:v>阶段1已确认生产方向</x:v>
      </x:c>
      <x:c r="F172" s="38" t="str">
        <x:v>阶段2B建立母资产并按镜头状态派生</x:v>
      </x:c>
      <x:c r="G172" s="40" t="str">
        <x:v>重做</x:v>
      </x:c>
      <x:c r="H172" s="42" t="str">
        <x:v>P1</x:v>
      </x:c>
      <x:c r="I172" s="38" t="str">
        <x:v>独立后期图形资产</x:v>
      </x:c>
      <x:c r="J172" s="38" t="str">
        <x:v>按V1.3.2日期、任务阶段、RF／光通信分工及新席位体系重建；不得继承旧屏内容</x:v>
      </x:c>
      <x:c r="K172" s="38" t="str">
        <x:v>屏幕体系强制重做</x:v>
      </x:c>
      <x:c r="L172" s="38" t="str">
        <x:v>资产主表</x:v>
      </x:c>
      <x:c r="M172" s="38" t="str">
        <x:v>第15场</x:v>
      </x:c>
      <x:c r="N172" s="38" t="str">
        <x:v>V1.3.1正式分镜稿＋公开资料边界内艺术推演</x:v>
      </x:c>
    </x:row>
    <x:row r="173">
      <x:c r="A173" s="38" t="str">
        <x:v>BY-SND-P1-009-媒体区直播现场声</x:v>
      </x:c>
      <x:c r="B173" s="38" t="str">
        <x:v>SND</x:v>
      </x:c>
      <x:c r="C173" s="38" t="str">
        <x:v>飞控媒体区直播现场声</x:v>
      </x:c>
      <x:c r="D173" s="38" t="str">
        <x:v>P1</x:v>
      </x:c>
      <x:c r="E173" s="38" t="str">
        <x:v>阶段1已确认生产方向</x:v>
      </x:c>
      <x:c r="F173" s="38" t="str">
        <x:v>阶段2B建立母资产并按镜头状态派生</x:v>
      </x:c>
      <x:c r="G173" s="43" t="str">
        <x:v>退出独立资产</x:v>
      </x:c>
      <x:c r="H173" s="42" t="str">
        <x:v>P1</x:v>
      </x:c>
      <x:c r="I173" s="38" t="str">
        <x:v>随视频同步生成／逐镜声音Prompt</x:v>
      </x:c>
      <x:c r="J173" s="38" t="str">
        <x:v>对白、无线电、设备声、任务通信随视频同步；全片无配乐；月面外部无空气传播声</x:v>
      </x:c>
      <x:c r="K173" s="38" t="str">
        <x:v>项目声音锁定口径</x:v>
      </x:c>
      <x:c r="L173" s="38" t="str">
        <x:v>Prompt控制项</x:v>
      </x:c>
      <x:c r="M173" s="38" t="str">
        <x:v>三段直播</x:v>
      </x:c>
      <x:c r="N173" s="38" t="str">
        <x:v>V1.3.1正式分镜稿＋公开资料边界内艺术推演</x:v>
      </x:c>
    </x:row>
    <x:row r="174">
      <x:c r="A174" s="38" t="str">
        <x:v>BY-REL-P1-007-摄影来源证据层级</x:v>
      </x:c>
      <x:c r="B174" s="38" t="str">
        <x:v>REL</x:v>
      </x:c>
      <x:c r="C174" s="38" t="str">
        <x:v>任务相机、地面直播、遥测重建与图卡证据层级</x:v>
      </x:c>
      <x:c r="D174" s="38" t="str">
        <x:v>P1</x:v>
      </x:c>
      <x:c r="E174" s="38" t="str">
        <x:v>阶段1已确认生产方向</x:v>
      </x:c>
      <x:c r="F174" s="38" t="str">
        <x:v>阶段2B建立母资产并按镜头状态派生</x:v>
      </x:c>
      <x:c r="G174" s="41" t="str">
        <x:v>转为控制项</x:v>
      </x:c>
      <x:c r="H174" s="42" t="str">
        <x:v>P1</x:v>
      </x:c>
      <x:c r="I174" s="38" t="str">
        <x:v>连续性／动作链Prompt控制</x:v>
      </x:c>
      <x:c r="J174" s="38" t="str">
        <x:v>不按单张资产生产；作为母资产继承规则与逐镜验收条件</x:v>
      </x:c>
      <x:c r="K174" s="38" t="str">
        <x:v>本质是生成约束或关系，不是稳定独立对象</x:v>
      </x:c>
      <x:c r="L174" s="38" t="str">
        <x:v>Prompt控制项</x:v>
      </x:c>
      <x:c r="M174" s="38" t="str">
        <x:v>全片</x:v>
      </x:c>
      <x:c r="N174" s="38" t="str">
        <x:v>V1.3.1正式分镜稿＋公开资料边界内艺术推演</x:v>
      </x:c>
    </x:row>
    <x:row r="175">
      <x:c r="A175" s="38" t="str">
        <x:v>BY-REL-P1-008-三段直播结构链</x:v>
      </x:c>
      <x:c r="B175" s="38" t="str">
        <x:v>REL</x:v>
      </x:c>
      <x:c r="C175" s="38" t="str">
        <x:v>三段直播进口、关键动作链、采访解释与出口</x:v>
      </x:c>
      <x:c r="D175" s="38" t="str">
        <x:v>P1</x:v>
      </x:c>
      <x:c r="E175" s="38" t="str">
        <x:v>阶段1已确认生产方向</x:v>
      </x:c>
      <x:c r="F175" s="38" t="str">
        <x:v>阶段2B建立母资产并按镜头状态派生</x:v>
      </x:c>
      <x:c r="G175" s="41" t="str">
        <x:v>转为控制项</x:v>
      </x:c>
      <x:c r="H175" s="42" t="str">
        <x:v>P1</x:v>
      </x:c>
      <x:c r="I175" s="38" t="str">
        <x:v>连续性／动作链Prompt控制</x:v>
      </x:c>
      <x:c r="J175" s="38" t="str">
        <x:v>不按单张资产生产；作为母资产继承规则与逐镜验收条件</x:v>
      </x:c>
      <x:c r="K175" s="38" t="str">
        <x:v>本质是生成约束或关系，不是稳定独立对象</x:v>
      </x:c>
      <x:c r="L175" s="38" t="str">
        <x:v>Prompt控制项</x:v>
      </x:c>
      <x:c r="M175" s="38" t="str">
        <x:v>全片</x:v>
      </x:c>
      <x:c r="N175" s="38" t="str">
        <x:v>V1.3.1正式分镜稿＋公开资料边界内艺术推演</x:v>
      </x:c>
    </x:row>
    <x:row r="176">
      <x:c r="A176" s="38" t="str">
        <x:v>BY-REL-P1-009-东风医监与样品双线</x:v>
      </x:c>
      <x:c r="B176" s="38" t="str">
        <x:v>REL</x:v>
      </x:c>
      <x:c r="C176" s="38" t="str">
        <x:v>东风人员医监转移与样品交接双线</x:v>
      </x:c>
      <x:c r="D176" s="38" t="str">
        <x:v>P1</x:v>
      </x:c>
      <x:c r="E176" s="38" t="str">
        <x:v>阶段1已确认生产方向</x:v>
      </x:c>
      <x:c r="F176" s="38" t="str">
        <x:v>阶段2B建立母资产并按镜头状态派生</x:v>
      </x:c>
      <x:c r="G176" s="41" t="str">
        <x:v>转为控制项</x:v>
      </x:c>
      <x:c r="H176" s="42" t="str">
        <x:v>P1</x:v>
      </x:c>
      <x:c r="I176" s="38" t="str">
        <x:v>连续性／动作链Prompt控制</x:v>
      </x:c>
      <x:c r="J176" s="38" t="str">
        <x:v>不按单张资产生产；作为母资产继承规则与逐镜验收条件</x:v>
      </x:c>
      <x:c r="K176" s="38" t="str">
        <x:v>本质是生成约束或关系，不是稳定独立对象</x:v>
      </x:c>
      <x:c r="L176" s="38" t="str">
        <x:v>Prompt控制项</x:v>
      </x:c>
      <x:c r="M176" s="38" t="str">
        <x:v>第15场</x:v>
      </x:c>
      <x:c r="N176" s="38" t="str">
        <x:v>V1.3.1正式分镜稿＋公开资料边界内艺术推演</x:v>
      </x:c>
    </x:row>
    <x:row r="177">
      <x:c r="A177" s="38" t="str">
        <x:v>BY-REL-P1-010-地月视觉尺度连续性</x:v>
      </x:c>
      <x:c r="B177" s="38" t="str">
        <x:v>REL</x:v>
      </x:c>
      <x:c r="C177" s="38" t="str">
        <x:v>地球、月球与飞行器视觉尺度连续性</x:v>
      </x:c>
      <x:c r="D177" s="38" t="str">
        <x:v>P1</x:v>
      </x:c>
      <x:c r="E177" s="38" t="str">
        <x:v>阶段1已确认生产方向</x:v>
      </x:c>
      <x:c r="F177" s="38" t="str">
        <x:v>阶段2B建立母资产并按镜头状态派生</x:v>
      </x:c>
      <x:c r="G177" s="41" t="str">
        <x:v>转为控制项</x:v>
      </x:c>
      <x:c r="H177" s="42" t="str">
        <x:v>P1</x:v>
      </x:c>
      <x:c r="I177" s="38" t="str">
        <x:v>连续性／动作链Prompt控制</x:v>
      </x:c>
      <x:c r="J177" s="38" t="str">
        <x:v>不按单张资产生产；作为母资产继承规则与逐镜验收条件</x:v>
      </x:c>
      <x:c r="K177" s="38" t="str">
        <x:v>本质是生成约束或关系，不是稳定独立对象</x:v>
      </x:c>
      <x:c r="L177" s="38" t="str">
        <x:v>Prompt控制项</x:v>
      </x:c>
      <x:c r="M177" s="38" t="str">
        <x:v>深空与轨道镜头</x:v>
      </x:c>
      <x:c r="N177" s="38" t="str">
        <x:v>V1.3.1正式分镜稿＋公开资料边界内艺术推演</x:v>
      </x:c>
    </x:row>
    <x:row r="178">
      <x:c r="A178" s="38" t="str">
        <x:v>BY-ANM-P0-001-梦舟四种乘员状态</x:v>
      </x:c>
      <x:c r="B178" s="38" t="str">
        <x:v>ANM</x:v>
      </x:c>
      <x:c r="C178" s="38" t="str">
        <x:v>梦舟三座四种乘员状态动作链</x:v>
      </x:c>
      <x:c r="D178" s="38" t="str">
        <x:v>P0</x:v>
      </x:c>
      <x:c r="E178" s="38" t="str">
        <x:v>阶段1已确认生产方向</x:v>
      </x:c>
      <x:c r="F178" s="38" t="str">
        <x:v>阶段2B建立母资产并按镜头状态派生</x:v>
      </x:c>
      <x:c r="G178" s="41" t="str">
        <x:v>转为控制项</x:v>
      </x:c>
      <x:c r="H178" s="42" t="str">
        <x:v>P0</x:v>
      </x:c>
      <x:c r="I178" s="38" t="str">
        <x:v>连续性／动作链Prompt控制</x:v>
      </x:c>
      <x:c r="J178" s="38" t="str">
        <x:v>不按单张资产生产；作为母资产继承规则与逐镜验收条件</x:v>
      </x:c>
      <x:c r="K178" s="38" t="str">
        <x:v>本质是生成约束或关系，不是稳定独立对象</x:v>
      </x:c>
      <x:c r="L178" s="38" t="str">
        <x:v>Prompt控制项</x:v>
      </x:c>
      <x:c r="M178" s="38" t="str">
        <x:v>第1—3、5、11、14—15场</x:v>
      </x:c>
      <x:c r="N178" s="38" t="str">
        <x:v>V1.3.1正式分镜稿＋公开资料边界内艺术推演</x:v>
      </x:c>
    </x:row>
    <x:row r="179">
      <x:c r="A179" s="38" t="str">
        <x:v>BY-ANM-P0-002-揽月下降出舱起飞链</x:v>
      </x:c>
      <x:c r="B179" s="38" t="str">
        <x:v>ANM</x:v>
      </x:c>
      <x:c r="C179" s="38" t="str">
        <x:v>揽月下降、着陆、单人出舱与月面起飞动作链</x:v>
      </x:c>
      <x:c r="D179" s="38" t="str">
        <x:v>P0</x:v>
      </x:c>
      <x:c r="E179" s="38" t="str">
        <x:v>阶段1已确认生产方向</x:v>
      </x:c>
      <x:c r="F179" s="38" t="str">
        <x:v>阶段2B建立母资产并按镜头状态派生</x:v>
      </x:c>
      <x:c r="G179" s="41" t="str">
        <x:v>转为控制项</x:v>
      </x:c>
      <x:c r="H179" s="42" t="str">
        <x:v>P0</x:v>
      </x:c>
      <x:c r="I179" s="38" t="str">
        <x:v>连续性／动作链Prompt控制</x:v>
      </x:c>
      <x:c r="J179" s="38" t="str">
        <x:v>不按单张资产生产；作为母资产继承规则与逐镜验收条件</x:v>
      </x:c>
      <x:c r="K179" s="38" t="str">
        <x:v>本质是生成约束或关系，不是稳定独立对象</x:v>
      </x:c>
      <x:c r="L179" s="38" t="str">
        <x:v>Prompt控制项</x:v>
      </x:c>
      <x:c r="M179" s="38" t="str">
        <x:v>第5—8、11场</x:v>
      </x:c>
      <x:c r="N179" s="38" t="str">
        <x:v>V1.3.1正式分镜稿＋公开资料边界内艺术推演</x:v>
      </x:c>
    </x:row>
    <x:row r="180">
      <x:c r="A180" s="38" t="str">
        <x:v>BY-ANM-P1-001-月面科研时间压缩</x:v>
      </x:c>
      <x:c r="B180" s="38" t="str">
        <x:v>ANM</x:v>
      </x:c>
      <x:c r="C180" s="38" t="str">
        <x:v>月面科研与时间压缩动作链</x:v>
      </x:c>
      <x:c r="D180" s="38" t="str">
        <x:v>P1</x:v>
      </x:c>
      <x:c r="E180" s="38" t="str">
        <x:v>阶段1已确认生产方向</x:v>
      </x:c>
      <x:c r="F180" s="38" t="str">
        <x:v>阶段2B建立母资产并按镜头状态派生</x:v>
      </x:c>
      <x:c r="G180" s="41" t="str">
        <x:v>转为控制项</x:v>
      </x:c>
      <x:c r="H180" s="42" t="str">
        <x:v>P1</x:v>
      </x:c>
      <x:c r="I180" s="38" t="str">
        <x:v>连续性／动作链Prompt控制</x:v>
      </x:c>
      <x:c r="J180" s="38" t="str">
        <x:v>不按单张资产生产；作为母资产继承规则与逐镜验收条件</x:v>
      </x:c>
      <x:c r="K180" s="38" t="str">
        <x:v>本质是生成约束或关系，不是稳定独立对象</x:v>
      </x:c>
      <x:c r="L180" s="38" t="str">
        <x:v>Prompt控制项</x:v>
      </x:c>
      <x:c r="M180" s="38" t="str">
        <x:v>第9—10场</x:v>
      </x:c>
      <x:c r="N180" s="38" t="str">
        <x:v>V1.3.1正式分镜稿＋公开资料边界内艺术推演</x:v>
      </x:c>
    </x:row>
    <x:row r="181">
      <x:c r="A181" s="38" t="str">
        <x:v>BY-ANM-P1-002-东风搜救开舱转移</x:v>
      </x:c>
      <x:c r="B181" s="38" t="str">
        <x:v>ANM</x:v>
      </x:c>
      <x:c r="C181" s="38" t="str">
        <x:v>东风搜救、安全处置、开舱与人员转移动作链</x:v>
      </x:c>
      <x:c r="D181" s="38" t="str">
        <x:v>P1</x:v>
      </x:c>
      <x:c r="E181" s="38" t="str">
        <x:v>阶段1已确认生产方向</x:v>
      </x:c>
      <x:c r="F181" s="38" t="str">
        <x:v>阶段2B建立母资产并按镜头状态派生</x:v>
      </x:c>
      <x:c r="G181" s="41" t="str">
        <x:v>转为控制项</x:v>
      </x:c>
      <x:c r="H181" s="42" t="str">
        <x:v>P1</x:v>
      </x:c>
      <x:c r="I181" s="38" t="str">
        <x:v>连续性／动作链Prompt控制</x:v>
      </x:c>
      <x:c r="J181" s="38" t="str">
        <x:v>不按单张资产生产；作为母资产继承规则与逐镜验收条件</x:v>
      </x:c>
      <x:c r="K181" s="38" t="str">
        <x:v>本质是生成约束或关系，不是稳定独立对象</x:v>
      </x:c>
      <x:c r="L181" s="38" t="str">
        <x:v>Prompt控制项</x:v>
      </x:c>
      <x:c r="M181" s="38" t="str">
        <x:v>第15场</x:v>
      </x:c>
      <x:c r="N181" s="38" t="str">
        <x:v>V1.3.1正式分镜稿＋公开资料边界内艺术推演</x:v>
      </x:c>
    </x:row>
    <x:row r="182">
      <x:c r="A182" s="38" t="str">
        <x:v>BY-SCN-P1-013-深空测控内部值班区</x:v>
      </x:c>
      <x:c r="B182" s="38" t="str">
        <x:v>SCN</x:v>
      </x:c>
      <x:c r="C182" s="38" t="str">
        <x:v>深空测控内部值班区</x:v>
      </x:c>
      <x:c r="D182" s="38" t="str">
        <x:v>—</x:v>
      </x:c>
      <x:c r="E182" s="38" t="str">
        <x:v>新增</x:v>
      </x:c>
      <x:c r="F182" s="38" t="str">
        <x:v>—</x:v>
      </x:c>
      <x:c r="G182" s="40" t="str">
        <x:v>新增重做</x:v>
      </x:c>
      <x:c r="H182" s="42" t="str">
        <x:v>P1</x:v>
      </x:c>
      <x:c r="I182" s="38" t="str">
        <x:v>独立场景母资产</x:v>
      </x:c>
      <x:c r="J182" s="38" t="str">
        <x:v>承接佳木斯／喀什通话时的内部人员画面；按席位职责、值班人数、显示层级与声学分区重建，可做站点小差异变体</x:v>
      </x:c>
      <x:c r="K182" s="38" t="str">
        <x:v>新增；不把66米／35米射电天线画成光学地面站</x:v>
      </x:c>
      <x:c r="L182" s="38" t="str">
        <x:v>资产主表</x:v>
      </x:c>
      <x:c r="M182" s="38" t="str">
        <x:v>镜007、082及后续深空测控通话</x:v>
      </x:c>
      <x:c r="N182" s="38" t="str">
        <x:v>V1.3.2镜007、082；用户指示</x:v>
      </x:c>
    </x:row>
    <x:row r="183">
      <x:c r="A183" s="38" t="str">
        <x:v>BY-SYM-P0-003-飞控任务屏信息架构</x:v>
      </x:c>
      <x:c r="B183" s="38" t="str">
        <x:v>SYM</x:v>
      </x:c>
      <x:c r="C183" s="38" t="str">
        <x:v>飞控任务主屏与副屏信息架构</x:v>
      </x:c>
      <x:c r="D183" s="38" t="str">
        <x:v>—</x:v>
      </x:c>
      <x:c r="E183" s="38" t="str">
        <x:v>新增</x:v>
      </x:c>
      <x:c r="F183" s="38" t="str">
        <x:v>—</x:v>
      </x:c>
      <x:c r="G183" s="40" t="str">
        <x:v>新增重做</x:v>
      </x:c>
      <x:c r="H183" s="42" t="str">
        <x:v>P0</x:v>
      </x:c>
      <x:c r="I183" s="38" t="str">
        <x:v>独立后期图形资产</x:v>
      </x:c>
      <x:c r="J183" s="38" t="str">
        <x:v>统一对接、下降、出舱、返航、再入、搜救各阶段的信息层级；屏幕内容与席位职责一一对应</x:v>
      </x:c>
      <x:c r="K183" s="38" t="str">
        <x:v>新增总母资产，旧屏一律不得直接复用</x:v>
      </x:c>
      <x:c r="L183" s="38" t="str">
        <x:v>资产主表</x:v>
      </x:c>
      <x:c r="M183" s="38" t="str">
        <x:v>北京飞控全部主屏／副屏镜头</x:v>
      </x:c>
      <x:c r="N183" s="38" t="str">
        <x:v>V1.3.2镜006、011、015、026、034、091、103、117；用户指示</x:v>
      </x:c>
    </x:row>
    <x:row r="184">
      <x:c r="A184" s="38" t="str">
        <x:v>BY-SYM-P1-009-RF光通信双链路状态界面</x:v>
      </x:c>
      <x:c r="B184" s="38" t="str">
        <x:v>SYM</x:v>
      </x:c>
      <x:c r="C184" s="38" t="str">
        <x:v>RF与光通信双链路状态界面</x:v>
      </x:c>
      <x:c r="D184" s="38" t="str">
        <x:v>—</x:v>
      </x:c>
      <x:c r="E184" s="38" t="str">
        <x:v>新增</x:v>
      </x:c>
      <x:c r="F184" s="38" t="str">
        <x:v>—</x:v>
      </x:c>
      <x:c r="G184" s="40" t="str">
        <x:v>新增重做</x:v>
      </x:c>
      <x:c r="H184" s="42" t="str">
        <x:v>P1</x:v>
      </x:c>
      <x:c r="I184" s="38" t="str">
        <x:v>独立后期图形资产</x:v>
      </x:c>
      <x:c r="J184" s="38" t="str">
        <x:v>明确RF测控／语音／关键指令／安全备份与光链高清影像／科学数据／大文件的职责分流、转站与缓存补传</x:v>
      </x:c>
      <x:c r="K184" s="38" t="str">
        <x:v>新增；屏幕画面先于任何光学地面站外景资产</x:v>
      </x:c>
      <x:c r="L184" s="38" t="str">
        <x:v>资产主表</x:v>
      </x:c>
      <x:c r="M184" s="38" t="str">
        <x:v>镜060A、061A及相关飞控副屏</x:v>
      </x:c>
      <x:c r="N184" s="38" t="str">
        <x:v>V1.3.2镜060A、061A；F2、F3、F8</x:v>
      </x:c>
    </x:row>
    <x:row r="185">
      <x:c r="A185" s="38" t="str">
        <x:v>BY-REL-P0-014-飞控席位职责与人员调度</x:v>
      </x:c>
      <x:c r="B185" s="38" t="str">
        <x:v>REL</x:v>
      </x:c>
      <x:c r="C185" s="38" t="str">
        <x:v>飞控／测控／媒体／搜救席位职责与人员调度</x:v>
      </x:c>
      <x:c r="D185" s="38" t="str">
        <x:v>—</x:v>
      </x:c>
      <x:c r="E185" s="38" t="str">
        <x:v>新增</x:v>
      </x:c>
      <x:c r="F185" s="38" t="str">
        <x:v>—</x:v>
      </x:c>
      <x:c r="G185" s="41" t="str">
        <x:v>新增控制项</x:v>
      </x:c>
      <x:c r="H185" s="42" t="str">
        <x:v>P0</x:v>
      </x:c>
      <x:c r="I185" s="38" t="str">
        <x:v>关系控制卡＋场戏调度</x:v>
      </x:c>
      <x:c r="J185" s="38" t="str">
        <x:v>逐场定义谁在何席位、读取什么数据、谁有授权权、谁只提供建议、何时保持工作、何时允许庆祝；镜头内人数与动作必须有任务理由。</x:v>
      </x:c>
      <x:c r="K185" s="38" t="str">
        <x:v>用户明确要求／V1.3.2新增链路</x:v>
      </x:c>
      <x:c r="L185" s="38" t="str">
        <x:v>Prompt控制项</x:v>
      </x:c>
      <x:c r="M185" s="38" t="str">
        <x:v>镜006、011、015、026、034、040、045、052、091、094、103、117</x:v>
      </x:c>
      <x:c r="N185" s="38" t="str">
        <x:v>用户指示；V1.3.2逐镜表</x:v>
      </x:c>
    </x:row>
    <x:row r="186">
      <x:c r="A186" s="38" t="str">
        <x:v>BY-REL-P1-011-RF光通信职责分流</x:v>
      </x:c>
      <x:c r="B186" s="38" t="str">
        <x:v>REL</x:v>
      </x:c>
      <x:c r="C186" s="38" t="str">
        <x:v>RF与光通信职责分流及转站规则</x:v>
      </x:c>
      <x:c r="D186" s="38" t="str">
        <x:v>—</x:v>
      </x:c>
      <x:c r="E186" s="38" t="str">
        <x:v>新增</x:v>
      </x:c>
      <x:c r="F186" s="38" t="str">
        <x:v>—</x:v>
      </x:c>
      <x:c r="G186" s="41" t="str">
        <x:v>新增控制项</x:v>
      </x:c>
      <x:c r="H186" s="42" t="str">
        <x:v>P1</x:v>
      </x:c>
      <x:c r="I186" s="38" t="str">
        <x:v>通信关系控制卡＋逐镜Prompt</x:v>
      </x:c>
      <x:c r="J186" s="38" t="str">
        <x:v>RF保持测控、语音、关键指令和安全备份；光链只承担高清影像、科学数据和大容量文件；光链转站时允许画面停帧／缓存补传，但RF语音遥测持续。</x:v>
      </x:c>
      <x:c r="K186" s="38" t="str">
        <x:v>用户明确要求／V1.3.2新增链路</x:v>
      </x:c>
      <x:c r="L186" s="38" t="str">
        <x:v>Prompt控制项</x:v>
      </x:c>
      <x:c r="M186" s="38" t="str">
        <x:v>镜060A、061A及后续通信镜头</x:v>
      </x:c>
      <x:c r="N186" s="38" t="str">
        <x:v>V1.3.2 F2、F3、F8；官方资料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23fab5cfc2c043b2"/>
  </x:tableParts>
</x:worksheet>
</file>

<file path=xl/worksheets/sheet4.xml><?xml version="1.0" encoding="utf-8"?>
<x:worksheet xmlns:x="http://schemas.openxmlformats.org/spreadsheetml/2006/main">
  <x:sheetPr>
    <x:tabColor rgb="FFBF900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8" hidden="0" customWidth="1"/>
    <x:col min="3" max="3" width="28" hidden="0" customWidth="1"/>
    <x:col min="4" max="4" width="10" hidden="0" customWidth="1"/>
    <x:col min="5" max="5" width="27" hidden="0" customWidth="1"/>
    <x:col min="6" max="6" width="62" hidden="0" customWidth="1"/>
    <x:col min="7" max="7" width="20" hidden="0" customWidth="1"/>
    <x:col min="8" max="8" width="42" hidden="0" customWidth="1"/>
    <x:col min="9" max="9" width="43" hidden="0" customWidth="1"/>
    <x:col min="10" max="10" width="47" hidden="0" customWidth="1"/>
    <x:col min="11" max="11" width="25" hidden="0" customWidth="1"/>
  </x:cols>
  <x:sheetData>
    <x:row r="1" ht="30" customHeight="1">
      <x:c r="A1" s="3" t="str">
        <x:v>非独立资产／混合制作 Prompt 控制项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7" t="str">
        <x:v>本表是逐镜生成约束，不是另做一批静态图。P0 VFX仅保留物理基准测试包；所有非人物同期声随视频同步生成。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5" ht="30" customHeight="1">
      <x:c r="A5" s="34" t="str">
        <x:v>来源／控制ID</x:v>
      </x:c>
      <x:c r="B5" s="34" t="str">
        <x:v>类型</x:v>
      </x:c>
      <x:c r="C5" s="34" t="str">
        <x:v>控制项</x:v>
      </x:c>
      <x:c r="D5" s="34" t="str">
        <x:v>优先级</x:v>
      </x:c>
      <x:c r="E5" s="34" t="str">
        <x:v>执行方式</x:v>
      </x:c>
      <x:c r="F5" s="34" t="str">
        <x:v>逐镜Prompt与物理约束</x:v>
      </x:c>
      <x:c r="G5" s="34" t="str">
        <x:v>独立资产</x:v>
      </x:c>
      <x:c r="H5" s="34" t="str">
        <x:v>依赖的稳定资产</x:v>
      </x:c>
      <x:c r="I5" s="34" t="str">
        <x:v>关联镜头／场景</x:v>
      </x:c>
      <x:c r="J5" s="34" t="str">
        <x:v>验收要点</x:v>
      </x:c>
      <x:c r="K5" s="34" t="str">
        <x:v>依据</x:v>
      </x:c>
    </x:row>
    <x:row r="6">
      <x:c r="A6" s="38" t="str">
        <x:v>BY-LGT-P0-001-梦舟舱内任务光</x:v>
      </x:c>
      <x:c r="B6" s="38" t="str">
        <x:v>LGT</x:v>
      </x:c>
      <x:c r="C6" s="38" t="str">
        <x:v>梦舟舱内任务光</x:v>
      </x:c>
      <x:c r="D6" s="38" t="str">
        <x:v>P0</x:v>
      </x:c>
      <x:c r="E6" s="38" t="str">
        <x:v>灯光控制卡＋逐镜Prompt</x:v>
      </x:c>
      <x:c r="F6" s="38" t="str">
        <x:v>光线必须可追溯到真实来源；只作母图与逐镜光影校准，不扩展为独立画面资产。</x:v>
      </x:c>
      <x:c r="G6" s="41" t="str">
        <x:v>否</x:v>
      </x:c>
      <x:c r="H6" s="38" t="str">
        <x:v>做进场景母图</x:v>
      </x:c>
      <x:c r="I6" s="38" t="str">
        <x:v>场1,2,3,9,11,12,13,14,15；镜004,007,015,018,063,079,081,090,094,101,103</x:v>
      </x:c>
      <x:c r="J6" s="38" t="str">
        <x:v>不按单张资产生产；作为母资产继承规则与逐镜验收条件</x:v>
      </x:c>
      <x:c r="K6" s="38" t="str">
        <x:v>剧本明确;创作者建议</x:v>
      </x:c>
    </x:row>
    <x:row r="7">
      <x:c r="A7" s="38" t="str">
        <x:v>BY-LGT-P0-002-揽月下降任务光</x:v>
      </x:c>
      <x:c r="B7" s="38" t="str">
        <x:v>LGT</x:v>
      </x:c>
      <x:c r="C7" s="38" t="str">
        <x:v>揽月下降任务光</x:v>
      </x:c>
      <x:c r="D7" s="38" t="str">
        <x:v>P0</x:v>
      </x:c>
      <x:c r="E7" s="38" t="str">
        <x:v>灯光控制卡＋逐镜Prompt</x:v>
      </x:c>
      <x:c r="F7" s="38" t="str">
        <x:v>光线必须可追溯到真实来源；只作母图与逐镜光影校准，不扩展为独立画面资产。</x:v>
      </x:c>
      <x:c r="G7" s="41" t="str">
        <x:v>否</x:v>
      </x:c>
      <x:c r="H7" s="38" t="str">
        <x:v>做进场景母图</x:v>
      </x:c>
      <x:c r="I7" s="38" t="str">
        <x:v>场2,3,4,5,6,7,10,11,12；镜009,011,017,019,023,029,032,036,038,040,043,044,045,046,069,070,071,073,076,082</x:v>
      </x:c>
      <x:c r="J7" s="38" t="str">
        <x:v>不按单张资产生产；作为母资产继承规则与逐镜验收条件</x:v>
      </x:c>
      <x:c r="K7" s="38" t="str">
        <x:v>剧本明确;创作者建议</x:v>
      </x:c>
    </x:row>
    <x:row r="8">
      <x:c r="A8" s="38" t="str">
        <x:v>BY-VFX-P0-001-月面下降羽流与贴地月尘</x:v>
      </x:c>
      <x:c r="B8" s="38" t="str">
        <x:v>VFX</x:v>
      </x:c>
      <x:c r="C8" s="38" t="str">
        <x:v>月面下降羽流与贴地月尘</x:v>
      </x:c>
      <x:c r="D8" s="38" t="str">
        <x:v>P0</x:v>
      </x:c>
      <x:c r="E8" s="38" t="str">
        <x:v>VFX物理基准测试包＋逐镜Prompt</x:v>
      </x:c>
      <x:c r="F8" s="38" t="str">
        <x:v>真空环境；喷流卷起贴地、弹道式月尘薄层；禁止大气烟云、翻滚浓烟。</x:v>
      </x:c>
      <x:c r="G8" s="41" t="str">
        <x:v>是：仅物理基准测试包</x:v>
      </x:c>
      <x:c r="H8" s="38" t="str">
        <x:v>核心物理测试模板</x:v>
      </x:c>
      <x:c r="I8" s="38" t="str">
        <x:v>场5；镜027,037</x:v>
      </x:c>
      <x:c r="J8" s="38" t="str">
        <x:v>只固化物理规律、尺度与可接受边界；每镜运动、尘埃、辉光、伞降与冲击仍随视频生成</x:v>
      </x:c>
      <x:c r="K8" s="38" t="str">
        <x:v>剧本明确;科学约束</x:v>
      </x:c>
    </x:row>
    <x:row r="9">
      <x:c r="A9" s="38" t="str">
        <x:v>BY-VFX-P0-002-触月关机与月尘回落</x:v>
      </x:c>
      <x:c r="B9" s="38" t="str">
        <x:v>VFX</x:v>
      </x:c>
      <x:c r="C9" s="38" t="str">
        <x:v>触月关机与月尘回落</x:v>
      </x:c>
      <x:c r="D9" s="38" t="str">
        <x:v>P0</x:v>
      </x:c>
      <x:c r="E9" s="38" t="str">
        <x:v>VFX物理基准测试包＋逐镜Prompt</x:v>
      </x:c>
      <x:c r="F9" s="38" t="str">
        <x:v>触地后发动机关机，尘粒按低重力弹道回落；禁止持续滚动烟尘。</x:v>
      </x:c>
      <x:c r="G9" s="41" t="str">
        <x:v>是：仅物理基准测试包</x:v>
      </x:c>
      <x:c r="H9" s="38" t="str">
        <x:v>触月技术测试</x:v>
      </x:c>
      <x:c r="I9" s="38" t="str">
        <x:v>场5,6；镜038,039</x:v>
      </x:c>
      <x:c r="J9" s="38" t="str">
        <x:v>只固化物理规律、尺度与可接受边界；每镜运动、尘埃、辉光、伞降与冲击仍随视频生成</x:v>
      </x:c>
      <x:c r="K9" s="38" t="str">
        <x:v>剧本明确;科学约束</x:v>
      </x:c>
    </x:row>
    <x:row r="10">
      <x:c r="A10" s="38" t="str">
        <x:v>BY-VFX-P0-003-第一足印月壤形变</x:v>
      </x:c>
      <x:c r="B10" s="38" t="str">
        <x:v>VFX</x:v>
      </x:c>
      <x:c r="C10" s="38" t="str">
        <x:v>第一足印月壤形变</x:v>
      </x:c>
      <x:c r="D10" s="38" t="str">
        <x:v>P0</x:v>
      </x:c>
      <x:c r="E10" s="38" t="str">
        <x:v>VFX物理基准测试包＋逐镜Prompt</x:v>
      </x:c>
      <x:c r="F10" s="38" t="str">
        <x:v>干燥细颗粒月壤受压成形；禁止湿泥、弹性橡胶或深雪质感。</x:v>
      </x:c>
      <x:c r="G10" s="41" t="str">
        <x:v>是：仅物理基准测试包</x:v>
      </x:c>
      <x:c r="H10" s="38" t="str">
        <x:v>极近景物理测试</x:v>
      </x:c>
      <x:c r="I10" s="38" t="str">
        <x:v>场8；镜050</x:v>
      </x:c>
      <x:c r="J10" s="38" t="str">
        <x:v>只固化物理规律、尺度与可接受边界；每镜运动、尘埃、辉光、伞降与冲击仍随视频生成</x:v>
      </x:c>
      <x:c r="K10" s="38" t="str">
        <x:v>剧本明确;科学约束</x:v>
      </x:c>
    </x:row>
    <x:row r="11">
      <x:c r="A11" s="38" t="str">
        <x:v>BY-VFX-P0-004-月面起飞羽流与留场余景</x:v>
      </x:c>
      <x:c r="B11" s="38" t="str">
        <x:v>VFX</x:v>
      </x:c>
      <x:c r="C11" s="38" t="str">
        <x:v>月面起飞羽流与留场余景</x:v>
      </x:c>
      <x:c r="D11" s="38" t="str">
        <x:v>P0</x:v>
      </x:c>
      <x:c r="E11" s="38" t="str">
        <x:v>VFX物理基准测试包＋逐镜Prompt</x:v>
      </x:c>
      <x:c r="F11" s="38" t="str">
        <x:v>定向喷流与低重力扬尘；保留起飞后的空场余景；月面外部无空气声。</x:v>
      </x:c>
      <x:c r="G11" s="41" t="str">
        <x:v>是：仅物理基准测试包</x:v>
      </x:c>
      <x:c r="H11" s="38" t="str">
        <x:v>起飞技术测试模板</x:v>
      </x:c>
      <x:c r="I11" s="38" t="str">
        <x:v>场11；镜074,075</x:v>
      </x:c>
      <x:c r="J11" s="38" t="str">
        <x:v>只固化物理规律、尺度与可接受边界；每镜运动、尘埃、辉光、伞降与冲击仍随视频生成</x:v>
      </x:c>
      <x:c r="K11" s="38" t="str">
        <x:v>剧本明确;科学约束</x:v>
      </x:c>
    </x:row>
    <x:row r="12">
      <x:c r="A12" s="38" t="str">
        <x:v>BY-SND-P0-001-舱内生命保障与设备底噪</x:v>
      </x:c>
      <x:c r="B12" s="38" t="str">
        <x:v>SND</x:v>
      </x:c>
      <x:c r="C12" s="38" t="str">
        <x:v>舱内生命保障与设备底噪</x:v>
      </x:c>
      <x:c r="D12" s="38" t="str">
        <x:v>P0</x:v>
      </x:c>
      <x:c r="E12" s="38" t="str">
        <x:v>随视频同步生成／逐镜声音Prompt</x:v>
      </x:c>
      <x:c r="F12" s="38" t="str">
        <x:v>按机位所属真实空间同步生成，保持来源可追；不做独立音效库，不加配乐。</x:v>
      </x:c>
      <x:c r="G12" s="41" t="str">
        <x:v>否</x:v>
      </x:c>
      <x:c r="H12" s="38" t="str">
        <x:v>正式镜头Prompt声音约束</x:v>
      </x:c>
      <x:c r="I12" s="38" t="str">
        <x:v>场1,2,3,4,5,6,7,9,10,11,12,13,14,15；镜004,007,009,011,015,017,018,023,029,032,036,038,040,043,063,069,071,076,079,081,082,090,094,098,100,101,103,106</x:v>
      </x:c>
      <x:c r="J12" s="38" t="str">
        <x:v>对白、无线电、设备声、任务通信随视频同步；全片无配乐；月面外部无空气传播声</x:v>
      </x:c>
      <x:c r="K12" s="38" t="str">
        <x:v>项目锁定;剧本明确</x:v>
      </x:c>
    </x:row>
    <x:row r="13">
      <x:c r="A13" s="38" t="str">
        <x:v>BY-SND-P0-002-地月无线电通信质感</x:v>
      </x:c>
      <x:c r="B13" s="38" t="str">
        <x:v>SND</x:v>
      </x:c>
      <x:c r="C13" s="38" t="str">
        <x:v>地月无线电通信质感</x:v>
      </x:c>
      <x:c r="D13" s="38" t="str">
        <x:v>P0</x:v>
      </x:c>
      <x:c r="E13" s="38" t="str">
        <x:v>随视频同步生成／逐镜声音Prompt</x:v>
      </x:c>
      <x:c r="F13" s="38" t="str">
        <x:v>保留约1.3秒单程传播延迟；轻度带宽限制，禁止戏剧化电流噪声和消除光时延。</x:v>
      </x:c>
      <x:c r="G13" s="41" t="str">
        <x:v>否</x:v>
      </x:c>
      <x:c r="H13" s="38" t="str">
        <x:v>正式镜头Prompt声音约束</x:v>
      </x:c>
      <x:c r="I13" s="38" t="str">
        <x:v>场1,2,3,4,5,6,7,8,9,10,11,12,13,14,15,16；镜001,003,004,005,006,007,008,009,010,011,012,013,014,015,016,017,018,019,020,021,022,023,024,025,026,027,028,029,030,031,032,033,034,035,036,038,040,041,043,044,045,046,047,048,049,050,051,052,053,054,057,058,059,060,061,062,063,064,065,066,067,068,069,070,071,072,073,074,075,076,077,078,079,080,081,082,083,084,085,086,087,088,089,090,091,092,093,094,095,096,097,098,099,101,102,103,104,106,108,112,113</x:v>
      </x:c>
      <x:c r="J13" s="38" t="str">
        <x:v>对白、无线电、设备声、任务通信随视频同步；全片无配乐；月面外部无空气传播声</x:v>
      </x:c>
      <x:c r="K13" s="38" t="str">
        <x:v>项目锁定;科学约束</x:v>
      </x:c>
    </x:row>
    <x:row r="14">
      <x:c r="A14" s="38" t="str">
        <x:v>BY-REL-P0-001-三名航天员与岗位</x:v>
      </x:c>
      <x:c r="B14" s="38" t="str">
        <x:v>REL</x:v>
      </x:c>
      <x:c r="C14" s="38" t="str">
        <x:v>三名航天员与岗位关系</x:v>
      </x:c>
      <x:c r="D14" s="38" t="str">
        <x:v>P0</x:v>
      </x:c>
      <x:c r="E14" s="38" t="str">
        <x:v>连续性／动作链Prompt控制</x:v>
      </x:c>
      <x:c r="F14" s="38" t="str">
        <x:v>重做乘组三座、任务阶段、座位与席位职责绑定；岗位标签须能由镜头动作验证。</x:v>
      </x:c>
      <x:c r="G14" s="41" t="str">
        <x:v>否</x:v>
      </x:c>
      <x:c r="H14" s="38" t="str">
        <x:v>跨资产关系记录</x:v>
      </x:c>
      <x:c r="I14" s="38" t="str">
        <x:v>全片</x:v>
      </x:c>
      <x:c r="J14" s="38" t="str">
        <x:v>不按单张资产生产；作为母资产继承规则与逐镜验收条件</x:v>
      </x:c>
      <x:c r="K14" s="38" t="str">
        <x:v>剧本明确</x:v>
      </x:c>
    </x:row>
    <x:row r="15">
      <x:c r="A15" s="38" t="str">
        <x:v>BY-REL-P0-002-杨凛服装状态链</x:v>
      </x:c>
      <x:c r="B15" s="38" t="str">
        <x:v>REL</x:v>
      </x:c>
      <x:c r="C15" s="38" t="str">
        <x:v>杨凛服装状态链</x:v>
      </x:c>
      <x:c r="D15" s="38" t="str">
        <x:v>P0</x:v>
      </x:c>
      <x:c r="E15" s="38" t="str">
        <x:v>连续性／动作链Prompt控制</x:v>
      </x:c>
      <x:c r="F15" s="38" t="str">
        <x:v>作为跨资产／跨镜头关系约束保留，不单独生图；在每镜验收时检查继承。</x:v>
      </x:c>
      <x:c r="G15" s="41" t="str">
        <x:v>否</x:v>
      </x:c>
      <x:c r="H15" s="38" t="str">
        <x:v>跨资产关系记录</x:v>
      </x:c>
      <x:c r="I15" s="38" t="str">
        <x:v>03-10</x:v>
      </x:c>
      <x:c r="J15" s="38" t="str">
        <x:v>不按单张资产生产；作为母资产继承规则与逐镜验收条件</x:v>
      </x:c>
      <x:c r="K15" s="38" t="str">
        <x:v>剧本明确</x:v>
      </x:c>
    </x:row>
    <x:row r="16">
      <x:c r="A16" s="38" t="str">
        <x:v>BY-REL-P0-003-陈砚服装状态链</x:v>
      </x:c>
      <x:c r="B16" s="38" t="str">
        <x:v>REL</x:v>
      </x:c>
      <x:c r="C16" s="38" t="str">
        <x:v>陈砚服装状态链</x:v>
      </x:c>
      <x:c r="D16" s="38" t="str">
        <x:v>P0</x:v>
      </x:c>
      <x:c r="E16" s="38" t="str">
        <x:v>连续性／动作链Prompt控制</x:v>
      </x:c>
      <x:c r="F16" s="38" t="str">
        <x:v>作为跨资产／跨镜头关系约束保留，不单独生图；在每镜验收时检查继承。</x:v>
      </x:c>
      <x:c r="G16" s="41" t="str">
        <x:v>否</x:v>
      </x:c>
      <x:c r="H16" s="38" t="str">
        <x:v>跨资产关系记录</x:v>
      </x:c>
      <x:c r="I16" s="38" t="str">
        <x:v>03-10</x:v>
      </x:c>
      <x:c r="J16" s="38" t="str">
        <x:v>不按单张资产生产；作为母资产继承规则与逐镜验收条件</x:v>
      </x:c>
      <x:c r="K16" s="38" t="str">
        <x:v>剧本明确</x:v>
      </x:c>
    </x:row>
    <x:row r="17">
      <x:c r="A17" s="38" t="str">
        <x:v>BY-REL-P0-005-揽月构型状态链</x:v>
      </x:c>
      <x:c r="B17" s="38" t="str">
        <x:v>REL</x:v>
      </x:c>
      <x:c r="C17" s="38" t="str">
        <x:v>揽月构型状态链</x:v>
      </x:c>
      <x:c r="D17" s="38" t="str">
        <x:v>P0</x:v>
      </x:c>
      <x:c r="E17" s="38" t="str">
        <x:v>连续性／动作链Prompt控制</x:v>
      </x:c>
      <x:c r="F17" s="38" t="str">
        <x:v>作为跨资产／跨镜头关系约束保留，不单独生图；在每镜验收时检查继承。</x:v>
      </x:c>
      <x:c r="G17" s="41" t="str">
        <x:v>否</x:v>
      </x:c>
      <x:c r="H17" s="38" t="str">
        <x:v>跨资产关系记录</x:v>
      </x:c>
      <x:c r="I17" s="38" t="str">
        <x:v>01;03-12</x:v>
      </x:c>
      <x:c r="J17" s="38" t="str">
        <x:v>不按单张资产生产；作为母资产继承规则与逐镜验收条件</x:v>
      </x:c>
      <x:c r="K17" s="38" t="str">
        <x:v>剧本明确;公开资料</x:v>
      </x:c>
    </x:row>
    <x:row r="18">
      <x:c r="A18" s="38" t="str">
        <x:v>BY-REL-P0-006-月面摄像机摄影来源</x:v>
      </x:c>
      <x:c r="B18" s="38" t="str">
        <x:v>REL</x:v>
      </x:c>
      <x:c r="C18" s="38" t="str">
        <x:v>月面摄像机摄影来源</x:v>
      </x:c>
      <x:c r="D18" s="38" t="str">
        <x:v>P0</x:v>
      </x:c>
      <x:c r="E18" s="38" t="str">
        <x:v>连续性／动作链Prompt控制</x:v>
      </x:c>
      <x:c r="F18" s="38" t="str">
        <x:v>作为跨资产／跨镜头关系约束保留，不单独生图；在每镜验收时检查继承。</x:v>
      </x:c>
      <x:c r="G18" s="41" t="str">
        <x:v>否</x:v>
      </x:c>
      <x:c r="H18" s="38" t="str">
        <x:v>任何第三视角都必须能追溯到已部署设备或显式遥测视觉重建。</x:v>
      </x:c>
      <x:c r="I18" s="38" t="str">
        <x:v>第8—11场</x:v>
      </x:c>
      <x:c r="J18" s="38" t="str">
        <x:v>不按单张资产生产；作为母资产继承规则与逐镜验收条件</x:v>
      </x:c>
      <x:c r="K18" s="38" t="str">
        <x:v>剧本明确</x:v>
      </x:c>
    </x:row>
    <x:row r="19">
      <x:c r="A19" s="38" t="str">
        <x:v>BY-REL-P0-007-国旗装置部署链</x:v>
      </x:c>
      <x:c r="B19" s="38" t="str">
        <x:v>REL</x:v>
      </x:c>
      <x:c r="C19" s="38" t="str">
        <x:v>国旗装置部署链</x:v>
      </x:c>
      <x:c r="D19" s="38" t="str">
        <x:v>P0</x:v>
      </x:c>
      <x:c r="E19" s="38" t="str">
        <x:v>连续性／动作链Prompt控制</x:v>
      </x:c>
      <x:c r="F19" s="38" t="str">
        <x:v>作为跨资产／跨镜头关系约束保留，不单独生图；在每镜验收时检查继承。</x:v>
      </x:c>
      <x:c r="G19" s="41" t="str">
        <x:v>否</x:v>
      </x:c>
      <x:c r="H19" s="38" t="str">
        <x:v>跨资产关系记录</x:v>
      </x:c>
      <x:c r="I19" s="38" t="str">
        <x:v>08</x:v>
      </x:c>
      <x:c r="J19" s="38" t="str">
        <x:v>不按单张资产生产；作为母资产继承规则与逐镜验收条件</x:v>
      </x:c>
      <x:c r="K19" s="38" t="str">
        <x:v>剧本明确;科学约束</x:v>
      </x:c>
    </x:row>
    <x:row r="20">
      <x:c r="A20" s="38" t="str">
        <x:v>BY-REL-P0-008-样品转移链</x:v>
      </x:c>
      <x:c r="B20" s="38" t="str">
        <x:v>REL</x:v>
      </x:c>
      <x:c r="C20" s="38" t="str">
        <x:v>样品转移链</x:v>
      </x:c>
      <x:c r="D20" s="38" t="str">
        <x:v>P0</x:v>
      </x:c>
      <x:c r="E20" s="38" t="str">
        <x:v>连续性／动作链Prompt控制</x:v>
      </x:c>
      <x:c r="F20" s="38" t="str">
        <x:v>作为跨资产／跨镜头关系约束保留，不单独生图；在每镜验收时检查继承。</x:v>
      </x:c>
      <x:c r="G20" s="41" t="str">
        <x:v>否</x:v>
      </x:c>
      <x:c r="H20" s="38" t="str">
        <x:v>跨资产关系记录</x:v>
      </x:c>
      <x:c r="I20" s="38" t="str">
        <x:v>09-12</x:v>
      </x:c>
      <x:c r="J20" s="38" t="str">
        <x:v>不按单张资产生产；作为母资产继承规则与逐镜验收条件</x:v>
      </x:c>
      <x:c r="K20" s="38" t="str">
        <x:v>剧本明确</x:v>
      </x:c>
    </x:row>
    <x:row r="21">
      <x:c r="A21" s="38" t="str">
        <x:v>BY-LGT-P0-004-月面艺术化任务日光</x:v>
      </x:c>
      <x:c r="B21" s="38" t="str">
        <x:v>LGT</x:v>
      </x:c>
      <x:c r="C21" s="38" t="str">
        <x:v>月面艺术化任务日光</x:v>
      </x:c>
      <x:c r="D21" s="38" t="str">
        <x:v>P0</x:v>
      </x:c>
      <x:c r="E21" s="38" t="str">
        <x:v>灯光控制卡＋逐镜Prompt</x:v>
      </x:c>
      <x:c r="F21" s="38" t="str">
        <x:v>更名为‘2029-04-22月面低太阳高度任务光’；精确UTC未锁前不写死方位角／高度角；单一硬光、长阴影、无大气散射。</x:v>
      </x:c>
      <x:c r="G21" s="41" t="str">
        <x:v>否</x:v>
      </x:c>
      <x:c r="H21" s="38" t="str">
        <x:v>先在月面MASTER锁定，再供所有月面视图继承</x:v>
      </x:c>
      <x:c r="I21" s="38" t="str">
        <x:v>场5,6,7,8,9,10,11；镜027,030,032,033,034,037,038,039,042,047,048,049,050,051,052,053,054,055,056,057,058,059,060,061,062,064,066,067,068,069,074,075</x:v>
      </x:c>
      <x:c r="J21" s="38" t="str">
        <x:v>不按单张资产生产；作为母资产继承规则与逐镜验收条件</x:v>
      </x:c>
      <x:c r="K21" s="38" t="str">
        <x:v>V1.2剧本明确＋项目锁定＋公开工程资料边界</x:v>
      </x:c>
    </x:row>
    <x:row r="22">
      <x:c r="A22" s="38" t="str">
        <x:v>BY-LGT-P0-005-返回舱再入等离子辉光</x:v>
      </x:c>
      <x:c r="B22" s="38" t="str">
        <x:v>LGT</x:v>
      </x:c>
      <x:c r="C22" s="38" t="str">
        <x:v>返回舱再入等离子辉光</x:v>
      </x:c>
      <x:c r="D22" s="38" t="str">
        <x:v>P0</x:v>
      </x:c>
      <x:c r="E22" s="38" t="str">
        <x:v>灯光控制卡＋逐镜Prompt</x:v>
      </x:c>
      <x:c r="F22" s="38" t="str">
        <x:v>辉光方向与速度／姿态一致；黑障期间通信不可用，禁止光通信绕过黑障。</x:v>
      </x:c>
      <x:c r="G22" s="41" t="str">
        <x:v>否</x:v>
      </x:c>
      <x:c r="H22" s="38" t="str">
        <x:v>与再入VFX联动制作</x:v>
      </x:c>
      <x:c r="I22" s="38" t="str">
        <x:v>场15；镜104,106,108</x:v>
      </x:c>
      <x:c r="J22" s="38" t="str">
        <x:v>不按单张资产生产；作为母资产继承规则与逐镜验收条件</x:v>
      </x:c>
      <x:c r="K22" s="38" t="str">
        <x:v>V1.2剧本明确＋项目锁定＋公开工程资料边界</x:v>
      </x:c>
    </x:row>
    <x:row r="23">
      <x:c r="A23" s="38" t="str">
        <x:v>BY-VFX-P0-005-返回舱等离子辉光与黑障视觉</x:v>
      </x:c>
      <x:c r="B23" s="38" t="str">
        <x:v>VFX</x:v>
      </x:c>
      <x:c r="C23" s="38" t="str">
        <x:v>返回舱等离子辉光与黑障视觉</x:v>
      </x:c>
      <x:c r="D23" s="38" t="str">
        <x:v>P0</x:v>
      </x:c>
      <x:c r="E23" s="38" t="str">
        <x:v>VFX物理基准测试包＋逐镜Prompt</x:v>
      </x:c>
      <x:c r="F23" s="38" t="str">
        <x:v>辉光方向与速度／姿态一致；黑障期间通信不可用，禁止光通信绕过黑障。</x:v>
      </x:c>
      <x:c r="G23" s="41" t="str">
        <x:v>是：仅物理基准测试包</x:v>
      </x:c>
      <x:c r="H23" s="38" t="str">
        <x:v>高风险技术测试</x:v>
      </x:c>
      <x:c r="I23" s="38" t="str">
        <x:v>场15；镜104,106,108</x:v>
      </x:c>
      <x:c r="J23" s="38" t="str">
        <x:v>只固化物理规律、尺度与可接受边界；每镜运动、尘埃、辉光、伞降与冲击仍随视频生成</x:v>
      </x:c>
      <x:c r="K23" s="38" t="str">
        <x:v>V1.2剧本明确＋项目锁定＋公开工程资料边界</x:v>
      </x:c>
    </x:row>
    <x:row r="24">
      <x:c r="A24" s="38" t="str">
        <x:v>BY-VFX-P0-006-稳定伞与主伞展开</x:v>
      </x:c>
      <x:c r="B24" s="38" t="str">
        <x:v>VFX</x:v>
      </x:c>
      <x:c r="C24" s="38" t="str">
        <x:v>返回舱稳定伞／主伞展开</x:v>
      </x:c>
      <x:c r="D24" s="38" t="str">
        <x:v>P0</x:v>
      </x:c>
      <x:c r="E24" s="38" t="str">
        <x:v>VFX物理基准测试包＋逐镜Prompt</x:v>
      </x:c>
      <x:c r="F24" s="38" t="str">
        <x:v>按两具减速伞、三具主伞分级展开做基准；不得一次性弹出同型伞群。</x:v>
      </x:c>
      <x:c r="G24" s="41" t="str">
        <x:v>是：仅物理基准测试包</x:v>
      </x:c>
      <x:c r="H24" s="38" t="str">
        <x:v>与返回舱群伞构型联合测试</x:v>
      </x:c>
      <x:c r="I24" s="38" t="str">
        <x:v>场15；镜108</x:v>
      </x:c>
      <x:c r="J24" s="38" t="str">
        <x:v>只固化物理规律、尺度与可接受边界；每镜运动、尘埃、辉光、伞降与冲击仍随视频生成</x:v>
      </x:c>
      <x:c r="K24" s="38" t="str">
        <x:v>V1.2剧本明确＋项目锁定＋公开工程资料边界</x:v>
      </x:c>
    </x:row>
    <x:row r="25">
      <x:c r="A25" s="38" t="str">
        <x:v>BY-VFX-P0-007-气囊触地滚摆</x:v>
      </x:c>
      <x:c r="B25" s="38" t="str">
        <x:v>VFX</x:v>
      </x:c>
      <x:c r="C25" s="38" t="str">
        <x:v>返回舱气囊触地与滚摆</x:v>
      </x:c>
      <x:c r="D25" s="38" t="str">
        <x:v>P0</x:v>
      </x:c>
      <x:c r="E25" s="38" t="str">
        <x:v>VFX物理基准测试包＋逐镜Prompt</x:v>
      </x:c>
      <x:c r="F25" s="38" t="str">
        <x:v>六气囊着陆构型；触地冲击、滚摆与最终静止连续，禁止轻飘或无重量感。</x:v>
      </x:c>
      <x:c r="G25" s="41" t="str">
        <x:v>是：仅物理基准测试包</x:v>
      </x:c>
      <x:c r="H25" s="38" t="str">
        <x:v>与搜救MASTER联合测试</x:v>
      </x:c>
      <x:c r="I25" s="38" t="str">
        <x:v>场15；镜109</x:v>
      </x:c>
      <x:c r="J25" s="38" t="str">
        <x:v>只固化物理规律、尺度与可接受边界；每镜运动、尘埃、辉光、伞降与冲击仍随视频生成</x:v>
      </x:c>
      <x:c r="K25" s="38" t="str">
        <x:v>V1.2剧本明确＋项目锁定＋公开工程资料边界</x:v>
      </x:c>
    </x:row>
    <x:row r="26">
      <x:c r="A26" s="38" t="str">
        <x:v>BY-REL-P0-009-梦舟三座返航承载与环月工作位</x:v>
      </x:c>
      <x:c r="B26" s="38" t="str">
        <x:v>REL</x:v>
      </x:c>
      <x:c r="C26" s="38" t="str">
        <x:v>梦舟三座四种乘员状态与环月工作位关系</x:v>
      </x:c>
      <x:c r="D26" s="38" t="str">
        <x:v>P0</x:v>
      </x:c>
      <x:c r="E26" s="38" t="str">
        <x:v>连续性／动作链Prompt控制</x:v>
      </x:c>
      <x:c r="F26" s="38" t="str">
        <x:v>作为跨资产／跨镜头关系约束保留，不单独生图；在每镜验收时检查继承。</x:v>
      </x:c>
      <x:c r="G26" s="41" t="str">
        <x:v>否</x:v>
      </x:c>
      <x:c r="H26" s="38" t="str">
        <x:v>作为梦舟所有镜头的强连续性约束；不得生成三人并排占满通道或座椅朝向漂移。</x:v>
      </x:c>
      <x:c r="I26" s="38" t="str">
        <x:v>第1—3、5、11、14—15场</x:v>
      </x:c>
      <x:c r="J26" s="38" t="str">
        <x:v>不按单张资产生产；作为母资产继承规则与逐镜验收条件</x:v>
      </x:c>
      <x:c r="K26" s="38" t="str">
        <x:v>V1.2剧本明确＋项目锁定＋公开工程资料边界</x:v>
      </x:c>
    </x:row>
    <x:row r="27">
      <x:c r="A27" s="38" t="str">
        <x:v>BY-REL-P0-010-梦舟轴向转移顺序</x:v>
      </x:c>
      <x:c r="B27" s="38" t="str">
        <x:v>REL</x:v>
      </x:c>
      <x:c r="C27" s="38" t="str">
        <x:v>梦舟轴向通道人员／样品转移顺序</x:v>
      </x:c>
      <x:c r="D27" s="38" t="str">
        <x:v>P0</x:v>
      </x:c>
      <x:c r="E27" s="38" t="str">
        <x:v>连续性／动作链Prompt控制</x:v>
      </x:c>
      <x:c r="F27" s="38" t="str">
        <x:v>作为跨资产／跨镜头关系约束保留，不单独生图；在每镜验收时检查继承。</x:v>
      </x:c>
      <x:c r="G27" s="41" t="str">
        <x:v>否</x:v>
      </x:c>
      <x:c r="H27" s="38" t="str">
        <x:v>通道场景和道具硬约束</x:v>
      </x:c>
      <x:c r="I27" s="38" t="str"/>
      <x:c r="J27" s="38" t="str">
        <x:v>不按单张资产生产；作为母资产继承规则与逐镜验收条件</x:v>
      </x:c>
      <x:c r="K27" s="38" t="str">
        <x:v>V1.2剧本明确＋项目锁定＋公开工程资料边界</x:v>
      </x:c>
    </x:row>
    <x:row r="28">
      <x:c r="A28" s="38" t="str">
        <x:v>BY-REL-P0-011-梦舟返地构型状态链</x:v>
      </x:c>
      <x:c r="B28" s="38" t="str">
        <x:v>REL</x:v>
      </x:c>
      <x:c r="C28" s="38" t="str">
        <x:v>梦舟月轨—地月转移—再入状态链</x:v>
      </x:c>
      <x:c r="D28" s="38" t="str">
        <x:v>P0</x:v>
      </x:c>
      <x:c r="E28" s="38" t="str">
        <x:v>连续性／动作链Prompt控制</x:v>
      </x:c>
      <x:c r="F28" s="38" t="str">
        <x:v>作为跨资产／跨镜头关系约束保留，不单独生图；在每镜验收时检查继承。</x:v>
      </x:c>
      <x:c r="G28" s="41" t="str">
        <x:v>否</x:v>
      </x:c>
      <x:c r="H28" s="38" t="str">
        <x:v>梦舟外部与再入资产硬约束</x:v>
      </x:c>
      <x:c r="I28" s="38" t="str"/>
      <x:c r="J28" s="38" t="str">
        <x:v>不按单张资产生产；作为母资产继承规则与逐镜验收条件</x:v>
      </x:c>
      <x:c r="K28" s="38" t="str">
        <x:v>V1.2剧本明确＋项目锁定＋公开工程资料边界</x:v>
      </x:c>
    </x:row>
    <x:row r="29">
      <x:c r="A29" s="38" t="str">
        <x:v>BY-REL-P0-012-月面艺术化光照与声明</x:v>
      </x:c>
      <x:c r="B29" s="38" t="str">
        <x:v>REL</x:v>
      </x:c>
      <x:c r="C29" s="38" t="str">
        <x:v>月面艺术化光照与推演声明关系</x:v>
      </x:c>
      <x:c r="D29" s="38" t="str">
        <x:v>P0</x:v>
      </x:c>
      <x:c r="E29" s="38" t="str">
        <x:v>连续性／动作链Prompt控制</x:v>
      </x:c>
      <x:c r="F29" s="38" t="str">
        <x:v>改为日期一致的月面光照继承关系；删除独立艺术化偏差声明，保留通用未来纪实推演边界。</x:v>
      </x:c>
      <x:c r="G29" s="41" t="str">
        <x:v>否</x:v>
      </x:c>
      <x:c r="H29" s="38" t="str">
        <x:v>阶段2A和阶段3禁止改写项</x:v>
      </x:c>
      <x:c r="I29" s="38" t="str"/>
      <x:c r="J29" s="38" t="str">
        <x:v>不按单张资产生产；作为母资产继承规则与逐镜验收条件</x:v>
      </x:c>
      <x:c r="K29" s="38" t="str">
        <x:v>V1.2剧本明确＋项目锁定＋公开工程资料边界</x:v>
      </x:c>
    </x:row>
    <x:row r="30">
      <x:c r="A30" s="38" t="str">
        <x:v>BY-REL-P0-013-返回舱再入搜救状态链</x:v>
      </x:c>
      <x:c r="B30" s="38" t="str">
        <x:v>REL</x:v>
      </x:c>
      <x:c r="C30" s="38" t="str">
        <x:v>返回舱再入、着陆与搜救状态链</x:v>
      </x:c>
      <x:c r="D30" s="38" t="str">
        <x:v>P0</x:v>
      </x:c>
      <x:c r="E30" s="38" t="str">
        <x:v>连续性／动作链Prompt控制</x:v>
      </x:c>
      <x:c r="F30" s="38" t="str">
        <x:v>作为跨资产／跨镜头关系约束保留，不单独生图；在每镜验收时检查继承。</x:v>
      </x:c>
      <x:c r="G30" s="41" t="str">
        <x:v>否</x:v>
      </x:c>
      <x:c r="H30" s="38" t="str">
        <x:v>再入与搜救资产硬约束</x:v>
      </x:c>
      <x:c r="I30" s="38" t="str"/>
      <x:c r="J30" s="38" t="str">
        <x:v>不按单张资产生产；作为母资产继承规则与逐镜验收条件</x:v>
      </x:c>
      <x:c r="K30" s="38" t="str">
        <x:v>V1.2剧本明确＋项目锁定＋公开工程资料边界</x:v>
      </x:c>
    </x:row>
    <x:row r="31">
      <x:c r="A31" s="38" t="str">
        <x:v>BY-ANM-P0-001-梦舟四种乘员状态</x:v>
      </x:c>
      <x:c r="B31" s="38" t="str">
        <x:v>ANM</x:v>
      </x:c>
      <x:c r="C31" s="38" t="str">
        <x:v>梦舟三座四种乘员状态动作链</x:v>
      </x:c>
      <x:c r="D31" s="38" t="str">
        <x:v>P0</x:v>
      </x:c>
      <x:c r="E31" s="38" t="str">
        <x:v>连续性／动作链Prompt控制</x:v>
      </x:c>
      <x:c r="F31" s="38" t="str">
        <x:v>动作链作为镜头连续性约束：明确起点、动作完成、状态门和结束状态；不制作脱离镜头的独立动画资产。</x:v>
      </x:c>
      <x:c r="G31" s="41" t="str">
        <x:v>否</x:v>
      </x:c>
      <x:c r="H31" s="38" t="str">
        <x:v>不得改变舱内几何和座椅朝向</x:v>
      </x:c>
      <x:c r="I31" s="38" t="str">
        <x:v>第1—3、5、11、14—15场</x:v>
      </x:c>
      <x:c r="J31" s="38" t="str">
        <x:v>不按单张资产生产；作为母资产继承规则与逐镜验收条件</x:v>
      </x:c>
      <x:c r="K31" s="38" t="str">
        <x:v>V1.3.1正式分镜稿＋公开资料边界内艺术推演</x:v>
      </x:c>
    </x:row>
    <x:row r="32">
      <x:c r="A32" s="38" t="str">
        <x:v>BY-ANM-P0-002-揽月下降出舱起飞链</x:v>
      </x:c>
      <x:c r="B32" s="38" t="str">
        <x:v>ANM</x:v>
      </x:c>
      <x:c r="C32" s="38" t="str">
        <x:v>揽月下降、着陆、单人出舱与月面起飞动作链</x:v>
      </x:c>
      <x:c r="D32" s="38" t="str">
        <x:v>P0</x:v>
      </x:c>
      <x:c r="E32" s="38" t="str">
        <x:v>连续性／动作链Prompt控制</x:v>
      </x:c>
      <x:c r="F32" s="38" t="str">
        <x:v>动作链作为镜头连续性约束：明确起点、动作完成、状态门和结束状态；不制作脱离镜头的独立动画资产。</x:v>
      </x:c>
      <x:c r="G32" s="41" t="str">
        <x:v>否</x:v>
      </x:c>
      <x:c r="H32" s="38" t="str">
        <x:v>关键动作按镜头证据链制作</x:v>
      </x:c>
      <x:c r="I32" s="38" t="str">
        <x:v>第5—8、11场</x:v>
      </x:c>
      <x:c r="J32" s="38" t="str">
        <x:v>不按单张资产生产；作为母资产继承规则与逐镜验收条件</x:v>
      </x:c>
      <x:c r="K32" s="38" t="str">
        <x:v>V1.3.1正式分镜稿＋公开资料边界内艺术推演</x:v>
      </x:c>
    </x:row>
    <x:row r="33">
      <x:c r="A33" s="38" t="str">
        <x:v>BY-REL-P0-014-飞控席位职责与人员调度</x:v>
      </x:c>
      <x:c r="B33" s="38" t="str">
        <x:v>REL</x:v>
      </x:c>
      <x:c r="C33" s="38" t="str">
        <x:v>飞控／测控／媒体／搜救席位职责与人员调度</x:v>
      </x:c>
      <x:c r="D33" s="38" t="str">
        <x:v>P0</x:v>
      </x:c>
      <x:c r="E33" s="38" t="str">
        <x:v>关系控制卡＋场戏调度</x:v>
      </x:c>
      <x:c r="F33" s="38" t="str">
        <x:v>逐场定义谁在何席位、读取什么数据、谁有授权权、谁只提供建议、何时保持工作、何时允许庆祝；镜头内人数与动作必须有任务理由。</x:v>
      </x:c>
      <x:c r="G33" s="41" t="str">
        <x:v>否</x:v>
      </x:c>
      <x:c r="H33" s="38" t="str">
        <x:v>BY-SCN-P0-006、BY-SCN-P1-013、BY-CRO-P1-001/002/003、BY-SYM-P0-003</x:v>
      </x:c>
      <x:c r="I33" s="38" t="str">
        <x:v>镜006、011、015、026、034、040、045、052、091、094、103、117</x:v>
      </x:c>
      <x:c r="J33" s="38" t="str">
        <x:v>用户复核席位职责矩阵后才能锁定相关人物群组与屏幕</x:v>
      </x:c>
      <x:c r="K33" s="38" t="str">
        <x:v>用户指示；V1.3.2逐镜表</x:v>
      </x:c>
    </x:row>
    <x:row r="34">
      <x:c r="A34" s="38" t="str">
        <x:v>BY-LGT-P1-003-飞控大厅任务光</x:v>
      </x:c>
      <x:c r="B34" s="38" t="str">
        <x:v>LGT</x:v>
      </x:c>
      <x:c r="C34" s="38" t="str">
        <x:v>飞控大厅任务光</x:v>
      </x:c>
      <x:c r="D34" s="38" t="str">
        <x:v>P1</x:v>
      </x:c>
      <x:c r="E34" s="38" t="str">
        <x:v>灯光控制卡＋逐镜Prompt</x:v>
      </x:c>
      <x:c r="F34" s="38" t="str">
        <x:v>光线必须可追溯到真实来源；只作母图与逐镜光影校准，不扩展为独立画面资产。</x:v>
      </x:c>
      <x:c r="G34" s="41" t="str">
        <x:v>否</x:v>
      </x:c>
      <x:c r="H34" s="38" t="str">
        <x:v>做进场景母图</x:v>
      </x:c>
      <x:c r="I34" s="38" t="str">
        <x:v>场2,4,5,6,8,10,11,12,14,15,16；镜006,012,022,028,031,035,041,053,072,077,083,088,097,104,107,113</x:v>
      </x:c>
      <x:c r="J34" s="38" t="str">
        <x:v>不按单张资产生产；作为母资产继承规则与逐镜验收条件</x:v>
      </x:c>
      <x:c r="K34" s="38" t="str">
        <x:v>剧本明确;创作者建议</x:v>
      </x:c>
    </x:row>
    <x:row r="35">
      <x:c r="A35" s="38" t="str">
        <x:v>BY-LGT-P1-004-环月轨道太阳光</x:v>
      </x:c>
      <x:c r="B35" s="38" t="str">
        <x:v>LGT</x:v>
      </x:c>
      <x:c r="C35" s="38" t="str">
        <x:v>环月轨道太阳光</x:v>
      </x:c>
      <x:c r="D35" s="38" t="str">
        <x:v>P1</x:v>
      </x:c>
      <x:c r="E35" s="38" t="str">
        <x:v>灯光控制卡＋逐镜Prompt</x:v>
      </x:c>
      <x:c r="F35" s="38" t="str">
        <x:v>光线必须可追溯到真实来源；只作母图与逐镜光影校准，不扩展为独立画面资产。</x:v>
      </x:c>
      <x:c r="G35" s="41" t="str">
        <x:v>否</x:v>
      </x:c>
      <x:c r="H35" s="38" t="str">
        <x:v>做进轨道环境母图</x:v>
      </x:c>
      <x:c r="I35" s="38" t="str">
        <x:v>场1,2,4,11,12,13,14；镜002,008,010,011,020,021,024,025,078,084,085,087,093,095,096,098</x:v>
      </x:c>
      <x:c r="J35" s="38" t="str">
        <x:v>不按单张资产生产；作为母资产继承规则与逐镜验收条件</x:v>
      </x:c>
      <x:c r="K35" s="38" t="str">
        <x:v>科学约束</x:v>
      </x:c>
    </x:row>
    <x:row r="36">
      <x:c r="A36" s="38" t="str">
        <x:v>BY-LGT-P1-005-揽月开舱门月面反射</x:v>
      </x:c>
      <x:c r="B36" s="38" t="str">
        <x:v>LGT</x:v>
      </x:c>
      <x:c r="C36" s="38" t="str">
        <x:v>揽月开舱门月面反射</x:v>
      </x:c>
      <x:c r="D36" s="38" t="str">
        <x:v>P1</x:v>
      </x:c>
      <x:c r="E36" s="38" t="str">
        <x:v>灯光控制卡＋逐镜Prompt</x:v>
      </x:c>
      <x:c r="F36" s="38" t="str">
        <x:v>光线必须可追溯到真实来源；只作母图与逐镜光影校准，不扩展为独立画面资产。</x:v>
      </x:c>
      <x:c r="G36" s="41" t="str">
        <x:v>否</x:v>
      </x:c>
      <x:c r="H36" s="38" t="str">
        <x:v>独立光影状态测试</x:v>
      </x:c>
      <x:c r="I36" s="38" t="str">
        <x:v>场7；镜047,048</x:v>
      </x:c>
      <x:c r="J36" s="38" t="str">
        <x:v>不按单张资产生产；作为母资产继承规则与逐镜验收条件</x:v>
      </x:c>
      <x:c r="K36" s="38" t="str">
        <x:v>剧本明确;科学约束</x:v>
      </x:c>
    </x:row>
    <x:row r="37">
      <x:c r="A37" s="38" t="str">
        <x:v>BY-VFX-P1-002-环月轨道交会与对接</x:v>
      </x:c>
      <x:c r="B37" s="38" t="str">
        <x:v>VFX</x:v>
      </x:c>
      <x:c r="C37" s="38" t="str">
        <x:v>环月轨道交会与对接</x:v>
      </x:c>
      <x:c r="D37" s="38" t="str">
        <x:v>P1</x:v>
      </x:c>
      <x:c r="E37" s="38" t="str">
        <x:v>逐镜视频Prompt控制</x:v>
      </x:c>
      <x:c r="F37" s="38" t="str">
        <x:v>低相对速度、真实惯性与姿态控制；禁止高速掠过式科幻飞行。</x:v>
      </x:c>
      <x:c r="G37" s="41" t="str">
        <x:v>否</x:v>
      </x:c>
      <x:c r="H37" s="38" t="str">
        <x:v>轨道动作模板</x:v>
      </x:c>
      <x:c r="I37" s="38" t="str">
        <x:v>场1,2,12；镜005,008,010,011,084,085,087</x:v>
      </x:c>
      <x:c r="J37" s="38" t="str">
        <x:v>写入镜头级物理约束、运动路径与禁项；不制作独立静态资产</x:v>
      </x:c>
      <x:c r="K37" s="38" t="str">
        <x:v>剧本明确;科学约束</x:v>
      </x:c>
    </x:row>
    <x:row r="38">
      <x:c r="A38" s="38" t="str">
        <x:v>BY-VFX-P1-003-月地转移点火与月球远离</x:v>
      </x:c>
      <x:c r="B38" s="38" t="str">
        <x:v>VFX</x:v>
      </x:c>
      <x:c r="C38" s="38" t="str">
        <x:v>月地转移点火与月球远离</x:v>
      </x:c>
      <x:c r="D38" s="38" t="str">
        <x:v>P1</x:v>
      </x:c>
      <x:c r="E38" s="38" t="str">
        <x:v>逐镜视频Prompt控制</x:v>
      </x:c>
      <x:c r="F38" s="38" t="str">
        <x:v>轨道运动与月球视直径变化连续；不得用随意缩放替代真实远离。</x:v>
      </x:c>
      <x:c r="G38" s="41" t="str">
        <x:v>否</x:v>
      </x:c>
      <x:c r="H38" s="38" t="str">
        <x:v>结尾视觉重建模板</x:v>
      </x:c>
      <x:c r="I38" s="38" t="str">
        <x:v>场14；镜096,098</x:v>
      </x:c>
      <x:c r="J38" s="38" t="str">
        <x:v>写入镜头级物理约束、运动路径与禁项；不制作独立静态资产</x:v>
      </x:c>
      <x:c r="K38" s="38" t="str">
        <x:v>剧本明确;科学约束</x:v>
      </x:c>
    </x:row>
    <x:row r="39">
      <x:c r="A39" s="38" t="str">
        <x:v>BY-SND-P1-001-舱门对接机构结构传导</x:v>
      </x:c>
      <x:c r="B39" s="38" t="str">
        <x:v>SND</x:v>
      </x:c>
      <x:c r="C39" s="38" t="str">
        <x:v>舱门对接机构结构传导</x:v>
      </x:c>
      <x:c r="D39" s="38" t="str">
        <x:v>P1</x:v>
      </x:c>
      <x:c r="E39" s="38" t="str">
        <x:v>随视频同步生成／逐镜声音Prompt</x:v>
      </x:c>
      <x:c r="F39" s="38" t="str">
        <x:v>按机位所属真实空间同步生成，保持来源可追；不做独立音效库，不加配乐。</x:v>
      </x:c>
      <x:c r="G39" s="41" t="str">
        <x:v>否</x:v>
      </x:c>
      <x:c r="H39" s="38" t="str">
        <x:v>正式镜头Prompt声音约束</x:v>
      </x:c>
      <x:c r="I39" s="38" t="str">
        <x:v>场1,2,3,4,7,10,12,13,16；镜005,008,010,011,013,014,016,018,019,020,046,047,048,070,087,089,092,111,112</x:v>
      </x:c>
      <x:c r="J39" s="38" t="str">
        <x:v>对白、无线电、设备声、任务通信随视频同步；全片无配乐；月面外部无空气传播声</x:v>
      </x:c>
      <x:c r="K39" s="38" t="str">
        <x:v>剧本明确;科学约束</x:v>
      </x:c>
    </x:row>
    <x:row r="40">
      <x:c r="A40" s="38" t="str">
        <x:v>BY-SND-P1-002-登月服内部呼吸与结构声</x:v>
      </x:c>
      <x:c r="B40" s="38" t="str">
        <x:v>SND</x:v>
      </x:c>
      <x:c r="C40" s="38" t="str">
        <x:v>登月服内部呼吸与结构声</x:v>
      </x:c>
      <x:c r="D40" s="38" t="str">
        <x:v>P1</x:v>
      </x:c>
      <x:c r="E40" s="38" t="str">
        <x:v>随视频同步生成／逐镜声音Prompt</x:v>
      </x:c>
      <x:c r="F40" s="38" t="str">
        <x:v>只允许舱内／头盔内／结构传导与无线电声；月面外部无空气传播声；无配乐。</x:v>
      </x:c>
      <x:c r="G40" s="41" t="str">
        <x:v>否</x:v>
      </x:c>
      <x:c r="H40" s="38" t="str">
        <x:v>正式镜头Prompt声音约束</x:v>
      </x:c>
      <x:c r="I40" s="38" t="str">
        <x:v>场7,8,9,10,11；镜044,046,047,048,049,050,051,052,054,057,058,059,060,061,062,064,066,067,068,069,070,071,073,074,075,076,078</x:v>
      </x:c>
      <x:c r="J40" s="38" t="str">
        <x:v>对白、无线电、设备声、任务通信随视频同步；全片无配乐；月面外部无空气传播声</x:v>
      </x:c>
      <x:c r="K40" s="38" t="str">
        <x:v>项目锁定;科学约束</x:v>
      </x:c>
    </x:row>
    <x:row r="41">
      <x:c r="A41" s="38" t="str">
        <x:v>BY-SND-P1-003-发动机舱内结构振动</x:v>
      </x:c>
      <x:c r="B41" s="38" t="str">
        <x:v>SND</x:v>
      </x:c>
      <x:c r="C41" s="38" t="str">
        <x:v>发动机舱内结构振动</x:v>
      </x:c>
      <x:c r="D41" s="38" t="str">
        <x:v>P1</x:v>
      </x:c>
      <x:c r="E41" s="38" t="str">
        <x:v>随视频同步生成／逐镜声音Prompt</x:v>
      </x:c>
      <x:c r="F41" s="38" t="str">
        <x:v>按机位所属真实空间同步生成，保持来源可追；不做独立音效库，不加配乐。</x:v>
      </x:c>
      <x:c r="G41" s="41" t="str">
        <x:v>否</x:v>
      </x:c>
      <x:c r="H41" s="38" t="str">
        <x:v>正式镜头Prompt声音约束</x:v>
      </x:c>
      <x:c r="I41" s="38" t="str">
        <x:v>场4,5,14,15；镜024,038,098,103</x:v>
      </x:c>
      <x:c r="J41" s="38" t="str">
        <x:v>对白、无线电、设备声、任务通信随视频同步；全片无配乐；月面外部无空气传播声</x:v>
      </x:c>
      <x:c r="K41" s="38" t="str">
        <x:v>剧本明确;科学约束</x:v>
      </x:c>
    </x:row>
    <x:row r="42">
      <x:c r="A42" s="38" t="str">
        <x:v>BY-REL-P1-001-月面空间总图</x:v>
      </x:c>
      <x:c r="B42" s="38" t="str">
        <x:v>REL</x:v>
      </x:c>
      <x:c r="C42" s="38" t="str">
        <x:v>月面空间总图</x:v>
      </x:c>
      <x:c r="D42" s="38" t="str">
        <x:v>P1</x:v>
      </x:c>
      <x:c r="E42" s="38" t="str">
        <x:v>连续性／动作链Prompt控制</x:v>
      </x:c>
      <x:c r="F42" s="38" t="str">
        <x:v>作为跨资产／跨镜头关系约束保留，不单独生图；在每镜验收时检查继承。</x:v>
      </x:c>
      <x:c r="G42" s="41" t="str">
        <x:v>否</x:v>
      </x:c>
      <x:c r="H42" s="38" t="str">
        <x:v>空间设计卡</x:v>
      </x:c>
      <x:c r="I42" s="38" t="str">
        <x:v>04-10</x:v>
      </x:c>
      <x:c r="J42" s="38" t="str">
        <x:v>不按单张资产生产；作为母资产继承规则与逐镜验收条件</x:v>
      </x:c>
      <x:c r="K42" s="38" t="str">
        <x:v>剧本明确;创作者建议</x:v>
      </x:c>
    </x:row>
    <x:row r="43">
      <x:c r="A43" s="38" t="str">
        <x:v>BY-REL-P1-002-两侧舱门顺序</x:v>
      </x:c>
      <x:c r="B43" s="38" t="str">
        <x:v>REL</x:v>
      </x:c>
      <x:c r="C43" s="38" t="str">
        <x:v>两侧舱门顺序</x:v>
      </x:c>
      <x:c r="D43" s="38" t="str">
        <x:v>P1</x:v>
      </x:c>
      <x:c r="E43" s="38" t="str">
        <x:v>连续性／动作链Prompt控制</x:v>
      </x:c>
      <x:c r="F43" s="38" t="str">
        <x:v>作为跨资产／跨镜头关系约束保留，不单独生图；在每镜验收时检查继承。</x:v>
      </x:c>
      <x:c r="G43" s="41" t="str">
        <x:v>否</x:v>
      </x:c>
      <x:c r="H43" s="38" t="str">
        <x:v>跨资产关系记录</x:v>
      </x:c>
      <x:c r="I43" s="38" t="str">
        <x:v>03;12-13</x:v>
      </x:c>
      <x:c r="J43" s="38" t="str">
        <x:v>不按单张资产生产；作为母资产继承规则与逐镜验收条件</x:v>
      </x:c>
      <x:c r="K43" s="38" t="str">
        <x:v>剧本明确</x:v>
      </x:c>
    </x:row>
    <x:row r="44">
      <x:c r="A44" s="38" t="str">
        <x:v>BY-REL-P1-003-声音来源真实性</x:v>
      </x:c>
      <x:c r="B44" s="38" t="str">
        <x:v>REL</x:v>
      </x:c>
      <x:c r="C44" s="38" t="str">
        <x:v>声音来源真实性</x:v>
      </x:c>
      <x:c r="D44" s="38" t="str">
        <x:v>P1</x:v>
      </x:c>
      <x:c r="E44" s="38" t="str">
        <x:v>连续性／动作链Prompt控制</x:v>
      </x:c>
      <x:c r="F44" s="38" t="str">
        <x:v>作为跨资产／跨镜头关系约束保留，不单独生图；在每镜验收时检查继承。</x:v>
      </x:c>
      <x:c r="G44" s="41" t="str">
        <x:v>否</x:v>
      </x:c>
      <x:c r="H44" s="38" t="str">
        <x:v>正式镜头声音关系记录</x:v>
      </x:c>
      <x:c r="I44" s="38" t="str">
        <x:v>全片</x:v>
      </x:c>
      <x:c r="J44" s="38" t="str">
        <x:v>不按单张资产生产；作为母资产继承规则与逐镜验收条件</x:v>
      </x:c>
      <x:c r="K44" s="38" t="str">
        <x:v>项目锁定;科学约束</x:v>
      </x:c>
    </x:row>
    <x:row r="45">
      <x:c r="A45" s="38" t="str">
        <x:v>BY-LGT-P1-006-深空测控站任务光</x:v>
      </x:c>
      <x:c r="B45" s="38" t="str">
        <x:v>LGT</x:v>
      </x:c>
      <x:c r="C45" s="38" t="str">
        <x:v>深空测控站任务光</x:v>
      </x:c>
      <x:c r="D45" s="38" t="str">
        <x:v>P1</x:v>
      </x:c>
      <x:c r="E45" s="38" t="str">
        <x:v>灯光控制卡＋逐镜Prompt</x:v>
      </x:c>
      <x:c r="F45" s="38" t="str">
        <x:v>光线必须可追溯到真实来源；只作母图与逐镜光影校准，不扩展为独立画面资产。</x:v>
      </x:c>
      <x:c r="G45" s="41" t="str">
        <x:v>否</x:v>
      </x:c>
      <x:c r="H45" s="38" t="str">
        <x:v>随场景母图锁定</x:v>
      </x:c>
      <x:c r="I45" s="38" t="str">
        <x:v>场1,4,5,8,11,12；镜003,022,035,053,077,083</x:v>
      </x:c>
      <x:c r="J45" s="38" t="str">
        <x:v>不按单张资产生产；作为母资产继承规则与逐镜验收条件</x:v>
      </x:c>
      <x:c r="K45" s="38" t="str">
        <x:v>V1.2剧本明确＋项目锁定＋公开工程资料边界</x:v>
      </x:c>
    </x:row>
    <x:row r="46">
      <x:c r="A46" s="38" t="str">
        <x:v>BY-LGT-P1-007-搜救着陆区日间自然光</x:v>
      </x:c>
      <x:c r="B46" s="38" t="str">
        <x:v>LGT</x:v>
      </x:c>
      <x:c r="C46" s="38" t="str">
        <x:v>东风着陆场黎明—清晨自然光</x:v>
      </x:c>
      <x:c r="D46" s="38" t="str">
        <x:v>P1</x:v>
      </x:c>
      <x:c r="E46" s="38" t="str">
        <x:v>灯光控制卡＋逐镜Prompt</x:v>
      </x:c>
      <x:c r="F46" s="38" t="str">
        <x:v>光线必须可追溯到真实来源；只作母图与逐镜光影校准，不扩展为独立画面资产。</x:v>
      </x:c>
      <x:c r="G46" s="41" t="str">
        <x:v>否</x:v>
      </x:c>
      <x:c r="H46" s="38" t="str">
        <x:v>与搜救现场MASTER同步确认</x:v>
      </x:c>
      <x:c r="I46" s="38" t="str">
        <x:v>第13—15场</x:v>
      </x:c>
      <x:c r="J46" s="38" t="str">
        <x:v>不按单张资产生产；作为母资产继承规则与逐镜验收条件</x:v>
      </x:c>
      <x:c r="K46" s="38" t="str">
        <x:v>V1.2剧本明确＋项目锁定＋公开工程资料边界</x:v>
      </x:c>
    </x:row>
    <x:row r="47">
      <x:c r="A47" s="38" t="str">
        <x:v>BY-VFX-P1-004-姿控喷流</x:v>
      </x:c>
      <x:c r="B47" s="38" t="str">
        <x:v>VFX</x:v>
      </x:c>
      <x:c r="C47" s="38" t="str">
        <x:v>月轨姿态控制喷流</x:v>
      </x:c>
      <x:c r="D47" s="38" t="str">
        <x:v>P1</x:v>
      </x:c>
      <x:c r="E47" s="38" t="str">
        <x:v>逐镜视频Prompt控制</x:v>
      </x:c>
      <x:c r="F47" s="38" t="str">
        <x:v>短促、尺度克制的真空喷流；禁止大气火焰尾迹。</x:v>
      </x:c>
      <x:c r="G47" s="41" t="str">
        <x:v>否</x:v>
      </x:c>
      <x:c r="H47" s="38" t="str">
        <x:v>梦舟／揽月通用模板</x:v>
      </x:c>
      <x:c r="I47" s="38" t="str">
        <x:v>场2,4,12,13,15；镜008,025,084,093,102,103</x:v>
      </x:c>
      <x:c r="J47" s="38" t="str">
        <x:v>写入镜头级物理约束、运动路径与禁项；不制作独立静态资产</x:v>
      </x:c>
      <x:c r="K47" s="38" t="str">
        <x:v>V1.2剧本明确＋项目锁定＋公开工程资料边界</x:v>
      </x:c>
    </x:row>
    <x:row r="48">
      <x:c r="A48" s="38" t="str">
        <x:v>BY-VFX-P1-005-半弹道跳跃式再入轨迹</x:v>
      </x:c>
      <x:c r="B48" s="38" t="str">
        <x:v>VFX</x:v>
      </x:c>
      <x:c r="C48" s="38" t="str">
        <x:v>半弹道跳跃式再入轨迹</x:v>
      </x:c>
      <x:c r="D48" s="38" t="str">
        <x:v>P1</x:v>
      </x:c>
      <x:c r="E48" s="38" t="str">
        <x:v>逐镜视频Prompt控制</x:v>
      </x:c>
      <x:c r="F48" s="38" t="str">
        <x:v>作为轨迹图与任务解释呈现；禁止把‘跳跃式’画成飞船在大气层表面弹跳。</x:v>
      </x:c>
      <x:c r="G48" s="41" t="str">
        <x:v>否</x:v>
      </x:c>
      <x:c r="H48" s="38" t="str">
        <x:v>后期轨迹模板</x:v>
      </x:c>
      <x:c r="I48" s="38" t="str">
        <x:v>场15；镜104,105,106</x:v>
      </x:c>
      <x:c r="J48" s="38" t="str">
        <x:v>写入镜头级物理约束、运动路径与禁项；不制作独立静态资产</x:v>
      </x:c>
      <x:c r="K48" s="38" t="str">
        <x:v>V1.2剧本明确＋项目锁定＋公开工程资料边界</x:v>
      </x:c>
    </x:row>
    <x:row r="49">
      <x:c r="A49" s="38" t="str">
        <x:v>BY-VFX-P1-006-揽月受控处置轨迹</x:v>
      </x:c>
      <x:c r="B49" s="38" t="str">
        <x:v>VFX</x:v>
      </x:c>
      <x:c r="C49" s="38" t="str">
        <x:v>揽月受控处置轨迹</x:v>
      </x:c>
      <x:c r="D49" s="38" t="str">
        <x:v>P1</x:v>
      </x:c>
      <x:c r="E49" s="38" t="str">
        <x:v>逐镜视频Prompt控制</x:v>
      </x:c>
      <x:c r="F49" s="38" t="str">
        <x:v>仅作任务推演轨迹；标注非官方方案，不虚构已公开的精确处置参数。</x:v>
      </x:c>
      <x:c r="G49" s="41" t="str">
        <x:v>否</x:v>
      </x:c>
      <x:c r="H49" s="38" t="str">
        <x:v>与揽月处置状态联合制作</x:v>
      </x:c>
      <x:c r="I49" s="38" t="str">
        <x:v>场13；镜093,095</x:v>
      </x:c>
      <x:c r="J49" s="38" t="str">
        <x:v>写入镜头级物理约束、运动路径与禁项；不制作独立静态资产</x:v>
      </x:c>
      <x:c r="K49" s="38" t="str">
        <x:v>V1.2剧本明确＋项目锁定＋公开工程资料边界</x:v>
      </x:c>
    </x:row>
    <x:row r="50">
      <x:c r="A50" s="38" t="str">
        <x:v>BY-VFX-P1-007-月球车轮迹与低重力扬尘</x:v>
      </x:c>
      <x:c r="B50" s="38" t="str">
        <x:v>VFX</x:v>
      </x:c>
      <x:c r="C50" s="38" t="str">
        <x:v>月球车轮迹与低重力扬尘</x:v>
      </x:c>
      <x:c r="D50" s="38" t="str">
        <x:v>P1</x:v>
      </x:c>
      <x:c r="E50" s="38" t="str">
        <x:v>逐镜视频Prompt控制</x:v>
      </x:c>
      <x:c r="F50" s="38" t="str">
        <x:v>轮迹深浅与载荷一致；扬尘为低重力弹道颗粒，无风向尾流。</x:v>
      </x:c>
      <x:c r="G50" s="41" t="str">
        <x:v>否</x:v>
      </x:c>
      <x:c r="H50" s="38" t="str">
        <x:v>月面物理测试</x:v>
      </x:c>
      <x:c r="I50" s="38" t="str">
        <x:v>场9；镜058,059,066,067</x:v>
      </x:c>
      <x:c r="J50" s="38" t="str">
        <x:v>写入镜头级物理约束、运动路径与禁项；不制作独立静态资产</x:v>
      </x:c>
      <x:c r="K50" s="38" t="str">
        <x:v>V1.2剧本明确＋项目锁定＋公开工程资料边界</x:v>
      </x:c>
    </x:row>
    <x:row r="51">
      <x:c r="A51" s="38" t="str">
        <x:v>BY-SND-P1-004-再入结构与通信衰减</x:v>
      </x:c>
      <x:c r="B51" s="38" t="str">
        <x:v>SND</x:v>
      </x:c>
      <x:c r="C51" s="38" t="str">
        <x:v>再入舱内结构与通信衰减</x:v>
      </x:c>
      <x:c r="D51" s="38" t="str">
        <x:v>P1</x:v>
      </x:c>
      <x:c r="E51" s="38" t="str">
        <x:v>随视频同步生成／逐镜声音Prompt</x:v>
      </x:c>
      <x:c r="F51" s="38" t="str">
        <x:v>舱内结构传导、告警与通信衰减；黑障期无线电消失；不加外部真空声。</x:v>
      </x:c>
      <x:c r="G51" s="41" t="str">
        <x:v>否</x:v>
      </x:c>
      <x:c r="H51" s="38" t="str">
        <x:v>随镜头视频同步生成</x:v>
      </x:c>
      <x:c r="I51" s="38" t="str">
        <x:v>场15；镜102,103,104,105,106,108</x:v>
      </x:c>
      <x:c r="J51" s="38" t="str">
        <x:v>对白、无线电、设备声、任务通信随视频同步；全片无配乐；月面外部无空气传播声</x:v>
      </x:c>
      <x:c r="K51" s="38" t="str">
        <x:v>V1.2剧本明确＋项目锁定＋公开工程资料边界</x:v>
      </x:c>
    </x:row>
    <x:row r="52">
      <x:c r="A52" s="38" t="str">
        <x:v>BY-SND-P1-005-降落伞与着陆冲击</x:v>
      </x:c>
      <x:c r="B52" s="38" t="str">
        <x:v>SND</x:v>
      </x:c>
      <x:c r="C52" s="38" t="str">
        <x:v>降落伞气动与着陆冲击</x:v>
      </x:c>
      <x:c r="D52" s="38" t="str">
        <x:v>P1</x:v>
      </x:c>
      <x:c r="E52" s="38" t="str">
        <x:v>随视频同步生成／逐镜声音Prompt</x:v>
      </x:c>
      <x:c r="F52" s="38" t="str">
        <x:v>按机位所属真实空间同步生成，保持来源可追；不做独立音效库，不加配乐。</x:v>
      </x:c>
      <x:c r="G52" s="41" t="str">
        <x:v>否</x:v>
      </x:c>
      <x:c r="H52" s="38" t="str">
        <x:v>随镜头视频同步生成</x:v>
      </x:c>
      <x:c r="I52" s="38" t="str">
        <x:v>场15；镜108,109</x:v>
      </x:c>
      <x:c r="J52" s="38" t="str">
        <x:v>对白、无线电、设备声、任务通信随视频同步；全片无配乐；月面外部无空气传播声</x:v>
      </x:c>
      <x:c r="K52" s="38" t="str">
        <x:v>V1.2剧本明确＋项目锁定＋公开工程资料边界</x:v>
      </x:c>
    </x:row>
    <x:row r="53">
      <x:c r="A53" s="38" t="str">
        <x:v>BY-SND-P1-006-搜救现场声</x:v>
      </x:c>
      <x:c r="B53" s="38" t="str">
        <x:v>SND</x:v>
      </x:c>
      <x:c r="C53" s="38" t="str">
        <x:v>搜救现场风声、车辆设备与远距通信</x:v>
      </x:c>
      <x:c r="D53" s="38" t="str">
        <x:v>P1</x:v>
      </x:c>
      <x:c r="E53" s="38" t="str">
        <x:v>随视频同步生成／逐镜声音Prompt</x:v>
      </x:c>
      <x:c r="F53" s="38" t="str">
        <x:v>按机位所属真实空间同步生成，保持来源可追；不做独立音效库，不加配乐。</x:v>
      </x:c>
      <x:c r="G53" s="41" t="str">
        <x:v>否</x:v>
      </x:c>
      <x:c r="H53" s="38" t="str">
        <x:v>随镜头视频同步生成</x:v>
      </x:c>
      <x:c r="I53" s="38" t="str">
        <x:v>场16；镜110,111,112,113,114</x:v>
      </x:c>
      <x:c r="J53" s="38" t="str">
        <x:v>对白、无线电、设备声、任务通信随视频同步；全片无配乐；月面外部无空气传播声</x:v>
      </x:c>
      <x:c r="K53" s="38" t="str">
        <x:v>V1.2剧本明确＋项目锁定＋公开工程资料边界</x:v>
      </x:c>
    </x:row>
    <x:row r="54">
      <x:c r="A54" s="38" t="str">
        <x:v>BY-SND-P1-007-月球车设备链路结构声</x:v>
      </x:c>
      <x:c r="B54" s="38" t="str">
        <x:v>SND</x:v>
      </x:c>
      <x:c r="C54" s="38" t="str">
        <x:v>月球车设备链路结构声</x:v>
      </x:c>
      <x:c r="D54" s="38" t="str">
        <x:v>P1</x:v>
      </x:c>
      <x:c r="E54" s="38" t="str">
        <x:v>随视频同步生成／逐镜声音Prompt</x:v>
      </x:c>
      <x:c r="F54" s="38" t="str">
        <x:v>只允许舱内／头盔内／结构传导与无线电声；月面外部无空气传播声；无配乐。</x:v>
      </x:c>
      <x:c r="G54" s="41" t="str">
        <x:v>否</x:v>
      </x:c>
      <x:c r="H54" s="38" t="str">
        <x:v>随镜头视频同步生成</x:v>
      </x:c>
      <x:c r="I54" s="38" t="str">
        <x:v>场9；镜058,059,066,067</x:v>
      </x:c>
      <x:c r="J54" s="38" t="str">
        <x:v>对白、无线电、设备声、任务通信随视频同步；全片无配乐；月面外部无空气传播声</x:v>
      </x:c>
      <x:c r="K54" s="38" t="str">
        <x:v>V1.2剧本明确＋项目锁定＋公开工程资料边界</x:v>
      </x:c>
    </x:row>
    <x:row r="55">
      <x:c r="A55" s="38" t="str">
        <x:v>BY-SND-P1-008-飞控与测控大厅底噪</x:v>
      </x:c>
      <x:c r="B55" s="38" t="str">
        <x:v>SND</x:v>
      </x:c>
      <x:c r="C55" s="38" t="str">
        <x:v>飞控与测控大厅设备底噪</x:v>
      </x:c>
      <x:c r="D55" s="38" t="str">
        <x:v>P1</x:v>
      </x:c>
      <x:c r="E55" s="38" t="str">
        <x:v>随视频同步生成／逐镜声音Prompt</x:v>
      </x:c>
      <x:c r="F55" s="38" t="str">
        <x:v>按机位所属真实空间同步生成，保持来源可追；不做独立音效库，不加配乐。</x:v>
      </x:c>
      <x:c r="G55" s="41" t="str">
        <x:v>否</x:v>
      </x:c>
      <x:c r="H55" s="38" t="str">
        <x:v>随镜头视频同步生成</x:v>
      </x:c>
      <x:c r="I55" s="38" t="str">
        <x:v>场2,4,5,6,8,10,11,12,14,15,16；镜006,012,022,028,031,035,041,053,072,077,083,088,097,104,107,113</x:v>
      </x:c>
      <x:c r="J55" s="38" t="str">
        <x:v>对白、无线电、设备声、任务通信随视频同步；全片无配乐；月面外部无空气传播声</x:v>
      </x:c>
      <x:c r="K55" s="38" t="str">
        <x:v>V1.2剧本明确＋项目锁定＋公开工程资料边界</x:v>
      </x:c>
    </x:row>
    <x:row r="56">
      <x:c r="A56" s="38" t="str">
        <x:v>BY-REL-P1-004-地面测控接力链</x:v>
      </x:c>
      <x:c r="B56" s="38" t="str">
        <x:v>REL</x:v>
      </x:c>
      <x:c r="C56" s="38" t="str">
        <x:v>北京—佳木斯—喀什—VLBI测控接力链</x:v>
      </x:c>
      <x:c r="D56" s="38" t="str">
        <x:v>P1</x:v>
      </x:c>
      <x:c r="E56" s="38" t="str">
        <x:v>连续性／动作链Prompt控制</x:v>
      </x:c>
      <x:c r="F56" s="38" t="str">
        <x:v>重做为RF／光通信双链路：RF承载测控、语音、关键指令与安全备份；光链承载高清影像、科学数据和大文件；两者设施与界面不得混画。</x:v>
      </x:c>
      <x:c r="G56" s="41" t="str">
        <x:v>否</x:v>
      </x:c>
      <x:c r="H56" s="38" t="str">
        <x:v>地面场景、声音和镜头装配约束</x:v>
      </x:c>
      <x:c r="I56" s="38" t="str"/>
      <x:c r="J56" s="38" t="str">
        <x:v>不按单张资产生产；作为母资产继承规则与逐镜验收条件</x:v>
      </x:c>
      <x:c r="K56" s="38" t="str">
        <x:v>V1.2剧本明确＋项目锁定＋公开工程资料边界</x:v>
      </x:c>
    </x:row>
    <x:row r="57">
      <x:c r="A57" s="38" t="str">
        <x:v>BY-REL-P1-005-小天AI权限边界</x:v>
      </x:c>
      <x:c r="B57" s="38" t="str">
        <x:v>REL</x:v>
      </x:c>
      <x:c r="C57" s="38" t="str">
        <x:v>小天AI权限边界</x:v>
      </x:c>
      <x:c r="D57" s="38" t="str">
        <x:v>P1</x:v>
      </x:c>
      <x:c r="E57" s="38" t="str">
        <x:v>连续性／动作链Prompt控制</x:v>
      </x:c>
      <x:c r="F57" s="38" t="str">
        <x:v>作为跨资产／跨镜头关系约束保留，不单独生图；在每镜验收时检查继承。</x:v>
      </x:c>
      <x:c r="G57" s="41" t="str">
        <x:v>否</x:v>
      </x:c>
      <x:c r="H57" s="38" t="str">
        <x:v>所有出现小天的镜头硬约束</x:v>
      </x:c>
      <x:c r="I57" s="38" t="str"/>
      <x:c r="J57" s="38" t="str">
        <x:v>不按单张资产生产；作为母资产继承规则与逐镜验收条件</x:v>
      </x:c>
      <x:c r="K57" s="38" t="str">
        <x:v>V1.2剧本明确＋项目锁定＋公开工程资料边界</x:v>
      </x:c>
    </x:row>
    <x:row r="58">
      <x:c r="A58" s="38" t="str">
        <x:v>BY-REL-P1-006-月面科学路线与样品链</x:v>
      </x:c>
      <x:c r="B58" s="38" t="str">
        <x:v>REL</x:v>
      </x:c>
      <x:c r="C58" s="38" t="str">
        <x:v>月面科学路线与样品编号链</x:v>
      </x:c>
      <x:c r="D58" s="38" t="str">
        <x:v>P1</x:v>
      </x:c>
      <x:c r="E58" s="38" t="str">
        <x:v>连续性／动作链Prompt控制</x:v>
      </x:c>
      <x:c r="F58" s="38" t="str">
        <x:v>作为跨资产／跨镜头关系约束保留，不单独生图；在每镜验收时检查继承。</x:v>
      </x:c>
      <x:c r="G58" s="41" t="str">
        <x:v>否</x:v>
      </x:c>
      <x:c r="H58" s="38" t="str">
        <x:v>月面科学任务装配约束</x:v>
      </x:c>
      <x:c r="I58" s="38" t="str"/>
      <x:c r="J58" s="38" t="str">
        <x:v>不按单张资产生产；作为母资产继承规则与逐镜验收条件</x:v>
      </x:c>
      <x:c r="K58" s="38" t="str">
        <x:v>V1.2剧本明确＋项目锁定＋公开工程资料边界</x:v>
      </x:c>
    </x:row>
    <x:row r="59">
      <x:c r="A59" s="38" t="str">
        <x:v>BY-LGT-P1-008-飞控媒体区直播光</x:v>
      </x:c>
      <x:c r="B59" s="38" t="str">
        <x:v>LGT</x:v>
      </x:c>
      <x:c r="C59" s="38" t="str">
        <x:v>飞控媒体区直播任务光</x:v>
      </x:c>
      <x:c r="D59" s="38" t="str">
        <x:v>P1</x:v>
      </x:c>
      <x:c r="E59" s="38" t="str">
        <x:v>灯光控制卡＋逐镜Prompt</x:v>
      </x:c>
      <x:c r="F59" s="38" t="str">
        <x:v>光线必须可追溯到真实来源；只作母图与逐镜光影校准，不扩展为独立画面资产。</x:v>
      </x:c>
      <x:c r="G59" s="41" t="str">
        <x:v>否</x:v>
      </x:c>
      <x:c r="H59" s="38" t="str">
        <x:v>建立统一灯位，不随每次生成漂移</x:v>
      </x:c>
      <x:c r="I59" s="38" t="str">
        <x:v>第1、3、5—9、12—13、15场</x:v>
      </x:c>
      <x:c r="J59" s="38" t="str">
        <x:v>不按单张资产生产；作为母资产继承规则与逐镜验收条件</x:v>
      </x:c>
      <x:c r="K59" s="38" t="str">
        <x:v>V1.3.1正式分镜稿＋公开资料边界内艺术推演</x:v>
      </x:c>
    </x:row>
    <x:row r="60">
      <x:c r="A60" s="38" t="str">
        <x:v>BY-VFX-P1-008-遥测视觉重建合成</x:v>
      </x:c>
      <x:c r="B60" s="38" t="str">
        <x:v>VFX</x:v>
      </x:c>
      <x:c r="C60" s="38" t="str">
        <x:v>基于实时遥测的视觉重建合成</x:v>
      </x:c>
      <x:c r="D60" s="38" t="str">
        <x:v>P1</x:v>
      </x:c>
      <x:c r="E60" s="38" t="str">
        <x:v>逐镜视频Prompt控制</x:v>
      </x:c>
      <x:c r="F60" s="38" t="str">
        <x:v>必须叠加‘基于实时遥测的视觉重建’；不得伪装成外部实拍机位。</x:v>
      </x:c>
      <x:c r="G60" s="41" t="str">
        <x:v>否</x:v>
      </x:c>
      <x:c r="H60" s="38" t="str">
        <x:v>不得替代接触、触月、出舱、再对接等任务证据镜头</x:v>
      </x:c>
      <x:c r="I60" s="38" t="str">
        <x:v>第1—2、4—7、11—14场</x:v>
      </x:c>
      <x:c r="J60" s="38" t="str">
        <x:v>写入镜头级物理约束、运动路径与禁项；不制作独立静态资产</x:v>
      </x:c>
      <x:c r="K60" s="38" t="str">
        <x:v>V1.3.1正式分镜稿＋公开资料边界内艺术推演</x:v>
      </x:c>
    </x:row>
    <x:row r="61">
      <x:c r="A61" s="38" t="str">
        <x:v>BY-SND-P1-009-媒体区直播现场声</x:v>
      </x:c>
      <x:c r="B61" s="38" t="str">
        <x:v>SND</x:v>
      </x:c>
      <x:c r="C61" s="38" t="str">
        <x:v>飞控媒体区直播现场声</x:v>
      </x:c>
      <x:c r="D61" s="38" t="str">
        <x:v>P1</x:v>
      </x:c>
      <x:c r="E61" s="38" t="str">
        <x:v>随视频同步生成／逐镜声音Prompt</x:v>
      </x:c>
      <x:c r="F61" s="38" t="str">
        <x:v>按机位所属真实空间同步生成，保持来源可追；不做独立音效库，不加配乐。</x:v>
      </x:c>
      <x:c r="G61" s="41" t="str">
        <x:v>否</x:v>
      </x:c>
      <x:c r="H61" s="38" t="str">
        <x:v>无配乐、无新闻提示音</x:v>
      </x:c>
      <x:c r="I61" s="38" t="str">
        <x:v>三段直播</x:v>
      </x:c>
      <x:c r="J61" s="38" t="str">
        <x:v>对白、无线电、设备声、任务通信随视频同步；全片无配乐；月面外部无空气传播声</x:v>
      </x:c>
      <x:c r="K61" s="38" t="str">
        <x:v>V1.3.1正式分镜稿＋公开资料边界内艺术推演</x:v>
      </x:c>
    </x:row>
    <x:row r="62">
      <x:c r="A62" s="38" t="str">
        <x:v>BY-REL-P1-007-摄影来源证据层级</x:v>
      </x:c>
      <x:c r="B62" s="38" t="str">
        <x:v>REL</x:v>
      </x:c>
      <x:c r="C62" s="38" t="str">
        <x:v>任务相机、地面直播、遥测重建与图卡证据层级</x:v>
      </x:c>
      <x:c r="D62" s="38" t="str">
        <x:v>P1</x:v>
      </x:c>
      <x:c r="E62" s="38" t="str">
        <x:v>连续性／动作链Prompt控制</x:v>
      </x:c>
      <x:c r="F62" s="38" t="str">
        <x:v>作为跨资产／跨镜头关系约束保留，不单独生图；在每镜验收时检查继承。</x:v>
      </x:c>
      <x:c r="G62" s="41" t="str">
        <x:v>否</x:v>
      </x:c>
      <x:c r="H62" s="38" t="str">
        <x:v>写入每镜摄影来源等级</x:v>
      </x:c>
      <x:c r="I62" s="38" t="str">
        <x:v>全片</x:v>
      </x:c>
      <x:c r="J62" s="38" t="str">
        <x:v>不按单张资产生产；作为母资产继承规则与逐镜验收条件</x:v>
      </x:c>
      <x:c r="K62" s="38" t="str">
        <x:v>V1.3.1正式分镜稿＋公开资料边界内艺术推演</x:v>
      </x:c>
    </x:row>
    <x:row r="63">
      <x:c r="A63" s="38" t="str">
        <x:v>BY-REL-P1-008-三段直播结构链</x:v>
      </x:c>
      <x:c r="B63" s="38" t="str">
        <x:v>REL</x:v>
      </x:c>
      <x:c r="C63" s="38" t="str">
        <x:v>三段直播进口、关键动作链、采访解释与出口</x:v>
      </x:c>
      <x:c r="D63" s="38" t="str">
        <x:v>P1</x:v>
      </x:c>
      <x:c r="E63" s="38" t="str">
        <x:v>连续性／动作链Prompt控制</x:v>
      </x:c>
      <x:c r="F63" s="38" t="str">
        <x:v>作为跨资产／跨镜头关系约束保留，不单独生图；在每镜验收时检查继承。</x:v>
      </x:c>
      <x:c r="G63" s="41" t="str">
        <x:v>否</x:v>
      </x:c>
      <x:c r="H63" s="38" t="str">
        <x:v>作为剪辑与声音节奏约束</x:v>
      </x:c>
      <x:c r="I63" s="38" t="str">
        <x:v>全片</x:v>
      </x:c>
      <x:c r="J63" s="38" t="str">
        <x:v>不按单张资产生产；作为母资产继承规则与逐镜验收条件</x:v>
      </x:c>
      <x:c r="K63" s="38" t="str">
        <x:v>V1.3.1正式分镜稿＋公开资料边界内艺术推演</x:v>
      </x:c>
    </x:row>
    <x:row r="64">
      <x:c r="A64" s="38" t="str">
        <x:v>BY-REL-P1-009-东风医监与样品双线</x:v>
      </x:c>
      <x:c r="B64" s="38" t="str">
        <x:v>REL</x:v>
      </x:c>
      <x:c r="C64" s="38" t="str">
        <x:v>东风人员医监转移与样品交接双线</x:v>
      </x:c>
      <x:c r="D64" s="38" t="str">
        <x:v>P1</x:v>
      </x:c>
      <x:c r="E64" s="38" t="str">
        <x:v>连续性／动作链Prompt控制</x:v>
      </x:c>
      <x:c r="F64" s="38" t="str">
        <x:v>作为跨资产／跨镜头关系约束保留，不单独生图；在每镜验收时检查继承。</x:v>
      </x:c>
      <x:c r="G64" s="41" t="str">
        <x:v>否</x:v>
      </x:c>
      <x:c r="H64" s="38" t="str">
        <x:v>镜117合流</x:v>
      </x:c>
      <x:c r="I64" s="38" t="str">
        <x:v>第15场</x:v>
      </x:c>
      <x:c r="J64" s="38" t="str">
        <x:v>不按单张资产生产；作为母资产继承规则与逐镜验收条件</x:v>
      </x:c>
      <x:c r="K64" s="38" t="str">
        <x:v>V1.3.1正式分镜稿＋公开资料边界内艺术推演</x:v>
      </x:c>
    </x:row>
    <x:row r="65">
      <x:c r="A65" s="38" t="str">
        <x:v>BY-REL-P1-010-地月视觉尺度连续性</x:v>
      </x:c>
      <x:c r="B65" s="38" t="str">
        <x:v>REL</x:v>
      </x:c>
      <x:c r="C65" s="38" t="str">
        <x:v>地球、月球与飞行器视觉尺度连续性</x:v>
      </x:c>
      <x:c r="D65" s="38" t="str">
        <x:v>P1</x:v>
      </x:c>
      <x:c r="E65" s="38" t="str">
        <x:v>连续性／动作链Prompt控制</x:v>
      </x:c>
      <x:c r="F65" s="38" t="str">
        <x:v>作为跨资产／跨镜头关系约束保留，不单独生图；在每镜验收时检查继承。</x:v>
      </x:c>
      <x:c r="G65" s="41" t="str">
        <x:v>否</x:v>
      </x:c>
      <x:c r="H65" s="38" t="str">
        <x:v>与每个视觉重建镜头的镜头尺度绑定</x:v>
      </x:c>
      <x:c r="I65" s="38" t="str">
        <x:v>深空与轨道镜头</x:v>
      </x:c>
      <x:c r="J65" s="38" t="str">
        <x:v>不按单张资产生产；作为母资产继承规则与逐镜验收条件</x:v>
      </x:c>
      <x:c r="K65" s="38" t="str">
        <x:v>V1.3.1正式分镜稿＋公开资料边界内艺术推演</x:v>
      </x:c>
    </x:row>
    <x:row r="66">
      <x:c r="A66" s="38" t="str">
        <x:v>BY-ANM-P1-001-月面科研时间压缩</x:v>
      </x:c>
      <x:c r="B66" s="38" t="str">
        <x:v>ANM</x:v>
      </x:c>
      <x:c r="C66" s="38" t="str">
        <x:v>月面科研与时间压缩动作链</x:v>
      </x:c>
      <x:c r="D66" s="38" t="str">
        <x:v>P1</x:v>
      </x:c>
      <x:c r="E66" s="38" t="str">
        <x:v>连续性／动作链Prompt控制</x:v>
      </x:c>
      <x:c r="F66" s="38" t="str">
        <x:v>动作链作为镜头连续性约束：明确起点、动作完成、状态门和结束状态；不制作脱离镜头的独立动画资产。</x:v>
      </x:c>
      <x:c r="G66" s="41" t="str">
        <x:v>否</x:v>
      </x:c>
      <x:c r="H66" s="38" t="str">
        <x:v>无外部空气传播声</x:v>
      </x:c>
      <x:c r="I66" s="38" t="str">
        <x:v>第9—10场</x:v>
      </x:c>
      <x:c r="J66" s="38" t="str">
        <x:v>不按单张资产生产；作为母资产继承规则与逐镜验收条件</x:v>
      </x:c>
      <x:c r="K66" s="38" t="str">
        <x:v>V1.3.1正式分镜稿＋公开资料边界内艺术推演</x:v>
      </x:c>
    </x:row>
    <x:row r="67">
      <x:c r="A67" s="38" t="str">
        <x:v>BY-ANM-P1-002-东风搜救开舱转移</x:v>
      </x:c>
      <x:c r="B67" s="38" t="str">
        <x:v>ANM</x:v>
      </x:c>
      <x:c r="C67" s="38" t="str">
        <x:v>东风搜救、安全处置、开舱与人员转移动作链</x:v>
      </x:c>
      <x:c r="D67" s="38" t="str">
        <x:v>P1</x:v>
      </x:c>
      <x:c r="E67" s="38" t="str">
        <x:v>连续性／动作链Prompt控制</x:v>
      </x:c>
      <x:c r="F67" s="38" t="str">
        <x:v>动作链作为镜头连续性约束：明确起点、动作完成、状态门和结束状态；不制作脱离镜头的独立动画资产。</x:v>
      </x:c>
      <x:c r="G67" s="41" t="str">
        <x:v>否</x:v>
      </x:c>
      <x:c r="H67" s="38" t="str">
        <x:v>保持专业工作节奏</x:v>
      </x:c>
      <x:c r="I67" s="38" t="str">
        <x:v>第15场</x:v>
      </x:c>
      <x:c r="J67" s="38" t="str">
        <x:v>不按单张资产生产；作为母资产继承规则与逐镜验收条件</x:v>
      </x:c>
      <x:c r="K67" s="38" t="str">
        <x:v>V1.3.1正式分镜稿＋公开资料边界内艺术推演</x:v>
      </x:c>
    </x:row>
    <x:row r="68">
      <x:c r="A68" s="38" t="str">
        <x:v>BY-REL-P1-011-RF光通信职责分流</x:v>
      </x:c>
      <x:c r="B68" s="38" t="str">
        <x:v>REL</x:v>
      </x:c>
      <x:c r="C68" s="38" t="str">
        <x:v>RF与光通信职责分流及转站规则</x:v>
      </x:c>
      <x:c r="D68" s="38" t="str">
        <x:v>P1</x:v>
      </x:c>
      <x:c r="E68" s="38" t="str">
        <x:v>通信关系控制卡＋逐镜Prompt</x:v>
      </x:c>
      <x:c r="F68" s="38" t="str">
        <x:v>RF保持测控、语音、关键指令和安全备份；光链只承担高清影像、科学数据和大容量文件；光链转站时允许画面停帧／缓存补传，但RF语音遥测持续。</x:v>
      </x:c>
      <x:c r="G68" s="41" t="str">
        <x:v>否</x:v>
      </x:c>
      <x:c r="H68" s="38" t="str">
        <x:v>BY-SYM-P1-009；航天器任务相机组；深空测控内部值班区</x:v>
      </x:c>
      <x:c r="I68" s="38" t="str">
        <x:v>镜060A、061A及后续通信镜头</x:v>
      </x:c>
      <x:c r="J68" s="38" t="str">
        <x:v>RF／光通信顾问签核；禁止把激光通信画成无延迟安全主链</x:v>
      </x:c>
      <x:c r="K68" s="38" t="str">
        <x:v>V1.3.2 F2、F3、F8；官方资料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27c5380120f04641"/>
  </x:tableParts>
</x:worksheet>
</file>

<file path=xl/worksheets/sheet5.xml><?xml version="1.0" encoding="utf-8"?>
<x:worksheet xmlns:x="http://schemas.openxmlformats.org/spreadsheetml/2006/main">
  <x:sheetPr>
    <x:tabColor rgb="FFC0000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" hidden="0" customWidth="1"/>
    <x:col min="2" max="2" width="33" hidden="0" customWidth="1"/>
    <x:col min="3" max="3" width="8" hidden="0" customWidth="1"/>
    <x:col min="4" max="4" width="28" hidden="0" customWidth="1"/>
    <x:col min="5" max="5" width="17" hidden="0" customWidth="1"/>
    <x:col min="6" max="6" width="48" hidden="0" customWidth="1"/>
  </x:cols>
  <x:sheetData>
    <x:row r="1" ht="30" customHeight="1">
      <x:c r="A1" s="3" t="str">
        <x:v>V1.3.2 资产优先级</x:v>
      </x:c>
      <x:c r="B1" s="3"/>
      <x:c r="C1" s="3"/>
      <x:c r="D1" s="3"/>
      <x:c r="E1" s="3"/>
      <x:c r="F1" s="3"/>
    </x:row>
    <x:row r="2" ht="34" customHeight="1">
      <x:c r="A2" s="7" t="str">
        <x:v>只表达级别，不表达同级内部排序。P3明确用于佳木斯／喀什低频外景空镜；工作版优先级在正式剧本收口后再做一次全表复核。</x:v>
      </x:c>
      <x:c r="B2" s="7"/>
      <x:c r="C2" s="7"/>
      <x:c r="D2" s="7"/>
      <x:c r="E2" s="7"/>
      <x:c r="F2" s="7"/>
    </x:row>
    <x:row r="5" ht="30" customHeight="1">
      <x:c r="A5" s="34" t="str">
        <x:v>优先级</x:v>
      </x:c>
      <x:c r="B5" s="34" t="str">
        <x:v>生产资产ID</x:v>
      </x:c>
      <x:c r="C5" s="34" t="str">
        <x:v>类型</x:v>
      </x:c>
      <x:c r="D5" s="34" t="str">
        <x:v>资产名称</x:v>
      </x:c>
      <x:c r="E5" s="34" t="str">
        <x:v>处置</x:v>
      </x:c>
      <x:c r="F5" s="34" t="str">
        <x:v>阻断关系／备注</x:v>
      </x:c>
    </x:row>
    <x:row r="6" ht="30" customHeight="1">
      <x:c r="A6" s="44" t="str">
        <x:v>P0</x:v>
      </x:c>
      <x:c r="B6" s="38" t="str">
        <x:v>BY-CHR-P0-001-杨凛</x:v>
      </x:c>
      <x:c r="C6" s="38" t="str">
        <x:v>CHR</x:v>
      </x:c>
      <x:c r="D6" s="38" t="str">
        <x:v>杨凛</x:v>
      </x:c>
      <x:c r="E6" s="38" t="str">
        <x:v>保留候选</x:v>
      </x:c>
      <x:c r="F6" s="38" t="str">
        <x:v>剧照验证图、基础多视图、服装继承</x:v>
      </x:c>
    </x:row>
    <x:row r="7" ht="30" customHeight="1">
      <x:c r="A7" s="44" t="str">
        <x:v>P0</x:v>
      </x:c>
      <x:c r="B7" s="38" t="str">
        <x:v>BY-CHR-P0-002-陈砚</x:v>
      </x:c>
      <x:c r="C7" s="38" t="str">
        <x:v>CHR</x:v>
      </x:c>
      <x:c r="D7" s="38" t="str">
        <x:v>陈砚</x:v>
      </x:c>
      <x:c r="E7" s="38" t="str">
        <x:v>保留候选</x:v>
      </x:c>
      <x:c r="F7" s="38" t="str">
        <x:v>剧照验证图、基础多视图、服装继承</x:v>
      </x:c>
    </x:row>
    <x:row r="8" ht="30" customHeight="1">
      <x:c r="A8" s="44" t="str">
        <x:v>P0</x:v>
      </x:c>
      <x:c r="B8" s="38" t="str">
        <x:v>BY-CHR-P0-003-刘定槎</x:v>
      </x:c>
      <x:c r="C8" s="38" t="str">
        <x:v>CHR</x:v>
      </x:c>
      <x:c r="D8" s="38" t="str">
        <x:v>刘定槎</x:v>
      </x:c>
      <x:c r="E8" s="38" t="str">
        <x:v>重做</x:v>
      </x:c>
      <x:c r="F8" s="38" t="str">
        <x:v>剧照验证图、基础多视图、空座椅关系图</x:v>
      </x:c>
    </x:row>
    <x:row r="9" ht="30" customHeight="1">
      <x:c r="A9" s="44" t="str">
        <x:v>P0</x:v>
      </x:c>
      <x:c r="B9" s="38" t="str">
        <x:v>BY-CST-P0-001-杨凛舱内飞行服</x:v>
      </x:c>
      <x:c r="C9" s="38" t="str">
        <x:v>CST</x:v>
      </x:c>
      <x:c r="D9" s="38" t="str">
        <x:v>杨凛舱内飞行服</x:v>
      </x:c>
      <x:c r="E9" s="38" t="str">
        <x:v>保留候选</x:v>
      </x:c>
      <x:c r="F9" s="38" t="str">
        <x:v>人物服装基础资产</x:v>
      </x:c>
    </x:row>
    <x:row r="10" ht="30" customHeight="1">
      <x:c r="A10" s="44" t="str">
        <x:v>P0</x:v>
      </x:c>
      <x:c r="B10" s="38" t="str">
        <x:v>BY-CST-P0-002-陈砚舱内飞行服</x:v>
      </x:c>
      <x:c r="C10" s="38" t="str">
        <x:v>CST</x:v>
      </x:c>
      <x:c r="D10" s="38" t="str">
        <x:v>陈砚舱内飞行服</x:v>
      </x:c>
      <x:c r="E10" s="38" t="str">
        <x:v>保留候选</x:v>
      </x:c>
      <x:c r="F10" s="38" t="str">
        <x:v>人物服装基础资产</x:v>
      </x:c>
    </x:row>
    <x:row r="11" ht="30" customHeight="1">
      <x:c r="A11" s="44" t="str">
        <x:v>P0</x:v>
      </x:c>
      <x:c r="B11" s="38" t="str">
        <x:v>BY-CST-P0-003-刘定槎舱内飞行服</x:v>
      </x:c>
      <x:c r="C11" s="38" t="str">
        <x:v>CST</x:v>
      </x:c>
      <x:c r="D11" s="38" t="str">
        <x:v>刘定槎舱内飞行服</x:v>
      </x:c>
      <x:c r="E11" s="38" t="str">
        <x:v>保留候选</x:v>
      </x:c>
      <x:c r="F11" s="38" t="str">
        <x:v>人物服装基础资产</x:v>
      </x:c>
    </x:row>
    <x:row r="12" ht="30" customHeight="1">
      <x:c r="A12" s="44" t="str">
        <x:v>P0</x:v>
      </x:c>
      <x:c r="B12" s="38" t="str">
        <x:v>BY-CST-P0-004-杨凛望宇登月服</x:v>
      </x:c>
      <x:c r="C12" s="38" t="str">
        <x:v>CST</x:v>
      </x:c>
      <x:c r="D12" s="38" t="str">
        <x:v>杨凛望宇登月服</x:v>
      </x:c>
      <x:c r="E12" s="38" t="str">
        <x:v>保留候选</x:v>
      </x:c>
      <x:c r="F12" s="38" t="str">
        <x:v>基础多视图、动作关节与舷梯尺度测试</x:v>
      </x:c>
    </x:row>
    <x:row r="13" ht="30" customHeight="1">
      <x:c r="A13" s="44" t="str">
        <x:v>P0</x:v>
      </x:c>
      <x:c r="B13" s="38" t="str">
        <x:v>BY-CST-P0-005-陈砚望宇登月服</x:v>
      </x:c>
      <x:c r="C13" s="38" t="str">
        <x:v>CST</x:v>
      </x:c>
      <x:c r="D13" s="38" t="str">
        <x:v>陈砚望宇登月服</x:v>
      </x:c>
      <x:c r="E13" s="38" t="str">
        <x:v>保留候选</x:v>
      </x:c>
      <x:c r="F13" s="38" t="str">
        <x:v>基础多视图、工具操作与月球车乘坐测试</x:v>
      </x:c>
    </x:row>
    <x:row r="14" ht="30" customHeight="1">
      <x:c r="A14" s="44" t="str">
        <x:v>P0</x:v>
      </x:c>
      <x:c r="B14" s="38" t="str">
        <x:v>BY-VOI-P0-001-杨凛声音</x:v>
      </x:c>
      <x:c r="C14" s="38" t="str">
        <x:v>VOI</x:v>
      </x:c>
      <x:c r="D14" s="38" t="str">
        <x:v>杨凛稳定音色</x:v>
      </x:c>
      <x:c r="E14" s="38" t="str">
        <x:v>保留</x:v>
      </x:c>
      <x:c r="F14" s="38" t="str">
        <x:v>独立制作稳定音色资产</x:v>
      </x:c>
    </x:row>
    <x:row r="15" ht="30" customHeight="1">
      <x:c r="A15" s="44" t="str">
        <x:v>P0</x:v>
      </x:c>
      <x:c r="B15" s="38" t="str">
        <x:v>BY-VOI-P0-002-陈砚声音</x:v>
      </x:c>
      <x:c r="C15" s="38" t="str">
        <x:v>VOI</x:v>
      </x:c>
      <x:c r="D15" s="38" t="str">
        <x:v>陈砚稳定音色</x:v>
      </x:c>
      <x:c r="E15" s="38" t="str">
        <x:v>保留</x:v>
      </x:c>
      <x:c r="F15" s="38" t="str">
        <x:v>独立制作稳定音色资产</x:v>
      </x:c>
    </x:row>
    <x:row r="16" ht="30" customHeight="1">
      <x:c r="A16" s="44" t="str">
        <x:v>P0</x:v>
      </x:c>
      <x:c r="B16" s="38" t="str">
        <x:v>BY-VOI-P0-003-刘定槎声音</x:v>
      </x:c>
      <x:c r="C16" s="38" t="str">
        <x:v>VOI</x:v>
      </x:c>
      <x:c r="D16" s="38" t="str">
        <x:v>刘定槎稳定音色</x:v>
      </x:c>
      <x:c r="E16" s="38" t="str">
        <x:v>修订</x:v>
      </x:c>
      <x:c r="F16" s="38" t="str">
        <x:v>独立制作稳定音色资产</x:v>
      </x:c>
    </x:row>
    <x:row r="17" ht="30" customHeight="1">
      <x:c r="A17" s="44" t="str">
        <x:v>P0</x:v>
      </x:c>
      <x:c r="B17" s="38" t="str">
        <x:v>BY-SCN-P0-001-梦舟舱内三座布局</x:v>
      </x:c>
      <x:c r="C17" s="38" t="str">
        <x:v>SCN</x:v>
      </x:c>
      <x:c r="D17" s="38" t="str">
        <x:v>梦舟返回舱三座承力区与四种乘员状态</x:v>
      </x:c>
      <x:c r="E17" s="38" t="str">
        <x:v>重做</x:v>
      </x:c>
      <x:c r="F17" s="38" t="str">
        <x:v>必须建立一张统一母图和四种状态图；座椅方向、间距、工作界面和舱门轴线不得漂移。</x:v>
      </x:c>
    </x:row>
    <x:row r="18" ht="30" customHeight="1">
      <x:c r="A18" s="44" t="str">
        <x:v>P0</x:v>
      </x:c>
      <x:c r="B18" s="38" t="str">
        <x:v>BY-SCN-P0-002-梦舟对接通道与舱门区</x:v>
      </x:c>
      <x:c r="C18" s="38" t="str">
        <x:v>SCN</x:v>
      </x:c>
      <x:c r="D18" s="38" t="str">
        <x:v>梦舟—揽月轴向对接转移通道</x:v>
      </x:c>
      <x:c r="E18" s="38" t="str">
        <x:v>重做</x:v>
      </x:c>
      <x:c r="F18" s="38" t="str">
        <x:v>母图与轴线双向SV1</x:v>
      </x:c>
    </x:row>
    <x:row r="19" ht="30" customHeight="1">
      <x:c r="A19" s="44" t="str">
        <x:v>P0</x:v>
      </x:c>
      <x:c r="B19" s="38" t="str">
        <x:v>BY-SCN-P0-003-揽月登月舱舱内</x:v>
      </x:c>
      <x:c r="C19" s="38" t="str">
        <x:v>SCN</x:v>
      </x:c>
      <x:c r="D19" s="38" t="str">
        <x:v>揽月登月舱舱内</x:v>
      </x:c>
      <x:c r="E19" s="38" t="str">
        <x:v>重做</x:v>
      </x:c>
      <x:c r="F19" s="38" t="str">
        <x:v>母图与SV2标准五视图</x:v>
      </x:c>
    </x:row>
    <x:row r="20" ht="30" customHeight="1">
      <x:c r="A20" s="44" t="str">
        <x:v>P0</x:v>
      </x:c>
      <x:c r="B20" s="38" t="str">
        <x:v>BY-SCN-P0-004-月面着陆与作业区</x:v>
      </x:c>
      <x:c r="C20" s="38" t="str">
        <x:v>SCN</x:v>
      </x:c>
      <x:c r="D20" s="38" t="str">
        <x:v>月面着陆与作业区</x:v>
      </x:c>
      <x:c r="E20" s="38" t="str">
        <x:v>修订</x:v>
      </x:c>
      <x:c r="F20" s="38" t="str">
        <x:v>母图与SV2标准五视图</x:v>
      </x:c>
    </x:row>
    <x:row r="21" ht="30" customHeight="1">
      <x:c r="A21" s="44" t="str">
        <x:v>P0</x:v>
      </x:c>
      <x:c r="B21" s="38" t="str">
        <x:v>BY-VEH-P0-001-梦舟载人飞船</x:v>
      </x:c>
      <x:c r="C21" s="38" t="str">
        <x:v>VEH</x:v>
      </x:c>
      <x:c r="D21" s="38" t="str">
        <x:v>梦舟载人飞船</x:v>
      </x:c>
      <x:c r="E21" s="38" t="str">
        <x:v>重做</x:v>
      </x:c>
      <x:c r="F21" s="38" t="str">
        <x:v>外部多视图、对接轴视图</x:v>
      </x:c>
    </x:row>
    <x:row r="22" ht="30" customHeight="1">
      <x:c r="A22" s="44" t="str">
        <x:v>P0</x:v>
      </x:c>
      <x:c r="B22" s="38" t="str">
        <x:v>BY-VEH-P0-002-揽月完整构型</x:v>
      </x:c>
      <x:c r="C22" s="38" t="str">
        <x:v>VEH</x:v>
      </x:c>
      <x:c r="D22" s="38" t="str">
        <x:v>揽月着陆器＋推进舱月轨组合体</x:v>
      </x:c>
      <x:c r="E22" s="38" t="str">
        <x:v>重做</x:v>
      </x:c>
      <x:c r="F22" s="38" t="str">
        <x:v>外部多视图与尺度图</x:v>
      </x:c>
    </x:row>
    <x:row r="23" ht="30" customHeight="1">
      <x:c r="A23" s="44" t="str">
        <x:v>P0</x:v>
      </x:c>
      <x:c r="B23" s="38" t="str">
        <x:v>BY-VEH-P0-003-揽月登月舱</x:v>
      </x:c>
      <x:c r="C23" s="38" t="str">
        <x:v>VEH</x:v>
      </x:c>
      <x:c r="D23" s="38" t="str">
        <x:v>揽月登月舱</x:v>
      </x:c>
      <x:c r="E23" s="38" t="str">
        <x:v>重做</x:v>
      </x:c>
      <x:c r="F23" s="38" t="str">
        <x:v>外部多视图、着陆与起飞状态</x:v>
      </x:c>
    </x:row>
    <x:row r="24" ht="30" customHeight="1">
      <x:c r="A24" s="44" t="str">
        <x:v>P0</x:v>
      </x:c>
      <x:c r="B24" s="38" t="str">
        <x:v>BY-VEH-P0-004-探索载人月球车</x:v>
      </x:c>
      <x:c r="C24" s="38" t="str">
        <x:v>VEH</x:v>
      </x:c>
      <x:c r="D24" s="38" t="str">
        <x:v>探索载人月球车</x:v>
      </x:c>
      <x:c r="E24" s="38" t="str">
        <x:v>重做</x:v>
      </x:c>
      <x:c r="F24" s="38" t="str">
        <x:v>多视图、双人尺度、行驶状态</x:v>
      </x:c>
    </x:row>
    <x:row r="25" ht="30" customHeight="1">
      <x:c r="A25" s="44" t="str">
        <x:v>P0</x:v>
      </x:c>
      <x:c r="B25" s="38" t="str">
        <x:v>BY-PRP-P0-001-梦舟三座椅与束缚系统</x:v>
      </x:c>
      <x:c r="C25" s="38" t="str">
        <x:v>PRP</x:v>
      </x:c>
      <x:c r="D25" s="38" t="str">
        <x:v>梦舟三座椅与束缚系统</x:v>
      </x:c>
      <x:c r="E25" s="38" t="str">
        <x:v>修订</x:v>
      </x:c>
      <x:c r="F25" s="38" t="str">
        <x:v>同一套座椅保持承力骨架、基座和朝向稳定，四种状态只改变人员、束缚、靠背角度与载荷状态。</x:v>
      </x:c>
    </x:row>
    <x:row r="26" ht="30" customHeight="1">
      <x:c r="A26" s="44" t="str">
        <x:v>P0</x:v>
      </x:c>
      <x:c r="B26" s="38" t="str">
        <x:v>BY-PRP-P0-002-揽月舷梯与扶手系统</x:v>
      </x:c>
      <x:c r="C26" s="38" t="str">
        <x:v>PRP</x:v>
      </x:c>
      <x:c r="D26" s="38" t="str">
        <x:v>揽月舷梯与扶手系统</x:v>
      </x:c>
      <x:c r="E26" s="38" t="str">
        <x:v>修订</x:v>
      </x:c>
      <x:c r="F26" s="38" t="str">
        <x:v>结构多视图、人物动作尺度</x:v>
      </x:c>
    </x:row>
    <x:row r="27" ht="30" customHeight="1">
      <x:c r="A27" s="44" t="str">
        <x:v>P0</x:v>
      </x:c>
      <x:c r="B27" s="38" t="str">
        <x:v>BY-PRP-P0-003-便携式月面摄像机</x:v>
      </x:c>
      <x:c r="C27" s="38" t="str">
        <x:v>PRP</x:v>
      </x:c>
      <x:c r="D27" s="38" t="str">
        <x:v>便携式月面摄像机</x:v>
      </x:c>
      <x:c r="E27" s="38" t="str">
        <x:v>保留候选</x:v>
      </x:c>
      <x:c r="F27" s="38" t="str">
        <x:v>镜60部署后，镜61、63—64、69、76、81必须复用同一机位与同一设备。</x:v>
      </x:c>
    </x:row>
    <x:row r="28" ht="30" customHeight="1">
      <x:c r="A28" s="44" t="str">
        <x:v>P0</x:v>
      </x:c>
      <x:c r="B28" s="38" t="str">
        <x:v>BY-PRP-P0-004-工程化国旗展示装置</x:v>
      </x:c>
      <x:c r="C28" s="38" t="str">
        <x:v>PRP</x:v>
      </x:c>
      <x:c r="D28" s="38" t="str">
        <x:v>工程化国旗展示装置</x:v>
      </x:c>
      <x:c r="E28" s="38" t="str">
        <x:v>保留候选</x:v>
      </x:c>
      <x:c r="F28" s="38" t="str">
        <x:v>结构多视图、双人部署尺度</x:v>
      </x:c>
    </x:row>
    <x:row r="29" ht="30" customHeight="1">
      <x:c r="A29" s="44" t="str">
        <x:v>P0</x:v>
      </x:c>
      <x:c r="B29" s="38" t="str">
        <x:v>BY-PRP-P0-005-密封样品转移容器</x:v>
      </x:c>
      <x:c r="C29" s="38" t="str">
        <x:v>PRP</x:v>
      </x:c>
      <x:c r="D29" s="38" t="str">
        <x:v>主样品密封转移容器</x:v>
      </x:c>
      <x:c r="E29" s="38" t="str">
        <x:v>保留候选</x:v>
      </x:c>
      <x:c r="F29" s="38" t="str">
        <x:v>多视图、手套与双手交接尺度</x:v>
      </x:c>
    </x:row>
    <x:row r="30" ht="30" customHeight="1">
      <x:c r="A30" s="44" t="str">
        <x:v>P0</x:v>
      </x:c>
      <x:c r="B30" s="38" t="str">
        <x:v>BY-VFX-P0-001-月面下降羽流与贴地月尘</x:v>
      </x:c>
      <x:c r="C30" s="38" t="str">
        <x:v>VFX</x:v>
      </x:c>
      <x:c r="D30" s="38" t="str">
        <x:v>月面下降羽流与贴地月尘</x:v>
      </x:c>
      <x:c r="E30" s="38" t="str">
        <x:v>混合制作</x:v>
      </x:c>
      <x:c r="F30" s="38" t="str">
        <x:v>核心物理测试模板</x:v>
      </x:c>
    </x:row>
    <x:row r="31" ht="30" customHeight="1">
      <x:c r="A31" s="44" t="str">
        <x:v>P0</x:v>
      </x:c>
      <x:c r="B31" s="38" t="str">
        <x:v>BY-VFX-P0-002-触月关机与月尘回落</x:v>
      </x:c>
      <x:c r="C31" s="38" t="str">
        <x:v>VFX</x:v>
      </x:c>
      <x:c r="D31" s="38" t="str">
        <x:v>触月关机与月尘回落</x:v>
      </x:c>
      <x:c r="E31" s="38" t="str">
        <x:v>混合制作</x:v>
      </x:c>
      <x:c r="F31" s="38" t="str">
        <x:v>触月技术测试</x:v>
      </x:c>
    </x:row>
    <x:row r="32" ht="30" customHeight="1">
      <x:c r="A32" s="44" t="str">
        <x:v>P0</x:v>
      </x:c>
      <x:c r="B32" s="38" t="str">
        <x:v>BY-VFX-P0-003-第一足印月壤形变</x:v>
      </x:c>
      <x:c r="C32" s="38" t="str">
        <x:v>VFX</x:v>
      </x:c>
      <x:c r="D32" s="38" t="str">
        <x:v>第一足印月壤形变</x:v>
      </x:c>
      <x:c r="E32" s="38" t="str">
        <x:v>混合制作</x:v>
      </x:c>
      <x:c r="F32" s="38" t="str">
        <x:v>极近景物理测试</x:v>
      </x:c>
    </x:row>
    <x:row r="33" ht="30" customHeight="1">
      <x:c r="A33" s="44" t="str">
        <x:v>P0</x:v>
      </x:c>
      <x:c r="B33" s="38" t="str">
        <x:v>BY-VFX-P0-004-月面起飞羽流与留场余景</x:v>
      </x:c>
      <x:c r="C33" s="38" t="str">
        <x:v>VFX</x:v>
      </x:c>
      <x:c r="D33" s="38" t="str">
        <x:v>月面起飞羽流与留场余景</x:v>
      </x:c>
      <x:c r="E33" s="38" t="str">
        <x:v>混合制作</x:v>
      </x:c>
      <x:c r="F33" s="38" t="str">
        <x:v>起飞技术测试模板</x:v>
      </x:c>
    </x:row>
    <x:row r="34" ht="30" customHeight="1">
      <x:c r="A34" s="44" t="str">
        <x:v>P0</x:v>
      </x:c>
      <x:c r="B34" s="38" t="str">
        <x:v>BY-SYM-P0-001-中华人民共和国国旗图形</x:v>
      </x:c>
      <x:c r="C34" s="38" t="str">
        <x:v>SYM</x:v>
      </x:c>
      <x:c r="D34" s="38" t="str">
        <x:v>中华人民共和国国旗图形</x:v>
      </x:c>
      <x:c r="E34" s="38" t="str">
        <x:v>保留候选</x:v>
      </x:c>
      <x:c r="F34" s="38" t="str">
        <x:v>准确图形资产与贴合测试</x:v>
      </x:c>
    </x:row>
    <x:row r="35" ht="30" customHeight="1">
      <x:c r="A35" s="44" t="str">
        <x:v>P0</x:v>
      </x:c>
      <x:c r="B35" s="38" t="str">
        <x:v>BY-SCN-P0-005-梦舟环月工作位</x:v>
      </x:c>
      <x:c r="C35" s="38" t="str">
        <x:v>SCN</x:v>
      </x:c>
      <x:c r="D35" s="38" t="str">
        <x:v>梦舟返回舱环月工作位</x:v>
      </x:c>
      <x:c r="E35" s="38" t="str">
        <x:v>重做</x:v>
      </x:c>
      <x:c r="F35" s="38" t="str">
        <x:v>工作位与三座承力区必须属于同一返回舱空间，不生成宽阔独立驾驶舱。</x:v>
      </x:c>
    </x:row>
    <x:row r="36" ht="30" customHeight="1">
      <x:c r="A36" s="44" t="str">
        <x:v>P0</x:v>
      </x:c>
      <x:c r="B36" s="38" t="str">
        <x:v>BY-SCN-P0-006-北京飞控大厅与任务主屏</x:v>
      </x:c>
      <x:c r="C36" s="38" t="str">
        <x:v>SCN</x:v>
      </x:c>
      <x:c r="D36" s="38" t="str">
        <x:v>北京飞控大厅与任务主屏</x:v>
      </x:c>
      <x:c r="E36" s="38" t="str">
        <x:v>强制重做</x:v>
      </x:c>
      <x:c r="F36" s="38" t="str">
        <x:v>MASTER、任务席、主屏、控制台局部</x:v>
      </x:c>
    </x:row>
    <x:row r="37" ht="30" customHeight="1">
      <x:c r="A37" s="44" t="str">
        <x:v>P0</x:v>
      </x:c>
      <x:c r="B37" s="38" t="str">
        <x:v>BY-SCN-P0-007-返回舱再入视觉环境</x:v>
      </x:c>
      <x:c r="C37" s="38" t="str">
        <x:v>SCN</x:v>
      </x:c>
      <x:c r="D37" s="38" t="str">
        <x:v>返回舱再入视觉环境</x:v>
      </x:c>
      <x:c r="E37" s="38" t="str">
        <x:v>保留候选</x:v>
      </x:c>
      <x:c r="F37" s="38" t="str">
        <x:v>再入MASTER及关键状态视图</x:v>
      </x:c>
    </x:row>
    <x:row r="38" ht="30" customHeight="1">
      <x:c r="A38" s="44" t="str">
        <x:v>P0</x:v>
      </x:c>
      <x:c r="B38" s="38" t="str">
        <x:v>BY-SCN-P0-008-预定着陆区与搜救现场</x:v>
      </x:c>
      <x:c r="C38" s="38" t="str">
        <x:v>SCN</x:v>
      </x:c>
      <x:c r="D38" s="38" t="str">
        <x:v>东风着陆场与搜救现场</x:v>
      </x:c>
      <x:c r="E38" s="38" t="str">
        <x:v>重做</x:v>
      </x:c>
      <x:c r="F38" s="38" t="str">
        <x:v>MASTER、航拍、手持长焦、舱门医疗视图</x:v>
      </x:c>
    </x:row>
    <x:row r="39" ht="30" customHeight="1">
      <x:c r="A39" s="44" t="str">
        <x:v>P0</x:v>
      </x:c>
      <x:c r="B39" s="38" t="str">
        <x:v>BY-VEH-P0-005-梦舟月轨组合体</x:v>
      </x:c>
      <x:c r="C39" s="38" t="str">
        <x:v>VEH</x:v>
      </x:c>
      <x:c r="D39" s="38" t="str">
        <x:v>梦舟返回舱＋服务舱月轨组合体</x:v>
      </x:c>
      <x:c r="E39" s="38" t="str">
        <x:v>重做</x:v>
      </x:c>
      <x:c r="F39" s="38" t="str">
        <x:v>完整组合体结构验证和关键状态视图</x:v>
      </x:c>
    </x:row>
    <x:row r="40" ht="30" customHeight="1">
      <x:c r="A40" s="44" t="str">
        <x:v>P0</x:v>
      </x:c>
      <x:c r="B40" s="38" t="str">
        <x:v>BY-VEH-P0-006-梦舟返回舱独立再入构型</x:v>
      </x:c>
      <x:c r="C40" s="38" t="str">
        <x:v>VEH</x:v>
      </x:c>
      <x:c r="D40" s="38" t="str">
        <x:v>梦舟返回舱独立再入构型</x:v>
      </x:c>
      <x:c r="E40" s="38" t="str">
        <x:v>重做</x:v>
      </x:c>
      <x:c r="F40" s="38" t="str">
        <x:v>结构验证＋再入状态继承</x:v>
      </x:c>
    </x:row>
    <x:row r="41" ht="30" customHeight="1">
      <x:c r="A41" s="44" t="str">
        <x:v>P0</x:v>
      </x:c>
      <x:c r="B41" s="38" t="str">
        <x:v>BY-VEH-P0-007-返回舱群伞气囊着陆构型</x:v>
      </x:c>
      <x:c r="C41" s="38" t="str">
        <x:v>VEH</x:v>
      </x:c>
      <x:c r="D41" s="38" t="str">
        <x:v>返回舱群伞／气囊着陆构型</x:v>
      </x:c>
      <x:c r="E41" s="38" t="str">
        <x:v>重做</x:v>
      </x:c>
      <x:c r="F41" s="38" t="str">
        <x:v>与开伞、气囊VFX和搜救场景联合验证</x:v>
      </x:c>
    </x:row>
    <x:row r="42" ht="30" customHeight="1">
      <x:c r="A42" s="44" t="str">
        <x:v>P0</x:v>
      </x:c>
      <x:c r="B42" s="38" t="str">
        <x:v>BY-VFX-P0-005-返回舱等离子辉光与黑障视觉</x:v>
      </x:c>
      <x:c r="C42" s="38" t="str">
        <x:v>VFX</x:v>
      </x:c>
      <x:c r="D42" s="38" t="str">
        <x:v>返回舱等离子辉光与黑障视觉</x:v>
      </x:c>
      <x:c r="E42" s="38" t="str">
        <x:v>混合制作</x:v>
      </x:c>
      <x:c r="F42" s="38" t="str">
        <x:v>高风险技术测试</x:v>
      </x:c>
    </x:row>
    <x:row r="43" ht="30" customHeight="1">
      <x:c r="A43" s="44" t="str">
        <x:v>P0</x:v>
      </x:c>
      <x:c r="B43" s="38" t="str">
        <x:v>BY-VFX-P0-006-稳定伞与主伞展开</x:v>
      </x:c>
      <x:c r="C43" s="38" t="str">
        <x:v>VFX</x:v>
      </x:c>
      <x:c r="D43" s="38" t="str">
        <x:v>返回舱稳定伞／主伞展开</x:v>
      </x:c>
      <x:c r="E43" s="38" t="str">
        <x:v>混合制作</x:v>
      </x:c>
      <x:c r="F43" s="38" t="str">
        <x:v>与返回舱群伞构型联合测试</x:v>
      </x:c>
    </x:row>
    <x:row r="44" ht="30" customHeight="1">
      <x:c r="A44" s="44" t="str">
        <x:v>P0</x:v>
      </x:c>
      <x:c r="B44" s="38" t="str">
        <x:v>BY-VFX-P0-007-气囊触地滚摆</x:v>
      </x:c>
      <x:c r="C44" s="38" t="str">
        <x:v>VFX</x:v>
      </x:c>
      <x:c r="D44" s="38" t="str">
        <x:v>返回舱气囊触地与滚摆</x:v>
      </x:c>
      <x:c r="E44" s="38" t="str">
        <x:v>混合制作</x:v>
      </x:c>
      <x:c r="F44" s="38" t="str">
        <x:v>与搜救MASTER联合测试</x:v>
      </x:c>
    </x:row>
    <x:row r="45" ht="30" customHeight="1">
      <x:c r="A45" s="44" t="str">
        <x:v>P0</x:v>
      </x:c>
      <x:c r="B45" s="38" t="str">
        <x:v>BY-PRP-P0-006-东风医监转移设备</x:v>
      </x:c>
      <x:c r="C45" s="38" t="str">
        <x:v>PRP</x:v>
      </x:c>
      <x:c r="D45" s="38" t="str">
        <x:v>东风医监支撑座椅、担架与生命体征设备</x:v>
      </x:c>
      <x:c r="E45" s="38" t="str">
        <x:v>修订</x:v>
      </x:c>
      <x:c r="F45" s="38" t="str">
        <x:v>人物状态决定座椅或担架，不允许航天员立即自行步行出舱</x:v>
      </x:c>
    </x:row>
    <x:row r="46" ht="30" customHeight="1">
      <x:c r="A46" s="44" t="str">
        <x:v>P0</x:v>
      </x:c>
      <x:c r="B46" s="38" t="str">
        <x:v>BY-SYM-P0-003-飞控任务屏信息架构</x:v>
      </x:c>
      <x:c r="C46" s="38" t="str">
        <x:v>SYM</x:v>
      </x:c>
      <x:c r="D46" s="38" t="str">
        <x:v>飞控任务主屏与副屏信息架构</x:v>
      </x:c>
      <x:c r="E46" s="38" t="str">
        <x:v>新增重做</x:v>
      </x:c>
      <x:c r="F46" s="38" t="str">
        <x:v>先确认席位职责矩阵、信息源和授权动作；再设计屏幕，不反向用屏幕决定流程</x:v>
      </x:c>
    </x:row>
    <x:row r="47" ht="30" customHeight="1">
      <x:c r="A47" s="45" t="str">
        <x:v>P1</x:v>
      </x:c>
      <x:c r="B47" s="38" t="str">
        <x:v>BY-CHR-P1-002-林知夏</x:v>
      </x:c>
      <x:c r="C47" s="38" t="str">
        <x:v>CHR</x:v>
      </x:c>
      <x:c r="D47" s="38" t="str">
        <x:v>林知夏</x:v>
      </x:c>
      <x:c r="E47" s="38" t="str">
        <x:v>保留候选</x:v>
      </x:c>
      <x:c r="F47" s="38" t="str">
        <x:v>剧照验证图、半身与全身</x:v>
      </x:c>
    </x:row>
    <x:row r="48" ht="30" customHeight="1">
      <x:c r="A48" s="45" t="str">
        <x:v>P1</x:v>
      </x:c>
      <x:c r="B48" s="38" t="str">
        <x:v>BY-CST-P1-001-杨凛登月服轻度月尘状态</x:v>
      </x:c>
      <x:c r="C48" s="38" t="str">
        <x:v>CST</x:v>
      </x:c>
      <x:c r="D48" s="38" t="str">
        <x:v>杨凛登月服轻度月尘状态</x:v>
      </x:c>
      <x:c r="E48" s="38" t="str">
        <x:v>保留候选</x:v>
      </x:c>
      <x:c r="F48" s="38" t="str">
        <x:v>基于确认登月服制作状态变体</x:v>
      </x:c>
    </x:row>
    <x:row r="49" ht="30" customHeight="1">
      <x:c r="A49" s="45" t="str">
        <x:v>P1</x:v>
      </x:c>
      <x:c r="B49" s="38" t="str">
        <x:v>BY-CST-P1-002-陈砚登月服轻度月尘状态</x:v>
      </x:c>
      <x:c r="C49" s="38" t="str">
        <x:v>CST</x:v>
      </x:c>
      <x:c r="D49" s="38" t="str">
        <x:v>陈砚登月服轻度月尘状态</x:v>
      </x:c>
      <x:c r="E49" s="38" t="str">
        <x:v>保留候选</x:v>
      </x:c>
      <x:c r="F49" s="38" t="str">
        <x:v>基于确认登月服制作状态变体</x:v>
      </x:c>
    </x:row>
    <x:row r="50" ht="30" customHeight="1">
      <x:c r="A50" s="45" t="str">
        <x:v>P1</x:v>
      </x:c>
      <x:c r="B50" s="38" t="str">
        <x:v>BY-CST-P1-004-林知夏记者服装</x:v>
      </x:c>
      <x:c r="C50" s="38" t="str">
        <x:v>CST</x:v>
      </x:c>
      <x:c r="D50" s="38" t="str">
        <x:v>林知夏记者服装</x:v>
      </x:c>
      <x:c r="E50" s="38" t="str">
        <x:v>保留候选</x:v>
      </x:c>
      <x:c r="F50" s="38" t="str">
        <x:v>人物定妆服装</x:v>
      </x:c>
    </x:row>
    <x:row r="51" ht="30" customHeight="1">
      <x:c r="A51" s="45" t="str">
        <x:v>P1</x:v>
      </x:c>
      <x:c r="B51" s="38" t="str">
        <x:v>BY-VOI-P1-002-林知夏声音</x:v>
      </x:c>
      <x:c r="C51" s="38" t="str">
        <x:v>VOI</x:v>
      </x:c>
      <x:c r="D51" s="38" t="str">
        <x:v>林知夏稳定音色</x:v>
      </x:c>
      <x:c r="E51" s="38" t="str">
        <x:v>保留</x:v>
      </x:c>
      <x:c r="F51" s="38" t="str">
        <x:v>独立制作稳定音色资产</x:v>
      </x:c>
    </x:row>
    <x:row r="52" ht="30" customHeight="1">
      <x:c r="A52" s="45" t="str">
        <x:v>P1</x:v>
      </x:c>
      <x:c r="B52" s="38" t="str">
        <x:v>BY-VOI-P1-004-北京飞控主调度声音</x:v>
      </x:c>
      <x:c r="C52" s="38" t="str">
        <x:v>VOI</x:v>
      </x:c>
      <x:c r="D52" s="38" t="str">
        <x:v>北京飞控主调度稳定音色</x:v>
      </x:c>
      <x:c r="E52" s="38" t="str">
        <x:v>保留</x:v>
      </x:c>
      <x:c r="F52" s="38" t="str">
        <x:v>独立制作稳定音色资产</x:v>
      </x:c>
    </x:row>
    <x:row r="53" ht="30" customHeight="1">
      <x:c r="A53" s="45" t="str">
        <x:v>P1</x:v>
      </x:c>
      <x:c r="B53" s="38" t="str">
        <x:v>BY-SCN-P1-003-飞控中心媒体区</x:v>
      </x:c>
      <x:c r="C53" s="38" t="str">
        <x:v>SCN</x:v>
      </x:c>
      <x:c r="D53" s="38" t="str">
        <x:v>飞控中心媒体区</x:v>
      </x:c>
      <x:c r="E53" s="38" t="str">
        <x:v>强制重做</x:v>
      </x:c>
      <x:c r="F53" s="38" t="str">
        <x:v>母图SV0</x:v>
      </x:c>
    </x:row>
    <x:row r="54" ht="30" customHeight="1">
      <x:c r="A54" s="45" t="str">
        <x:v>P1</x:v>
      </x:c>
      <x:c r="B54" s="38" t="str">
        <x:v>BY-SCN-P1-005-月面后段科考区</x:v>
      </x:c>
      <x:c r="C54" s="38" t="str">
        <x:v>SCN</x:v>
      </x:c>
      <x:c r="D54" s="38" t="str">
        <x:v>月面科学任务路线与采样点</x:v>
      </x:c>
      <x:c r="E54" s="38" t="str">
        <x:v>修订</x:v>
      </x:c>
      <x:c r="F54" s="38" t="str">
        <x:v>母图与SV1路径视图</x:v>
      </x:c>
    </x:row>
    <x:row r="55" ht="30" customHeight="1">
      <x:c r="A55" s="45" t="str">
        <x:v>P1</x:v>
      </x:c>
      <x:c r="B55" s="38" t="str">
        <x:v>BY-SCN-P1-006-环月轨道外部环境</x:v>
      </x:c>
      <x:c r="C55" s="38" t="str">
        <x:v>SCN</x:v>
      </x:c>
      <x:c r="D55" s="38" t="str">
        <x:v>环月轨道外部环境</x:v>
      </x:c>
      <x:c r="E55" s="38" t="str">
        <x:v>保留候选</x:v>
      </x:c>
      <x:c r="F55" s="38" t="str">
        <x:v>环境母图与SV1基准视图</x:v>
      </x:c>
    </x:row>
    <x:row r="56" ht="30" customHeight="1">
      <x:c r="A56" s="45" t="str">
        <x:v>P1</x:v>
      </x:c>
      <x:c r="B56" s="38" t="str">
        <x:v>BY-VEH-P1-003-揽月推进舱分离状态</x:v>
      </x:c>
      <x:c r="C56" s="38" t="str">
        <x:v>VEH</x:v>
      </x:c>
      <x:c r="D56" s="38" t="str">
        <x:v>揽月推进舱分离状态</x:v>
      </x:c>
      <x:c r="E56" s="38" t="str">
        <x:v>重做</x:v>
      </x:c>
      <x:c r="F56" s="38" t="str">
        <x:v>状态对照资产</x:v>
      </x:c>
    </x:row>
    <x:row r="57" ht="30" customHeight="1">
      <x:c r="A57" s="45" t="str">
        <x:v>P1</x:v>
      </x:c>
      <x:c r="B57" s="38" t="str">
        <x:v>BY-PRP-P1-001-月面采样工具</x:v>
      </x:c>
      <x:c r="C57" s="38" t="str">
        <x:v>PRP</x:v>
      </x:c>
      <x:c r="D57" s="38" t="str">
        <x:v>月面采样工具</x:v>
      </x:c>
      <x:c r="E57" s="38" t="str">
        <x:v>保留候选</x:v>
      </x:c>
      <x:c r="F57" s="38" t="str">
        <x:v>多视图与使用动作参考</x:v>
      </x:c>
    </x:row>
    <x:row r="58" ht="30" customHeight="1">
      <x:c r="A58" s="45" t="str">
        <x:v>P1</x:v>
      </x:c>
      <x:c r="B58" s="38" t="str">
        <x:v>BY-PRP-P1-002-月壤样品容器</x:v>
      </x:c>
      <x:c r="C58" s="38" t="str">
        <x:v>PRP</x:v>
      </x:c>
      <x:c r="D58" s="38" t="str">
        <x:v>月壤样品容器</x:v>
      </x:c>
      <x:c r="E58" s="38" t="str">
        <x:v>保留候选</x:v>
      </x:c>
      <x:c r="F58" s="38" t="str">
        <x:v>多视图与手套操作参考</x:v>
      </x:c>
    </x:row>
    <x:row r="59" ht="30" customHeight="1">
      <x:c r="A59" s="45" t="str">
        <x:v>P1</x:v>
      </x:c>
      <x:c r="B59" s="38" t="str">
        <x:v>BY-PRP-P1-003-月面科学观测设备</x:v>
      </x:c>
      <x:c r="C59" s="38" t="str">
        <x:v>PRP</x:v>
      </x:c>
      <x:c r="D59" s="38" t="str">
        <x:v>小型月面科学载荷</x:v>
      </x:c>
      <x:c r="E59" s="38" t="str">
        <x:v>保留候选</x:v>
      </x:c>
      <x:c r="F59" s="38" t="str">
        <x:v>多视图与双人部署参考</x:v>
      </x:c>
    </x:row>
    <x:row r="60" ht="30" customHeight="1">
      <x:c r="A60" s="45" t="str">
        <x:v>P1</x:v>
      </x:c>
      <x:c r="B60" s="38" t="str">
        <x:v>BY-PRP-P1-004-月面工具包与载荷固定系统</x:v>
      </x:c>
      <x:c r="C60" s="38" t="str">
        <x:v>PRP</x:v>
      </x:c>
      <x:c r="D60" s="38" t="str">
        <x:v>月面工具包与载荷固定系统</x:v>
      </x:c>
      <x:c r="E60" s="38" t="str">
        <x:v>保留候选</x:v>
      </x:c>
      <x:c r="F60" s="38" t="str">
        <x:v>结构图与关系参考</x:v>
      </x:c>
    </x:row>
    <x:row r="61" ht="30" customHeight="1">
      <x:c r="A61" s="45" t="str">
        <x:v>P1</x:v>
      </x:c>
      <x:c r="B61" s="38" t="str">
        <x:v>BY-PRP-P1-005-两器舱门与对接锁止结果件</x:v>
      </x:c>
      <x:c r="C61" s="38" t="str">
        <x:v>PRP</x:v>
      </x:c>
      <x:c r="D61" s="38" t="str">
        <x:v>两器舱门与对接锁止结果件</x:v>
      </x:c>
      <x:c r="E61" s="38" t="str">
        <x:v>修订</x:v>
      </x:c>
      <x:c r="F61" s="38" t="str">
        <x:v>结构局部与状态对照</x:v>
      </x:c>
    </x:row>
    <x:row r="62" ht="30" customHeight="1">
      <x:c r="A62" s="45" t="str">
        <x:v>P1</x:v>
      </x:c>
      <x:c r="B62" s="38" t="str">
        <x:v>BY-PRP-P1-006-舱内操作界面与任务屏</x:v>
      </x:c>
      <x:c r="C62" s="38" t="str">
        <x:v>PRP</x:v>
      </x:c>
      <x:c r="D62" s="38" t="str">
        <x:v>舱内操作界面与任务屏</x:v>
      </x:c>
      <x:c r="E62" s="38" t="str">
        <x:v>强制重做</x:v>
      </x:c>
      <x:c r="F62" s="38" t="str">
        <x:v>建立可读但非官方复刻的统一任务UI组件库；屏幕保持工作状态。</x:v>
      </x:c>
    </x:row>
    <x:row r="63" ht="30" customHeight="1">
      <x:c r="A63" s="45" t="str">
        <x:v>P1</x:v>
      </x:c>
      <x:c r="B63" s="38" t="str">
        <x:v>BY-SYM-P1-001-未来纪实推演标识</x:v>
      </x:c>
      <x:c r="C63" s="38" t="str">
        <x:v>SYM</x:v>
      </x:c>
      <x:c r="D63" s="38" t="str">
        <x:v>未来纪实推演标识</x:v>
      </x:c>
      <x:c r="E63" s="38" t="str">
        <x:v>保留候选</x:v>
      </x:c>
      <x:c r="F63" s="38" t="str">
        <x:v>统一包装资产</x:v>
      </x:c>
    </x:row>
    <x:row r="64" ht="30" customHeight="1">
      <x:c r="A64" s="45" t="str">
        <x:v>P1</x:v>
      </x:c>
      <x:c r="B64" s="38" t="str">
        <x:v>BY-SYM-P1-003-任务阶段与时间跳跃标牌</x:v>
      </x:c>
      <x:c r="C64" s="38" t="str">
        <x:v>SYM</x:v>
      </x:c>
      <x:c r="D64" s="38" t="str">
        <x:v>任务阶段与时间跳跃标牌</x:v>
      </x:c>
      <x:c r="E64" s="38" t="str">
        <x:v>重做</x:v>
      </x:c>
      <x:c r="F64" s="38" t="str">
        <x:v>时间标牌必须与119镜时间线一致，并显式区分直播、延时和视觉重建。</x:v>
      </x:c>
    </x:row>
    <x:row r="65" ht="30" customHeight="1">
      <x:c r="A65" s="45" t="str">
        <x:v>P1</x:v>
      </x:c>
      <x:c r="B65" s="38" t="str">
        <x:v>BY-CRO-P1-001-北京飞控任务团队</x:v>
      </x:c>
      <x:c r="C65" s="38" t="str">
        <x:v>CRO</x:v>
      </x:c>
      <x:c r="D65" s="38" t="str">
        <x:v>北京飞控任务团队</x:v>
      </x:c>
      <x:c r="E65" s="38" t="str">
        <x:v>强制重做</x:v>
      </x:c>
      <x:c r="F65" s="38" t="str">
        <x:v>群演构成表与群像资产</x:v>
      </x:c>
    </x:row>
    <x:row r="66" ht="30" customHeight="1">
      <x:c r="A66" s="45" t="str">
        <x:v>P1</x:v>
      </x:c>
      <x:c r="B66" s="38" t="str">
        <x:v>BY-SCN-P1-009-VLBI测轨席</x:v>
      </x:c>
      <x:c r="C66" s="38" t="str">
        <x:v>SCN</x:v>
      </x:c>
      <x:c r="D66" s="38" t="str">
        <x:v>VLBI测轨席／天衡界面</x:v>
      </x:c>
      <x:c r="E66" s="38" t="str">
        <x:v>强制重做</x:v>
      </x:c>
      <x:c r="F66" s="38" t="str">
        <x:v>席位MASTER和控制台局部</x:v>
      </x:c>
    </x:row>
    <x:row r="67" ht="30" customHeight="1">
      <x:c r="A67" s="45" t="str">
        <x:v>P1</x:v>
      </x:c>
      <x:c r="B67" s="38" t="str">
        <x:v>BY-SCN-P1-010-北京飞控地质席</x:v>
      </x:c>
      <x:c r="C67" s="38" t="str">
        <x:v>SCN</x:v>
      </x:c>
      <x:c r="D67" s="38" t="str">
        <x:v>北京飞控地质席</x:v>
      </x:c>
      <x:c r="E67" s="38" t="str">
        <x:v>强制重做</x:v>
      </x:c>
      <x:c r="F67" s="38" t="str">
        <x:v>席位MASTER、分屏局部</x:v>
      </x:c>
    </x:row>
    <x:row r="68" ht="30" customHeight="1">
      <x:c r="A68" s="45" t="str">
        <x:v>P1</x:v>
      </x:c>
      <x:c r="B68" s="38" t="str">
        <x:v>BY-SCN-P1-011-搜救指挥中心</x:v>
      </x:c>
      <x:c r="C68" s="38" t="str">
        <x:v>SCN</x:v>
      </x:c>
      <x:c r="D68" s="38" t="str">
        <x:v>返回器搜救指挥中心</x:v>
      </x:c>
      <x:c r="E68" s="38" t="str">
        <x:v>强制重做</x:v>
      </x:c>
      <x:c r="F68" s="38" t="str">
        <x:v>MASTER、主屏／席位局部</x:v>
      </x:c>
    </x:row>
    <x:row r="69" ht="30" customHeight="1">
      <x:c r="A69" s="45" t="str">
        <x:v>P1</x:v>
      </x:c>
      <x:c r="B69" s="38" t="str">
        <x:v>BY-VEH-P1-004-揽月月面起飞状态</x:v>
      </x:c>
      <x:c r="C69" s="38" t="str">
        <x:v>VEH</x:v>
      </x:c>
      <x:c r="D69" s="38" t="str">
        <x:v>揽月整器月面起飞状态</x:v>
      </x:c>
      <x:c r="E69" s="38" t="str">
        <x:v>重做</x:v>
      </x:c>
      <x:c r="F69" s="38" t="str">
        <x:v>由揽月基础资产派生状态</x:v>
      </x:c>
    </x:row>
    <x:row r="70" ht="30" customHeight="1">
      <x:c r="A70" s="45" t="str">
        <x:v>P1</x:v>
      </x:c>
      <x:c r="B70" s="38" t="str">
        <x:v>BY-VEH-P1-005-揽月月轨再对接状态</x:v>
      </x:c>
      <x:c r="C70" s="38" t="str">
        <x:v>VEH</x:v>
      </x:c>
      <x:c r="D70" s="38" t="str">
        <x:v>揽月月轨再交会对接状态</x:v>
      </x:c>
      <x:c r="E70" s="38" t="str">
        <x:v>重做</x:v>
      </x:c>
      <x:c r="F70" s="38" t="str">
        <x:v>两器尺度与对接轴线验证</x:v>
      </x:c>
    </x:row>
    <x:row r="71" ht="30" customHeight="1">
      <x:c r="A71" s="45" t="str">
        <x:v>P1</x:v>
      </x:c>
      <x:c r="B71" s="38" t="str">
        <x:v>BY-VEH-P1-006-揽月受控处置状态</x:v>
      </x:c>
      <x:c r="C71" s="38" t="str">
        <x:v>VEH</x:v>
      </x:c>
      <x:c r="D71" s="38" t="str">
        <x:v>揽月受控分离处置状态</x:v>
      </x:c>
      <x:c r="E71" s="38" t="str">
        <x:v>重做</x:v>
      </x:c>
      <x:c r="F71" s="38" t="str">
        <x:v>与处置轨迹VFX联合制作</x:v>
      </x:c>
    </x:row>
    <x:row r="72" ht="30" customHeight="1">
      <x:c r="A72" s="45" t="str">
        <x:v>P1</x:v>
      </x:c>
      <x:c r="B72" s="38" t="str">
        <x:v>BY-VEH-P1-007-梦舟服务舱近地分离状态</x:v>
      </x:c>
      <x:c r="C72" s="38" t="str">
        <x:v>VEH</x:v>
      </x:c>
      <x:c r="D72" s="38" t="str">
        <x:v>梦舟服务舱近地分离状态</x:v>
      </x:c>
      <x:c r="E72" s="38" t="str">
        <x:v>重做</x:v>
      </x:c>
      <x:c r="F72" s="38" t="str">
        <x:v>外部构型状态验证</x:v>
      </x:c>
    </x:row>
    <x:row r="73" ht="30" customHeight="1">
      <x:c r="A73" s="45" t="str">
        <x:v>P1</x:v>
      </x:c>
      <x:c r="B73" s="38" t="str">
        <x:v>BY-VEH-P1-008-搜救直升机与地面车辆</x:v>
      </x:c>
      <x:c r="C73" s="38" t="str">
        <x:v>VEH</x:v>
      </x:c>
      <x:c r="D73" s="38" t="str">
        <x:v>搜救直升机与地面车辆配置</x:v>
      </x:c>
      <x:c r="E73" s="38" t="str">
        <x:v>修订</x:v>
      </x:c>
      <x:c r="F73" s="38" t="str">
        <x:v>载具配置与尺度验证</x:v>
      </x:c>
    </x:row>
    <x:row r="74" ht="30" customHeight="1">
      <x:c r="A74" s="45" t="str">
        <x:v>P1</x:v>
      </x:c>
      <x:c r="B74" s="38" t="str">
        <x:v>BY-PRP-P1-007-任务数据盒与随身救生包</x:v>
      </x:c>
      <x:c r="C74" s="38" t="str">
        <x:v>PRP</x:v>
      </x:c>
      <x:c r="D74" s="38" t="str">
        <x:v>任务数据盒与随身救生包</x:v>
      </x:c>
      <x:c r="E74" s="38" t="str">
        <x:v>修订</x:v>
      </x:c>
      <x:c r="F74" s="38" t="str">
        <x:v>道具结构与手套尺度验证</x:v>
      </x:c>
    </x:row>
    <x:row r="75" ht="30" customHeight="1">
      <x:c r="A75" s="45" t="str">
        <x:v>P1</x:v>
      </x:c>
      <x:c r="B75" s="38" t="str">
        <x:v>BY-PRP-P1-008-主样品容器编号与固定座</x:v>
      </x:c>
      <x:c r="C75" s="38" t="str">
        <x:v>PRP</x:v>
      </x:c>
      <x:c r="D75" s="38" t="str">
        <x:v>主样品容器编号、封签与固定座</x:v>
      </x:c>
      <x:c r="E75" s="38" t="str">
        <x:v>保留候选</x:v>
      </x:c>
      <x:c r="F75" s="38" t="str">
        <x:v>与BY-PRP-P0-005形成容器系统</x:v>
      </x:c>
    </x:row>
    <x:row r="76" ht="30" customHeight="1">
      <x:c r="A76" s="45" t="str">
        <x:v>P1</x:v>
      </x:c>
      <x:c r="B76" s="38" t="str">
        <x:v>BY-PRP-P1-009-污染控制用品</x:v>
      </x:c>
      <x:c r="C76" s="38" t="str">
        <x:v>PRP</x:v>
      </x:c>
      <x:c r="D76" s="38" t="str">
        <x:v>月尘污染控制用品</x:v>
      </x:c>
      <x:c r="E76" s="38" t="str">
        <x:v>保留候选</x:v>
      </x:c>
      <x:c r="F76" s="38" t="str">
        <x:v>道具组轻量结构验证</x:v>
      </x:c>
    </x:row>
    <x:row r="77" ht="30" customHeight="1">
      <x:c r="A77" s="45" t="str">
        <x:v>P1</x:v>
      </x:c>
      <x:c r="B77" s="38" t="str">
        <x:v>BY-PRP-P1-010-返回舱样品柜与锁止</x:v>
      </x:c>
      <x:c r="C77" s="38" t="str">
        <x:v>PRP</x:v>
      </x:c>
      <x:c r="D77" s="38" t="str">
        <x:v>梦舟返回舱样品柜与锁止</x:v>
      </x:c>
      <x:c r="E77" s="38" t="str">
        <x:v>修订</x:v>
      </x:c>
      <x:c r="F77" s="38" t="str">
        <x:v>与梦舟返航构型联合验证</x:v>
      </x:c>
    </x:row>
    <x:row r="78" ht="30" customHeight="1">
      <x:c r="A78" s="45" t="str">
        <x:v>P1</x:v>
      </x:c>
      <x:c r="B78" s="38" t="str">
        <x:v>BY-PRP-P1-011-返回舱信标与现场安全工具</x:v>
      </x:c>
      <x:c r="C78" s="38" t="str">
        <x:v>PRP</x:v>
      </x:c>
      <x:c r="D78" s="38" t="str">
        <x:v>返回舱信标与现场安全处置工具</x:v>
      </x:c>
      <x:c r="E78" s="38" t="str">
        <x:v>修订</x:v>
      </x:c>
      <x:c r="F78" s="38" t="str">
        <x:v>搜救场景道具组</x:v>
      </x:c>
    </x:row>
    <x:row r="79" ht="30" customHeight="1">
      <x:c r="A79" s="45" t="str">
        <x:v>P1</x:v>
      </x:c>
      <x:c r="B79" s="38" t="str">
        <x:v>BY-SYM-P1-004-任务轨迹与相位图模板</x:v>
      </x:c>
      <x:c r="C79" s="38" t="str">
        <x:v>SYM</x:v>
      </x:c>
      <x:c r="D79" s="38" t="str">
        <x:v>任务轨迹、相位与走廊图后期模板</x:v>
      </x:c>
      <x:c r="E79" s="38" t="str">
        <x:v>重做</x:v>
      </x:c>
      <x:c r="F79" s="38" t="str">
        <x:v>跨场复用后期模板</x:v>
      </x:c>
    </x:row>
    <x:row r="80" ht="30" customHeight="1">
      <x:c r="A80" s="45" t="str">
        <x:v>P1</x:v>
      </x:c>
      <x:c r="B80" s="38" t="str">
        <x:v>BY-SYM-P1-005-样品编号与封签模板</x:v>
      </x:c>
      <x:c r="C80" s="38" t="str">
        <x:v>SYM</x:v>
      </x:c>
      <x:c r="D80" s="38" t="str">
        <x:v>样品编号、封签与接收状态模板</x:v>
      </x:c>
      <x:c r="E80" s="38" t="str">
        <x:v>保留候选</x:v>
      </x:c>
      <x:c r="F80" s="38" t="str">
        <x:v>与样品道具同步设计</x:v>
      </x:c>
    </x:row>
    <x:row r="81" ht="30" customHeight="1">
      <x:c r="A81" s="45" t="str">
        <x:v>P1</x:v>
      </x:c>
      <x:c r="B81" s="38" t="str">
        <x:v>BY-CRO-P1-002-深空测控值班团队</x:v>
      </x:c>
      <x:c r="C81" s="38" t="str">
        <x:v>CRO</x:v>
      </x:c>
      <x:c r="D81" s="38" t="str">
        <x:v>深空测控值班团队</x:v>
      </x:c>
      <x:c r="E81" s="38" t="str">
        <x:v>强制重做</x:v>
      </x:c>
      <x:c r="F81" s="38" t="str">
        <x:v>与测控场景配套</x:v>
      </x:c>
    </x:row>
    <x:row r="82" ht="30" customHeight="1">
      <x:c r="A82" s="45" t="str">
        <x:v>P1</x:v>
      </x:c>
      <x:c r="B82" s="38" t="str">
        <x:v>BY-CRO-P1-003-搜救与医疗团队</x:v>
      </x:c>
      <x:c r="C82" s="38" t="str">
        <x:v>CRO</x:v>
      </x:c>
      <x:c r="D82" s="38" t="str">
        <x:v>搜救、安全处置与医疗团队</x:v>
      </x:c>
      <x:c r="E82" s="38" t="str">
        <x:v>强制重做</x:v>
      </x:c>
      <x:c r="F82" s="38" t="str">
        <x:v>与搜救场景和载具配套</x:v>
      </x:c>
    </x:row>
    <x:row r="83" ht="30" customHeight="1">
      <x:c r="A83" s="45" t="str">
        <x:v>P1</x:v>
      </x:c>
      <x:c r="B83" s="38" t="str">
        <x:v>BY-VOI-P1-005-林海深空测控声音</x:v>
      </x:c>
      <x:c r="C83" s="38" t="str">
        <x:v>VOI</x:v>
      </x:c>
      <x:c r="D83" s="38" t="str">
        <x:v>林海深空测控稳定音色</x:v>
      </x:c>
      <x:c r="E83" s="38" t="str">
        <x:v>保留</x:v>
      </x:c>
      <x:c r="F83" s="38" t="str">
        <x:v>独立音色验证</x:v>
      </x:c>
    </x:row>
    <x:row r="84" ht="30" customHeight="1">
      <x:c r="A84" s="45" t="str">
        <x:v>P1</x:v>
      </x:c>
      <x:c r="B84" s="38" t="str">
        <x:v>BY-VOI-P1-006-叶河深空测控声音</x:v>
      </x:c>
      <x:c r="C84" s="38" t="str">
        <x:v>VOI</x:v>
      </x:c>
      <x:c r="D84" s="38" t="str">
        <x:v>叶河深空测控稳定音色</x:v>
      </x:c>
      <x:c r="E84" s="38" t="str">
        <x:v>保留</x:v>
      </x:c>
      <x:c r="F84" s="38" t="str">
        <x:v>独立音色验证</x:v>
      </x:c>
    </x:row>
    <x:row r="85" ht="30" customHeight="1">
      <x:c r="A85" s="45" t="str">
        <x:v>P1</x:v>
      </x:c>
      <x:c r="B85" s="38" t="str">
        <x:v>BY-VOI-P1-007-天衡测轨声音</x:v>
      </x:c>
      <x:c r="C85" s="38" t="str">
        <x:v>VOI</x:v>
      </x:c>
      <x:c r="D85" s="38" t="str">
        <x:v>天衡VLBI测轨稳定音色</x:v>
      </x:c>
      <x:c r="E85" s="38" t="str">
        <x:v>保留</x:v>
      </x:c>
      <x:c r="F85" s="38" t="str">
        <x:v>独立音色验证</x:v>
      </x:c>
    </x:row>
    <x:row r="86" ht="30" customHeight="1">
      <x:c r="A86" s="45" t="str">
        <x:v>P1</x:v>
      </x:c>
      <x:c r="B86" s="38" t="str">
        <x:v>BY-VOI-P1-008-搜救指挥声音</x:v>
      </x:c>
      <x:c r="C86" s="38" t="str">
        <x:v>VOI</x:v>
      </x:c>
      <x:c r="D86" s="38" t="str">
        <x:v>东风着陆场调度／搜救指挥稳定音色</x:v>
      </x:c>
      <x:c r="E86" s="38" t="str">
        <x:v>保留</x:v>
      </x:c>
      <x:c r="F86" s="38" t="str">
        <x:v>独立音色资产；正式镜头中的通话随视频同步生成。</x:v>
      </x:c>
    </x:row>
    <x:row r="87" ht="30" customHeight="1">
      <x:c r="A87" s="45" t="str">
        <x:v>P1</x:v>
      </x:c>
      <x:c r="B87" s="38" t="str">
        <x:v>BY-VOI-P1-009-小天任务智能体声音</x:v>
      </x:c>
      <x:c r="C87" s="38" t="str">
        <x:v>VOI</x:v>
      </x:c>
      <x:c r="D87" s="38" t="str">
        <x:v>小天任务智能体稳定音色</x:v>
      </x:c>
      <x:c r="E87" s="38" t="str">
        <x:v>保留</x:v>
      </x:c>
      <x:c r="F87" s="38" t="str">
        <x:v>独立音色验证</x:v>
      </x:c>
    </x:row>
    <x:row r="88" ht="30" customHeight="1">
      <x:c r="A88" s="45" t="str">
        <x:v>P1</x:v>
      </x:c>
      <x:c r="B88" s="38" t="str">
        <x:v>BY-VOI-P1-010-北京地质席声音</x:v>
      </x:c>
      <x:c r="C88" s="38" t="str">
        <x:v>VOI</x:v>
      </x:c>
      <x:c r="D88" s="38" t="str">
        <x:v>北京地质席稳定音色</x:v>
      </x:c>
      <x:c r="E88" s="38" t="str">
        <x:v>保留</x:v>
      </x:c>
      <x:c r="F88" s="38" t="str">
        <x:v>独立音色验证</x:v>
      </x:c>
    </x:row>
    <x:row r="89" ht="30" customHeight="1">
      <x:c r="A89" s="45" t="str">
        <x:v>P1</x:v>
      </x:c>
      <x:c r="B89" s="38" t="str">
        <x:v>BY-VOI-P1-011-现场指挥声音</x:v>
      </x:c>
      <x:c r="C89" s="38" t="str">
        <x:v>VOI</x:v>
      </x:c>
      <x:c r="D89" s="38" t="str">
        <x:v>回收现场指挥稳定音色</x:v>
      </x:c>
      <x:c r="E89" s="38" t="str">
        <x:v>保留</x:v>
      </x:c>
      <x:c r="F89" s="38" t="str">
        <x:v>独立音色验证</x:v>
      </x:c>
    </x:row>
    <x:row r="90" ht="30" customHeight="1">
      <x:c r="A90" s="45" t="str">
        <x:v>P1</x:v>
      </x:c>
      <x:c r="B90" s="38" t="str">
        <x:v>BY-CHR-P1-004-何文澜</x:v>
      </x:c>
      <x:c r="C90" s="38" t="str">
        <x:v>CHR</x:v>
      </x:c>
      <x:c r="D90" s="38" t="str">
        <x:v>何文澜</x:v>
      </x:c>
      <x:c r="E90" s="38" t="str">
        <x:v>保留候选</x:v>
      </x:c>
      <x:c r="F90" s="38" t="str">
        <x:v>建立正面、三分之四与双人采访构图</x:v>
      </x:c>
    </x:row>
    <x:row r="91" ht="30" customHeight="1">
      <x:c r="A91" s="45" t="str">
        <x:v>P1</x:v>
      </x:c>
      <x:c r="B91" s="38" t="str">
        <x:v>BY-CHR-P1-005-孙亦川</x:v>
      </x:c>
      <x:c r="C91" s="38" t="str">
        <x:v>CHR</x:v>
      </x:c>
      <x:c r="D91" s="38" t="str">
        <x:v>孙亦川</x:v>
      </x:c>
      <x:c r="E91" s="38" t="str">
        <x:v>保留候选</x:v>
      </x:c>
      <x:c r="F91" s="38" t="str">
        <x:v>与历史停用角色“孙屹川”严格区分，不复用旧脸与旧音色</x:v>
      </x:c>
    </x:row>
    <x:row r="92" ht="30" customHeight="1">
      <x:c r="A92" s="45" t="str">
        <x:v>P1</x:v>
      </x:c>
      <x:c r="B92" s="38" t="str">
        <x:v>BY-CHR-P1-006-顾青岚</x:v>
      </x:c>
      <x:c r="C92" s="38" t="str">
        <x:v>CHR</x:v>
      </x:c>
      <x:c r="D92" s="38" t="str">
        <x:v>顾青岚</x:v>
      </x:c>
      <x:c r="E92" s="38" t="str">
        <x:v>保留候选</x:v>
      </x:c>
      <x:c r="F92" s="38" t="str">
        <x:v>建立与地质图双人采访和指图动作</x:v>
      </x:c>
    </x:row>
    <x:row r="93" ht="30" customHeight="1">
      <x:c r="A93" s="45" t="str">
        <x:v>P1</x:v>
      </x:c>
      <x:c r="B93" s="38" t="str">
        <x:v>BY-CST-P1-006-何文澜专家服装</x:v>
      </x:c>
      <x:c r="C93" s="38" t="str">
        <x:v>CST</x:v>
      </x:c>
      <x:c r="D93" s="38" t="str">
        <x:v>何文澜专家服装</x:v>
      </x:c>
      <x:c r="E93" s="38" t="str">
        <x:v>保留候选</x:v>
      </x:c>
      <x:c r="F93" s="38" t="str">
        <x:v>与何文澜人物资产绑定</x:v>
      </x:c>
    </x:row>
    <x:row r="94" ht="30" customHeight="1">
      <x:c r="A94" s="45" t="str">
        <x:v>P1</x:v>
      </x:c>
      <x:c r="B94" s="38" t="str">
        <x:v>BY-CST-P1-007-孙亦川专家服装</x:v>
      </x:c>
      <x:c r="C94" s="38" t="str">
        <x:v>CST</x:v>
      </x:c>
      <x:c r="D94" s="38" t="str">
        <x:v>孙亦川专家服装</x:v>
      </x:c>
      <x:c r="E94" s="38" t="str">
        <x:v>保留候选</x:v>
      </x:c>
      <x:c r="F94" s="38" t="str">
        <x:v>与孙亦川人物资产绑定</x:v>
      </x:c>
    </x:row>
    <x:row r="95" ht="30" customHeight="1">
      <x:c r="A95" s="45" t="str">
        <x:v>P1</x:v>
      </x:c>
      <x:c r="B95" s="38" t="str">
        <x:v>BY-CST-P1-008-顾青岚专家服装</x:v>
      </x:c>
      <x:c r="C95" s="38" t="str">
        <x:v>CST</x:v>
      </x:c>
      <x:c r="D95" s="38" t="str">
        <x:v>顾青岚专家服装</x:v>
      </x:c>
      <x:c r="E95" s="38" t="str">
        <x:v>保留候选</x:v>
      </x:c>
      <x:c r="F95" s="38" t="str">
        <x:v>与顾青岚人物资产绑定</x:v>
      </x:c>
    </x:row>
    <x:row r="96" ht="30" customHeight="1">
      <x:c r="A96" s="45" t="str">
        <x:v>P1</x:v>
      </x:c>
      <x:c r="B96" s="38" t="str">
        <x:v>BY-VOI-P1-012-何文澜声音</x:v>
      </x:c>
      <x:c r="C96" s="38" t="str">
        <x:v>VOI</x:v>
      </x:c>
      <x:c r="D96" s="38" t="str">
        <x:v>何文澜稳定音色</x:v>
      </x:c>
      <x:c r="E96" s="38" t="str">
        <x:v>保留</x:v>
      </x:c>
      <x:c r="F96" s="38" t="str">
        <x:v>独立制作、确认和登记；正式镜头对白同步生成</x:v>
      </x:c>
    </x:row>
    <x:row r="97" ht="30" customHeight="1">
      <x:c r="A97" s="45" t="str">
        <x:v>P1</x:v>
      </x:c>
      <x:c r="B97" s="38" t="str">
        <x:v>BY-VOI-P1-013-孙亦川声音</x:v>
      </x:c>
      <x:c r="C97" s="38" t="str">
        <x:v>VOI</x:v>
      </x:c>
      <x:c r="D97" s="38" t="str">
        <x:v>孙亦川稳定音色</x:v>
      </x:c>
      <x:c r="E97" s="38" t="str">
        <x:v>保留</x:v>
      </x:c>
      <x:c r="F97" s="38" t="str">
        <x:v>独立制作、确认和登记；正式镜头对白同步生成</x:v>
      </x:c>
    </x:row>
    <x:row r="98" ht="30" customHeight="1">
      <x:c r="A98" s="45" t="str">
        <x:v>P1</x:v>
      </x:c>
      <x:c r="B98" s="38" t="str">
        <x:v>BY-VOI-P1-014-顾青岚声音</x:v>
      </x:c>
      <x:c r="C98" s="38" t="str">
        <x:v>VOI</x:v>
      </x:c>
      <x:c r="D98" s="38" t="str">
        <x:v>顾青岚稳定音色</x:v>
      </x:c>
      <x:c r="E98" s="38" t="str">
        <x:v>保留</x:v>
      </x:c>
      <x:c r="F98" s="38" t="str">
        <x:v>独立制作、确认和登记；正式镜头对白同步生成</x:v>
      </x:c>
    </x:row>
    <x:row r="99" ht="30" customHeight="1">
      <x:c r="A99" s="45" t="str">
        <x:v>P1</x:v>
      </x:c>
      <x:c r="B99" s="38" t="str">
        <x:v>BY-VOI-P1-015-医监人员声音</x:v>
      </x:c>
      <x:c r="C99" s="38" t="str">
        <x:v>VOI</x:v>
      </x:c>
      <x:c r="D99" s="38" t="str">
        <x:v>东风医监人员稳定音色</x:v>
      </x:c>
      <x:c r="E99" s="38" t="str">
        <x:v>保留</x:v>
      </x:c>
      <x:c r="F99" s="38" t="str">
        <x:v>独立登记；正式镜头通话同步生成</x:v>
      </x:c>
    </x:row>
    <x:row r="100" ht="30" customHeight="1">
      <x:c r="A100" s="45" t="str">
        <x:v>P1</x:v>
      </x:c>
      <x:c r="B100" s="38" t="str">
        <x:v>BY-SCN-P1-012-东风医监开舱作业区</x:v>
      </x:c>
      <x:c r="C100" s="38" t="str">
        <x:v>SCN</x:v>
      </x:c>
      <x:c r="D100" s="38" t="str">
        <x:v>东风医监医保与开舱作业区</x:v>
      </x:c>
      <x:c r="E100" s="38" t="str">
        <x:v>强制重做</x:v>
      </x:c>
      <x:c r="F100" s="38" t="str">
        <x:v>建立俯视总图、开舱侧视、医疗转移和样品交接四类视图</x:v>
      </x:c>
    </x:row>
    <x:row r="101" ht="30" customHeight="1">
      <x:c r="A101" s="45" t="str">
        <x:v>P1</x:v>
      </x:c>
      <x:c r="B101" s="38" t="str">
        <x:v>BY-PRP-P1-012-月球车任务相机组</x:v>
      </x:c>
      <x:c r="C101" s="38" t="str">
        <x:v>PRP</x:v>
      </x:c>
      <x:c r="D101" s="38" t="str">
        <x:v>月球车前向与侧后固定相机组</x:v>
      </x:c>
      <x:c r="E101" s="38" t="str">
        <x:v>保留候选</x:v>
      </x:c>
      <x:c r="F101" s="38" t="str">
        <x:v>所有月球车视角复用同一标定参数</x:v>
      </x:c>
    </x:row>
    <x:row r="102" ht="30" customHeight="1">
      <x:c r="A102" s="45" t="str">
        <x:v>P1</x:v>
      </x:c>
      <x:c r="B102" s="38" t="str">
        <x:v>BY-PRP-P1-013-东风样品接收设备</x:v>
      </x:c>
      <x:c r="C102" s="38" t="str">
        <x:v>PRP</x:v>
      </x:c>
      <x:c r="D102" s="38" t="str">
        <x:v>东风样品接收箱、封签与交接设备</x:v>
      </x:c>
      <x:c r="E102" s="38" t="str">
        <x:v>修订</x:v>
      </x:c>
      <x:c r="F102" s="38" t="str">
        <x:v>与BY-SYM-P1-005共同使用</x:v>
      </x:c>
    </x:row>
    <x:row r="103" ht="30" customHeight="1">
      <x:c r="A103" s="45" t="str">
        <x:v>P1</x:v>
      </x:c>
      <x:c r="B103" s="38" t="str">
        <x:v>BY-PRP-P1-014-宇航服任务相机</x:v>
      </x:c>
      <x:c r="C103" s="38" t="str">
        <x:v>PRP</x:v>
      </x:c>
      <x:c r="D103" s="38" t="str">
        <x:v>望宇登月服任务相机与图像链路</x:v>
      </x:c>
      <x:c r="E103" s="38" t="str">
        <x:v>保留候选</x:v>
      </x:c>
      <x:c r="F103" s="38" t="str">
        <x:v>分别绑定杨凛与陈砚服装资产</x:v>
      </x:c>
    </x:row>
    <x:row r="104" ht="30" customHeight="1">
      <x:c r="A104" s="45" t="str">
        <x:v>P1</x:v>
      </x:c>
      <x:c r="B104" s="38" t="str">
        <x:v>BY-PRP-P1-015-航天器任务相机组</x:v>
      </x:c>
      <x:c r="C104" s="38" t="str">
        <x:v>PRP</x:v>
      </x:c>
      <x:c r="D104" s="38" t="str">
        <x:v>梦舟／揽月任务相机组</x:v>
      </x:c>
      <x:c r="E104" s="38" t="str">
        <x:v>修订</x:v>
      </x:c>
      <x:c r="F104" s="38" t="str">
        <x:v>任务证据视角优先于视觉重建</x:v>
      </x:c>
    </x:row>
    <x:row r="105" ht="30" customHeight="1">
      <x:c r="A105" s="45" t="str">
        <x:v>P1</x:v>
      </x:c>
      <x:c r="B105" s="38" t="str">
        <x:v>BY-SYM-P1-006-视觉重建来源标识</x:v>
      </x:c>
      <x:c r="C105" s="38" t="str">
        <x:v>SYM</x:v>
      </x:c>
      <x:c r="D105" s="38" t="str">
        <x:v>“基于实时遥测的视觉重建”来源标识</x:v>
      </x:c>
      <x:c r="E105" s="38" t="str">
        <x:v>重做</x:v>
      </x:c>
      <x:c r="F105" s="38" t="str">
        <x:v>后期叠加，不写入载具屏幕</x:v>
      </x:c>
    </x:row>
    <x:row r="106" ht="30" customHeight="1">
      <x:c r="A106" s="45" t="str">
        <x:v>P1</x:v>
      </x:c>
      <x:c r="B106" s="38" t="str">
        <x:v>BY-SYM-P1-007-直播进口出口与倒计时</x:v>
      </x:c>
      <x:c r="C106" s="38" t="str">
        <x:v>SYM</x:v>
      </x:c>
      <x:c r="D106" s="38" t="str">
        <x:v>三段直播进口、出口与任务倒计时图形</x:v>
      </x:c>
      <x:c r="E106" s="38" t="str">
        <x:v>重做</x:v>
      </x:c>
      <x:c r="F106" s="38" t="str">
        <x:v>与任务时间标牌统一设计语言</x:v>
      </x:c>
    </x:row>
    <x:row r="107" ht="30" customHeight="1">
      <x:c r="A107" s="45" t="str">
        <x:v>P1</x:v>
      </x:c>
      <x:c r="B107" s="38" t="str">
        <x:v>BY-SYM-P1-008-东风搜救时间压缩</x:v>
      </x:c>
      <x:c r="C107" s="38" t="str">
        <x:v>SYM</x:v>
      </x:c>
      <x:c r="D107" s="38" t="str">
        <x:v>东风搜救抵达时间压缩标牌</x:v>
      </x:c>
      <x:c r="E107" s="38" t="str">
        <x:v>重做</x:v>
      </x:c>
      <x:c r="F107" s="38" t="str">
        <x:v>给足阅读时间</x:v>
      </x:c>
    </x:row>
    <x:row r="108" ht="30" customHeight="1">
      <x:c r="A108" s="45" t="str">
        <x:v>P1</x:v>
      </x:c>
      <x:c r="B108" s="38" t="str">
        <x:v>BY-SCN-P1-013-深空测控内部值班区</x:v>
      </x:c>
      <x:c r="C108" s="38" t="str">
        <x:v>SCN</x:v>
      </x:c>
      <x:c r="D108" s="38" t="str">
        <x:v>深空测控内部值班区</x:v>
      </x:c>
      <x:c r="E108" s="38" t="str">
        <x:v>新增重做</x:v>
      </x:c>
      <x:c r="F108" s="38" t="str">
        <x:v>先闭合RF席位职责与内部画面逻辑，再生成；外部天线不替代内部通话画面</x:v>
      </x:c>
    </x:row>
    <x:row r="109" ht="30" customHeight="1">
      <x:c r="A109" s="45" t="str">
        <x:v>P1</x:v>
      </x:c>
      <x:c r="B109" s="38" t="str">
        <x:v>BY-SYM-P1-009-RF光通信双链路状态界面</x:v>
      </x:c>
      <x:c r="C109" s="38" t="str">
        <x:v>SYM</x:v>
      </x:c>
      <x:c r="D109" s="38" t="str">
        <x:v>RF与光通信双链路状态界面</x:v>
      </x:c>
      <x:c r="E109" s="38" t="str">
        <x:v>新增重做</x:v>
      </x:c>
      <x:c r="F109" s="38" t="str">
        <x:v>不得把射电天线画成激光站；不得表现光链消除地月时延或绕过黑障</x:v>
      </x:c>
    </x:row>
    <x:row r="110" ht="30" customHeight="1">
      <x:c r="A110" s="47" t="str">
        <x:v>P3</x:v>
      </x:c>
      <x:c r="B110" s="38" t="str">
        <x:v>BY-SCN-P1-007-佳木斯66米深空测控站</x:v>
      </x:c>
      <x:c r="C110" s="38" t="str">
        <x:v>SCN</x:v>
      </x:c>
      <x:c r="D110" s="38" t="str">
        <x:v>佳木斯66米深空测控站</x:v>
      </x:c>
      <x:c r="E110" s="38" t="str">
        <x:v>P3空镜候选</x:v>
      </x:c>
      <x:c r="F110" s="38" t="str">
        <x:v>天线MASTER、长焦跟踪、值班工作区</x:v>
      </x:c>
    </x:row>
    <x:row r="111" ht="30" customHeight="1">
      <x:c r="A111" s="47" t="str">
        <x:v>P3</x:v>
      </x:c>
      <x:c r="B111" s="38" t="str">
        <x:v>BY-SCN-P1-008-喀什35米深空测控站</x:v>
      </x:c>
      <x:c r="C111" s="38" t="str">
        <x:v>SCN</x:v>
      </x:c>
      <x:c r="D111" s="38" t="str">
        <x:v>喀什35米深空测控站</x:v>
      </x:c>
      <x:c r="E111" s="38" t="str">
        <x:v>P3空镜候选</x:v>
      </x:c>
      <x:c r="F111" s="38" t="str">
        <x:v>天线MASTER、跟踪状态视图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bff1e0e11d474241"/>
  </x:tableParts>
</x:worksheet>
</file>

<file path=xl/worksheets/sheet6.xml><?xml version="1.0" encoding="utf-8"?>
<x:worksheet xmlns:x="http://schemas.openxmlformats.org/spreadsheetml/2006/main">
  <x:sheetPr>
    <x:tabColor rgb="FFC0000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49" hidden="0" customWidth="1"/>
    <x:col min="4" max="4" width="44" hidden="0" customWidth="1"/>
    <x:col min="5" max="5" width="44" hidden="0" customWidth="1"/>
    <x:col min="6" max="6" width="27" hidden="0" customWidth="1"/>
    <x:col min="7" max="7" width="55" hidden="0" customWidth="1"/>
    <x:col min="8" max="8" width="10" hidden="0" customWidth="1"/>
  </x:cols>
  <x:sheetData>
    <x:row r="1" ht="30" customHeight="1">
      <x:c r="A1" s="3" t="str">
        <x:v>屏幕、席位职责与人员调度｜强制重做清单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这部分不以“修图”解决：先做职责与信息矩阵，再做空间／人群母图，最后做屏幕图形与逐场调度。</x:v>
      </x:c>
      <x:c r="B2" s="7"/>
      <x:c r="C2" s="7"/>
      <x:c r="D2" s="7"/>
      <x:c r="E2" s="7"/>
      <x:c r="F2" s="7"/>
      <x:c r="G2" s="7"/>
      <x:c r="H2" s="7"/>
    </x:row>
    <x:row r="5" ht="30" customHeight="1">
      <x:c r="A5" s="34" t="str">
        <x:v>重做包</x:v>
      </x:c>
      <x:c r="B5" s="34" t="str">
        <x:v>对象</x:v>
      </x:c>
      <x:c r="C5" s="34" t="str">
        <x:v>相关资产／镜头</x:v>
      </x:c>
      <x:c r="D5" s="34" t="str">
        <x:v>为什么必须重做</x:v>
      </x:c>
      <x:c r="E5" s="34" t="str">
        <x:v>本轮交付</x:v>
      </x:c>
      <x:c r="F5" s="34" t="str">
        <x:v>先决核查</x:v>
      </x:c>
      <x:c r="G5" s="34" t="str">
        <x:v>验收红线</x:v>
      </x:c>
      <x:c r="H5" s="34" t="str">
        <x:v>优先级</x:v>
      </x:c>
    </x:row>
    <x:row r="6" ht="62" customHeight="1">
      <x:c r="A6" s="38" t="str">
        <x:v>PKG-CTRL-001</x:v>
      </x:c>
      <x:c r="B6" s="38" t="str">
        <x:v>北京飞控大厅空间与席位矩阵</x:v>
      </x:c>
      <x:c r="C6" s="38" t="str">
        <x:v>BY-SCN-P0-006；BY-CRO-P1-001；镜006/015/026/040/045/091/103/117</x:v>
      </x:c>
      <x:c r="D6" s="38" t="str">
        <x:v>旧图的屏幕、岗位标签、人数和站位不能继承</x:v>
      </x:c>
      <x:c r="E6" s="38" t="str">
        <x:v>空间母图＋席位职责表＋各阶段人员状态变体</x:v>
      </x:c>
      <x:c r="F6" s="38" t="str">
        <x:v>航天器构型、RF／光通信、再入回收</x:v>
      </x:c>
      <x:c r="G6" s="38" t="str">
        <x:v>每一席位有明确输入、职责、授权边界；非关键人员不做整齐摆拍</x:v>
      </x:c>
      <x:c r="H6" s="40" t="str">
        <x:v>P0</x:v>
      </x:c>
    </x:row>
    <x:row r="7" ht="62" customHeight="1">
      <x:c r="A7" s="38" t="str">
        <x:v>PKG-CTRL-002</x:v>
      </x:c>
      <x:c r="B7" s="38" t="str">
        <x:v>飞控主屏／副屏信息架构</x:v>
      </x:c>
      <x:c r="C7" s="38" t="str">
        <x:v>BY-SYM-P0-003；BY-SCN-P0-006；镜011/034/091/103</x:v>
      </x:c>
      <x:c r="D7" s="38" t="str">
        <x:v>V1.3.2新增日期、链路与状态门，旧屏信息失效</x:v>
      </x:c>
      <x:c r="E7" s="38" t="str">
        <x:v>阶段化屏幕母版：对接／下降／出舱／返航／再入／搜救</x:v>
      </x:c>
      <x:c r="F7" s="38" t="str">
        <x:v>四项顾问按画面阶段签核</x:v>
      </x:c>
      <x:c r="G7" s="38" t="str">
        <x:v>屏幕只显示当前席位能获取的数据；不能用科幻装饰替代任务状态</x:v>
      </x:c>
      <x:c r="H7" s="40" t="str">
        <x:v>P0</x:v>
      </x:c>
    </x:row>
    <x:row r="8" ht="62" customHeight="1">
      <x:c r="A8" s="38" t="str">
        <x:v>PKG-CAB-001</x:v>
      </x:c>
      <x:c r="B8" s="38" t="str">
        <x:v>梦舟／揽月舱内座位、岗位与界面</x:v>
      </x:c>
      <x:c r="C8" s="38" t="str">
        <x:v>BY-SCN-P0-001/003/005；BY-PRP-P0-001；BY-PRP-P1-006；镜005/052等</x:v>
      </x:c>
      <x:c r="D8" s="38" t="str">
        <x:v>座位职责与操作动作必须能被空间结构支撑</x:v>
      </x:c>
      <x:c r="E8" s="38" t="str">
        <x:v>三座／双人状态母图＋界面区域＋转移路径</x:v>
      </x:c>
      <x:c r="F8" s="38" t="str">
        <x:v>航天器构型</x:v>
      </x:c>
      <x:c r="G8" s="38" t="str">
        <x:v>座椅、束缚、舱门、操作区、人体可达性互相一致</x:v>
      </x:c>
      <x:c r="H8" s="40" t="str">
        <x:v>P0</x:v>
      </x:c>
    </x:row>
    <x:row r="9" ht="62" customHeight="1">
      <x:c r="A9" s="38" t="str">
        <x:v>PKG-DSN-001</x:v>
      </x:c>
      <x:c r="B9" s="38" t="str">
        <x:v>深空测控内部值班区</x:v>
      </x:c>
      <x:c r="C9" s="38" t="str">
        <x:v>BY-SCN-P1-013；BY-CRO-P1-002；镜007/082</x:v>
      </x:c>
      <x:c r="D9" s="38" t="str">
        <x:v>通话画面应落到内部人员，不能长期用外部天线代替</x:v>
      </x:c>
      <x:c r="E9" s="38" t="str">
        <x:v>内部任务区母图＋林海／叶河等岗位绑定＋站点差异变体</x:v>
      </x:c>
      <x:c r="F9" s="38" t="str">
        <x:v>RF／光通信</x:v>
      </x:c>
      <x:c r="G9" s="38" t="str">
        <x:v>66米／35米射电系统保持RF身份；内部席位可解释遥测、测距、语音链路</x:v>
      </x:c>
      <x:c r="H9" s="40" t="str">
        <x:v>P1</x:v>
      </x:c>
    </x:row>
    <x:row r="10" ht="62" customHeight="1">
      <x:c r="A10" s="38" t="str">
        <x:v>PKG-COM-001</x:v>
      </x:c>
      <x:c r="B10" s="38" t="str">
        <x:v>RF／光通信双链路界面</x:v>
      </x:c>
      <x:c r="C10" s="38" t="str">
        <x:v>BY-SYM-P1-009；BY-REL-P1-011；镜060A/061A</x:v>
      </x:c>
      <x:c r="D10" s="38" t="str">
        <x:v>新增光链转站、停帧与缓存补传，旧单链路屏幕不适用</x:v>
      </x:c>
      <x:c r="E10" s="38" t="str">
        <x:v>双链状态图、转站状态、缓存补传状态</x:v>
      </x:c>
      <x:c r="F10" s="38" t="str">
        <x:v>RF／光通信</x:v>
      </x:c>
      <x:c r="G10" s="38" t="str">
        <x:v>光链不替代RF安全链，不消除约1.3秒单程光时延，不绕过黑障</x:v>
      </x:c>
      <x:c r="H10" s="40" t="str">
        <x:v>P1</x:v>
      </x:c>
    </x:row>
    <x:row r="11" ht="62" customHeight="1">
      <x:c r="A11" s="38" t="str">
        <x:v>PKG-MEDIA-001</x:v>
      </x:c>
      <x:c r="B11" s="38" t="str">
        <x:v>飞控媒体区屏幕与人员流线</x:v>
      </x:c>
      <x:c r="C11" s="38" t="str">
        <x:v>BY-SCN-P1-003；镜003/020/027/035/047/048/051/065/066/088/092</x:v>
      </x:c>
      <x:c r="D11" s="38" t="str">
        <x:v>记者、专家、工作人员的画面关系需匹配新的任务阶段</x:v>
      </x:c>
      <x:c r="E11" s="38" t="str">
        <x:v>固定媒体位＋专家解释位＋屏幕视线／出入动线</x:v>
      </x:c>
      <x:c r="F11" s="38" t="str">
        <x:v>屏幕信息架构；任务阶段</x:v>
      </x:c>
      <x:c r="G11" s="38" t="str">
        <x:v>记者不进入飞控工作大厅；媒体人员不遮挡任务画面</x:v>
      </x:c>
      <x:c r="H11" s="40" t="str">
        <x:v>P1</x:v>
      </x:c>
    </x:row>
    <x:row r="12" ht="62" customHeight="1">
      <x:c r="A12" s="38" t="str">
        <x:v>PKG-SAR-001</x:v>
      </x:c>
      <x:c r="B12" s="38" t="str">
        <x:v>东风搜救指挥与现场调度</x:v>
      </x:c>
      <x:c r="C12" s="38" t="str">
        <x:v>BY-SCN-P0-008/P1-011/P1-012；BY-CRO-P1-003；镜094/103/117</x:v>
      </x:c>
      <x:c r="D12" s="38" t="str">
        <x:v>搜救、医监和样品交接是并行状态门，不是单一庆祝场面</x:v>
      </x:c>
      <x:c r="E12" s="38" t="str">
        <x:v>指挥区／现场区／医监区／样品线的职责与动线</x:v>
      </x:c>
      <x:c r="F12" s="38" t="str">
        <x:v>再入回收</x:v>
      </x:c>
      <x:c r="G12" s="38" t="str">
        <x:v>人员与车辆数量有任务理由；开舱前完成外部安全处置与医监准备</x:v>
      </x:c>
      <x:c r="H12" s="40" t="str">
        <x:v>P0</x:v>
      </x:c>
    </x:row>
    <x:row r="13" ht="62" customHeight="1">
      <x:c r="A13" s="38" t="str">
        <x:v>PKG-EMPTY-001</x:v>
      </x:c>
      <x:c r="B13" s="38" t="str">
        <x:v>佳木斯、喀什天线外景</x:v>
      </x:c>
      <x:c r="C13" s="38" t="str">
        <x:v>BY-SCN-P1-007/008；镜007/082附近</x:v>
      </x:c>
      <x:c r="D13" s="38" t="str">
        <x:v>叙事使用低，只承担地点建立与短空镜</x:v>
      </x:c>
      <x:c r="E13" s="38" t="str">
        <x:v>保留现图为低频候选，必要时仅做公开构型校准</x:v>
      </x:c>
      <x:c r="F13" s="38" t="str">
        <x:v>RF／光通信</x:v>
      </x:c>
      <x:c r="G13" s="38" t="str">
        <x:v>P3；通话时优先内部人员画面；不得误写为光学地面站</x:v>
      </x:c>
      <x:c r="H13" s="40" t="str">
        <x:v>P3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6d8ae22683e946d0"/>
  </x:tableParts>
</x:worksheet>
</file>

<file path=xl/worksheets/sheet7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56" hidden="0" customWidth="1"/>
    <x:col min="4" max="4" width="58" hidden="0" customWidth="1"/>
    <x:col min="5" max="5" width="50" hidden="0" customWidth="1"/>
    <x:col min="6" max="6" width="45" hidden="0" customWidth="1"/>
    <x:col min="7" max="7" width="52" hidden="0" customWidth="1"/>
    <x:col min="8" max="8" width="56" hidden="0" customWidth="1"/>
  </x:cols>
  <x:sheetData>
    <x:row r="1" ht="30" customHeight="1">
      <x:c r="A1" s="3" t="str">
        <x:v>四项专业顾问核查｜首轮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已将事实、可用推断与待核事项分开。‘已启动’不等于全部锁死；月面精确太阳几何仍等待UTC/T+零点，2029任务未公开参数均保留为艺术推演。</x:v>
      </x:c>
      <x:c r="B2" s="7"/>
      <x:c r="C2" s="7"/>
      <x:c r="D2" s="7"/>
      <x:c r="E2" s="7"/>
      <x:c r="F2" s="7"/>
      <x:c r="G2" s="7"/>
      <x:c r="H2" s="7"/>
    </x:row>
    <x:row r="5" ht="30" customHeight="1">
      <x:c r="A5" s="34" t="str">
        <x:v>核查专题</x:v>
      </x:c>
      <x:c r="B5" s="34" t="str">
        <x:v>状态</x:v>
      </x:c>
      <x:c r="C5" s="34" t="str">
        <x:v>已核事实</x:v>
      </x:c>
      <x:c r="D5" s="34" t="str">
        <x:v>本片可用推断</x:v>
      </x:c>
      <x:c r="E5" s="34" t="str">
        <x:v>待核／未锁定</x:v>
      </x:c>
      <x:c r="F5" s="34" t="str">
        <x:v>直接影响资产</x:v>
      </x:c>
      <x:c r="G5" s="34" t="str">
        <x:v>制作禁项</x:v>
      </x:c>
      <x:c r="H5" s="34" t="str">
        <x:v>官方来源</x:v>
      </x:c>
    </x:row>
    <x:row r="6" ht="108" customHeight="1">
      <x:c r="A6" s="38" t="str">
        <x:v>航天器构型</x:v>
      </x:c>
      <x:c r="B6" s="41" t="str">
        <x:v>已启动｜首轮事实核查完成</x:v>
      </x:c>
      <x:c r="C6" s="38" t="str">
        <x:v>揽月由登月舱与推进舱组成，承担2名航天员月轨—月面往返，并可携带月球车／科学载荷；梦舟公开方向为返回舱＋服务舱模块化构型。</x:v>
      </x:c>
      <x:c r="D6" s="38" t="str">
        <x:v>可建立‘梦舟月轨组合体—返回舱独立再入’与‘揽月完整组合体—月面任务状态’两条状态链；座椅、舱门、承力与设备应共享制造逻辑。</x:v>
      </x:c>
      <x:c r="E6" s="38" t="str">
        <x:v>正式任务精确外形、接口、舱段分离／处置细节未完全公开；需在公开边界内做艺术推演。</x:v>
      </x:c>
      <x:c r="F6" s="38" t="str">
        <x:v>VEH全部核心构型；梦舟／揽月舱内；座椅、舱门、月球车、任务相机</x:v>
      </x:c>
      <x:c r="G6" s="38" t="str">
        <x:v>禁止照搬阿波罗上升级／下降级；禁止把未公开细节写成官方已定型参数。</x:v>
      </x:c>
      <x:c r="H6" s="38" t="str">
        <x:v>https://www.cmse.gov.cn/xwzx/202508/t20250807_56817.html
https://www.cmse.gov.cn/fxrw/czwhbyzhj/zhxw/202005/t20200514_46562.html
https://www.cmse.gov.cn/gfgg/202305/t20230529_53607.html</x:v>
      </x:c>
    </x:row>
    <x:row r="7" ht="108" customHeight="1">
      <x:c r="A7" s="38" t="str">
        <x:v>月面光照</x:v>
      </x:c>
      <x:c r="B7" s="41" t="str">
        <x:v>已启动｜待精确UTC闭合</x:v>
      </x:c>
      <x:c r="C7" s="38" t="str">
        <x:v>项目锁定坐标11.97°N、3.21°W；任务日改为2029-04-22；低太阳高度、单一硬光和长阴影方向成立。</x:v>
      </x:c>
      <x:c r="D7" s="38" t="str">
        <x:v>Deakins方法只用于来源光、空间清晰度与暗部动作可读性；可用同一太阳向统一月面MASTER与衍生镜头。</x:v>
      </x:c>
      <x:c r="E7" s="38" t="str">
        <x:v>具体UTC／北京时间与T+零点尚未锁；因此太阳方位角、高度角和影长比例暂不写死。</x:v>
      </x:c>
      <x:c r="F7" s="38" t="str">
        <x:v>月面着陆作业区、科考区、望宇服、揽月外部、月尘VFX、月球车</x:v>
      </x:c>
      <x:c r="G7" s="38" t="str">
        <x:v>废止旧225°／22°艺术化固定值；禁止天空散射光、双太阳、柔和大气阴影。</x:v>
      </x:c>
      <x:c r="H7" s="38" t="str">
        <x:v>https://ssd.jpl.nasa.gov/horizons/tutorial.html
V1.3.2事实依据F1中的JPL Horizons查询式</x:v>
      </x:c>
    </x:row>
    <x:row r="8" ht="108" customHeight="1">
      <x:c r="A8" s="38" t="str">
        <x:v>RF／光通信</x:v>
      </x:c>
      <x:c r="B8" s="41" t="str">
        <x:v>已启动｜首轮架构核查完成</x:v>
      </x:c>
      <x:c r="C8" s="38" t="str">
        <x:v>佳木斯66米、喀什4×35米属于深空射频测控体系；地月双向激光通信已公开验证高带宽能力，但依赖精密指向和地面光学终端。</x:v>
      </x:c>
      <x:c r="D8" s="38" t="str">
        <x:v>RF承载测控、语音、关键指令与安全备份；光链承载高清影像、科学数据和大文件。光链转站可表现停帧与缓存补传，而RF保持正常。</x:v>
      </x:c>
      <x:c r="E8" s="38" t="str">
        <x:v>2029任务的具体光学站选址、天气冗余、口径与链路预算未公开；不得虚构成唯一主链。</x:v>
      </x:c>
      <x:c r="F8" s="38" t="str">
        <x:v>佳木斯／喀什P3外景；深空测控内部值班区；飞控屏；RF／光双链界面；任务相机</x:v>
      </x:c>
      <x:c r="G8" s="38" t="str">
        <x:v>不得把射电天线画成激光地面站；光通信不消除地月光时延，也不能绕过再入黑障。</x:v>
      </x:c>
      <x:c r="H8" s="38" t="str">
        <x:v>https://www.cnsa.gov.cn/n6758823/n6758838/c10612640/content.html
https://www.cnsa.gov.cn/n6758823/n6758838/c6810644/content.html
https://www.cas.cn/cm/202608/t20260827_5119119.shtml</x:v>
      </x:c>
    </x:row>
    <x:row r="9" ht="108" customHeight="1">
      <x:c r="A9" s="38" t="str">
        <x:v>再入回收</x:v>
      </x:c>
      <x:c r="B9" s="41" t="str">
        <x:v>已启动｜首轮流程核查完成</x:v>
      </x:c>
      <x:c r="C9" s="38" t="str">
        <x:v>新一代载人飞船试验公开资料显示两具减速伞、三具主伞和六个气囊；东风回收采用空中与地面分队协同，并设置医监医保流程。</x:v>
      </x:c>
      <x:c r="D9" s="38" t="str">
        <x:v>应把再入黑障、外测接力、分级开伞、气囊着陆、外部安全处置、开舱、医监与样品交接拆成状态门；Crowley方法用于设备可用性和现场共享逻辑。</x:v>
      </x:c>
      <x:c r="E9" s="38" t="str">
        <x:v>2029正式载人登月返回场、天气、昼夜条件与最终返回器规格未公开；项目东风日期为艺术时间线。</x:v>
      </x:c>
      <x:c r="F9" s="38" t="str">
        <x:v>返回舱再入／群伞气囊；东风现场；搜救车辆；医监设备；样品交接；相关VFX</x:v>
      </x:c>
      <x:c r="G9" s="38" t="str">
        <x:v>禁止三伞同时凭空出现、气囊无重量感、人员在外部安全确认前围拢、用激光通信恢复黑障。</x:v>
      </x:c>
      <x:c r="H9" s="38" t="str">
        <x:v>https://www.cmse.gov.cn/xwzx/zhxw/202005/t20200508_46524.html
https://www.cmse.gov.cn/xwzx/202301/t20230104_52122.html
https://www.cmse.gov.cn/fxrw/tgyhyszjh/kpzs/201206/t20120616_23274.html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c8629a073fc4cd9"/>
  </x:tableParts>
</x:worksheet>
</file>

<file path=xl/worksheets/sheet8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18" hidden="0" customWidth="1"/>
    <x:col min="3" max="3" width="23" hidden="0" customWidth="1"/>
    <x:col min="4" max="4" width="55" hidden="0" customWidth="1"/>
    <x:col min="5" max="5" width="48" hidden="0" customWidth="1"/>
    <x:col min="6" max="6" width="22" hidden="0" customWidth="1"/>
  </x:cols>
  <x:sheetData>
    <x:row r="1" ht="30" customHeight="1">
      <x:c r="A1" s="3" t="str">
        <x:v>大师 Profile 与专业 Skill 加载建议</x:v>
      </x:c>
      <x:c r="B1" s="3"/>
      <x:c r="C1" s="3"/>
      <x:c r="D1" s="3"/>
      <x:c r="E1" s="3"/>
      <x:c r="F1" s="3"/>
    </x:row>
    <x:row r="2" ht="34" customHeight="1">
      <x:c r="A2" s="7" t="str">
        <x:v>两份大师Profile已按用户指定版本实际加载。共享能力库当前没有直接覆盖航天器HMI、RF／光通信、再入回收工程的专业Skill，因此不强行套用作品风格Skill；技术问题由顾问核查与现有执行Skill承接。</x:v>
      </x:c>
      <x:c r="B2" s="7"/>
      <x:c r="C2" s="7"/>
      <x:c r="D2" s="7"/>
      <x:c r="E2" s="7"/>
      <x:c r="F2" s="7"/>
    </x:row>
    <x:row r="5" ht="30" customHeight="1">
      <x:c r="A5" s="34" t="str">
        <x:v>能力</x:v>
      </x:c>
      <x:c r="B5" s="34" t="str">
        <x:v>类别</x:v>
      </x:c>
      <x:c r="C5" s="34" t="str">
        <x:v>版本／状态</x:v>
      </x:c>
      <x:c r="D5" s="34" t="str">
        <x:v>当前用途</x:v>
      </x:c>
      <x:c r="E5" s="34" t="str">
        <x:v>授权范围</x:v>
      </x:c>
      <x:c r="F5" s="34" t="str">
        <x:v>当前决定</x:v>
      </x:c>
    </x:row>
    <x:row r="6" ht="52" customHeight="1">
      <x:c r="A6" s="38" t="str">
        <x:v>FP-PD-NATHAN-CROWLEY</x:v>
      </x:c>
      <x:c r="B6" s="38" t="str">
        <x:v>大师Profile</x:v>
      </x:c>
      <x:c r="C6" s="39" t="str">
        <x:v>v1.1｜已加载</x:v>
      </x:c>
      <x:c r="D6" s="38" t="str">
        <x:v>梦舟、揽月、舱内、飞控、回收设备的工程可信度、可使用结构与共享制造逻辑</x:v>
      </x:c>
      <x:c r="E6" s="38" t="str">
        <x:v>仅当前资产／LookDev；不复制具体作品造型</x:v>
      </x:c>
      <x:c r="F6" s="46" t="str">
        <x:v>使用</x:v>
      </x:c>
    </x:row>
    <x:row r="7" ht="52" customHeight="1">
      <x:c r="A7" s="38" t="str">
        <x:v>FP-CIN-ROGER-DEAKINS</x:v>
      </x:c>
      <x:c r="B7" s="38" t="str">
        <x:v>大师Profile</x:v>
      </x:c>
      <x:c r="C7" s="39" t="str">
        <x:v>v1.1｜已加载</x:v>
      </x:c>
      <x:c r="D7" s="38" t="str">
        <x:v>月面单一硬光、舱内来源光、空间清晰度、纪实任务感</x:v>
      </x:c>
      <x:c r="E7" s="38" t="str">
        <x:v>仅资产光影校准；不扩展到全片镜头风格／运镜</x:v>
      </x:c>
      <x:c r="F7" s="46" t="str">
        <x:v>使用</x:v>
      </x:c>
    </x:row>
    <x:row r="8" ht="52" customHeight="1">
      <x:c r="A8" s="38" t="str">
        <x:v>xcflow-consultant</x:v>
      </x:c>
      <x:c r="B8" s="38" t="str">
        <x:v>执行Skill</x:v>
      </x:c>
      <x:c r="C8" s="38" t="str">
        <x:v>当前已启动</x:v>
      </x:c>
      <x:c r="D8" s="38" t="str">
        <x:v>航天器构型、月面光照、RF／光通信、再入回收四项事实／推断／待核分层</x:v>
      </x:c>
      <x:c r="E8" s="38" t="str">
        <x:v>顾问建议不替代用户创作决定</x:v>
      </x:c>
      <x:c r="F8" s="46" t="str">
        <x:v>使用</x:v>
      </x:c>
    </x:row>
    <x:row r="9" ht="52" customHeight="1">
      <x:c r="A9" s="38" t="str">
        <x:v>xcflow-character-assets</x:v>
      </x:c>
      <x:c r="B9" s="38" t="str">
        <x:v>执行Skill</x:v>
      </x:c>
      <x:c r="C9" s="38" t="str">
        <x:v>下一步</x:v>
      </x:c>
      <x:c r="D9" s="38" t="str">
        <x:v>六名角色候选身份母图归档；刘定槎年龄重做；人物与服装绑定</x:v>
      </x:c>
      <x:c r="E9" s="38" t="str">
        <x:v>只处理当前人物任务</x:v>
      </x:c>
      <x:c r="F9" s="46" t="str">
        <x:v>需要</x:v>
      </x:c>
    </x:row>
    <x:row r="10" ht="52" customHeight="1">
      <x:c r="A10" s="38" t="str">
        <x:v>xcflow-scene-assets</x:v>
      </x:c>
      <x:c r="B10" s="38" t="str">
        <x:v>执行Skill</x:v>
      </x:c>
      <x:c r="C10" s="38" t="str">
        <x:v>下一步</x:v>
      </x:c>
      <x:c r="D10" s="38" t="str">
        <x:v>舱内、飞控、深空测控内部、媒体区、东风场景母资产</x:v>
      </x:c>
      <x:c r="E10" s="38" t="str">
        <x:v>保持真实空间与光源；不替代场戏调度</x:v>
      </x:c>
      <x:c r="F10" s="46" t="str">
        <x:v>需要</x:v>
      </x:c>
    </x:row>
    <x:row r="11" ht="52" customHeight="1">
      <x:c r="A11" s="38" t="str">
        <x:v>xcflow-prop-assets</x:v>
      </x:c>
      <x:c r="B11" s="38" t="str">
        <x:v>执行Skill</x:v>
      </x:c>
      <x:c r="C11" s="38" t="str">
        <x:v>下一步</x:v>
      </x:c>
      <x:c r="D11" s="38" t="str">
        <x:v>航天器、座椅、舱门、任务屏、回收设备与图形母资产</x:v>
      </x:c>
      <x:c r="E11" s="38" t="str">
        <x:v>按顾问结论和Crowley方法执行</x:v>
      </x:c>
      <x:c r="F11" s="46" t="str">
        <x:v>需要</x:v>
      </x:c>
    </x:row>
    <x:row r="12" ht="52" customHeight="1">
      <x:c r="A12" s="38" t="str">
        <x:v>xcflow-scene-design</x:v>
      </x:c>
      <x:c r="B12" s="38" t="str">
        <x:v>执行Skill</x:v>
      </x:c>
      <x:c r="C12" s="38" t="str">
        <x:v>资产骨架后启动</x:v>
      </x:c>
      <x:c r="D12" s="38" t="str">
        <x:v>屏幕—席位职责—人员调度的逐场绑定与连续性</x:v>
      </x:c>
      <x:c r="E12" s="38" t="str">
        <x:v>只在场戏层设计调度，不代替资产母图</x:v>
      </x:c>
      <x:c r="F12" s="46" t="str">
        <x:v>需要</x:v>
      </x:c>
    </x:row>
    <x:row r="13" ht="52" customHeight="1">
      <x:c r="A13" s="38" t="str">
        <x:v>xcflow-vfx-assets</x:v>
      </x:c>
      <x:c r="B13" s="38" t="str">
        <x:v>执行Skill</x:v>
      </x:c>
      <x:c r="C13" s="38" t="str">
        <x:v>按混合项启动</x:v>
      </x:c>
      <x:c r="D13" s="38" t="str">
        <x:v>月尘、再入、伞降、气囊等高风险物理基准测试包</x:v>
      </x:c>
      <x:c r="E13" s="38" t="str">
        <x:v>不把所有动态状态都做成独立资产</x:v>
      </x:c>
      <x:c r="F13" s="46" t="str">
        <x:v>需要（限P0基准）</x:v>
      </x:c>
    </x:row>
    <x:row r="14" ht="52" customHeight="1">
      <x:c r="A14" s="38" t="str">
        <x:v>xcflow-voice-assets</x:v>
      </x:c>
      <x:c r="B14" s="38" t="str">
        <x:v>执行Skill</x:v>
      </x:c>
      <x:c r="C14" s="38" t="str">
        <x:v>保持</x:v>
      </x:c>
      <x:c r="D14" s="38" t="str">
        <x:v>跨镜头稳定角色音色；刘定槎面声年龄复核</x:v>
      </x:c>
      <x:c r="E14" s="38" t="str">
        <x:v>具体对白／无线电／设备声仍随视频生成</x:v>
      </x:c>
      <x:c r="F14" s="46" t="str">
        <x:v>需要</x:v>
      </x:c>
    </x:row>
    <x:row r="15" ht="52" customHeight="1">
      <x:c r="A15" s="38" t="str">
        <x:v>xcflow-video-prompt</x:v>
      </x:c>
      <x:c r="B15" s="38" t="str">
        <x:v>执行Skill</x:v>
      </x:c>
      <x:c r="C15" s="38" t="str">
        <x:v>镜头阶段启动</x:v>
      </x:c>
      <x:c r="D15" s="38" t="str">
        <x:v>把VFX、动作链、灯光、同期声和关系约束装配进逐镜Prompt</x:v>
      </x:c>
      <x:c r="E15" s="38" t="str">
        <x:v>不得提前替代资产母图与顾问核查</x:v>
      </x:c>
      <x:c r="F15" s="46" t="str">
        <x:v>后续需要</x:v>
      </x:c>
    </x:row>
    <x:row r="16" ht="52" customHeight="1">
      <x:c r="A16" s="38" t="str">
        <x:v>blender-previz</x:v>
      </x:c>
      <x:c r="B16" s="38" t="str">
        <x:v>共享专业Skill</x:v>
      </x:c>
      <x:c r="C16" s="38" t="str">
        <x:v>0.1.0｜未加载</x:v>
      </x:c>
      <x:c r="D16" s="38" t="str">
        <x:v>仅用于用户点名的疑难空间／人物动线预演</x:v>
      </x:c>
      <x:c r="E16" s="38" t="str">
        <x:v>必须用户明确启动；不批量预演，不替代分镜</x:v>
      </x:c>
      <x:c r="F16" s="46" t="str">
        <x:v>暂不加载，必要时再选</x:v>
      </x:c>
    </x:row>
    <x:row r="17" ht="52" customHeight="1">
      <x:c r="A17" s="38" t="str">
        <x:v>共享库其他作品风格Skill</x:v>
      </x:c>
      <x:c r="B17" s="38" t="str">
        <x:v>共享专业Skill</x:v>
      </x:c>
      <x:c r="C17" s="38" t="str">
        <x:v>未加载</x:v>
      </x:c>
      <x:c r="D17" s="38" t="str">
        <x:v>当前库中暂无直接匹配航天器HMI、RF／光通信或回收工程的专业Skill</x:v>
      </x:c>
      <x:c r="E17" s="38" t="str">
        <x:v>不强行用《沙丘2》《花样年华》《南京照相馆》等作品风格覆盖工程核查</x:v>
      </x:c>
      <x:c r="F17" s="46" t="str">
        <x:v>不加载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c6362a3524324924"/>
  </x:tableParts>
</x:worksheet>
</file>