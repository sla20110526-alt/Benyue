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 activeTab="4"/>
  </bookViews>
  <sheets>
    <sheet name="总览" sheetId="1" r:id="rId1"/>
    <sheet name="资产总表" sheetId="2" r:id="rId2"/>
    <sheet name="人物资产" sheetId="3" r:id="rId3"/>
    <sheet name="场景资产" sheetId="4" r:id="rId4"/>
    <sheet name="道具资产" sheetId="5" r:id="rId5"/>
    <sheet name="特殊资产" sheetId="6" r:id="rId6"/>
    <sheet name="声音资产" sheetId="7" r:id="rId7"/>
    <sheet name="119镜映射" sheetId="8" r:id="rId8"/>
    <sheet name="场次汇总" sheetId="9" r:id="rId9"/>
    <sheet name="资产变更" sheetId="10" r:id="rId10"/>
    <sheet name="生产包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<sst xmlns="http://schemas.openxmlformats.org/spreadsheetml/2006/main" count="9807" uniqueCount="2675">
  <si>
    <t>《奔月》V1.3.1｜阶段1资产分类层级与119镜映射</t>
  </si>
  <si>
    <t>正式基线：15场 / 119镜 / 1020秒建议素材｜资产按人物、场景、道具、特殊、声音五类拆分｜阶段2B入口不变</t>
  </si>
  <si>
    <t>资产口径</t>
  </si>
  <si>
    <t>结果</t>
  </si>
  <si>
    <t>入口校验</t>
  </si>
  <si>
    <t>期望</t>
  </si>
  <si>
    <t>状态</t>
  </si>
  <si>
    <t>资产大类</t>
  </si>
  <si>
    <t>基础资产</t>
  </si>
  <si>
    <t>视图登记</t>
  </si>
  <si>
    <t>场次</t>
  </si>
  <si>
    <t>素材秒</t>
  </si>
  <si>
    <t>基础资产口径</t>
  </si>
  <si>
    <t>人物资产</t>
  </si>
  <si>
    <t>有效基础资产</t>
  </si>
  <si>
    <t>场景资产</t>
  </si>
  <si>
    <t>历史停用</t>
  </si>
  <si>
    <t>镜头覆盖</t>
  </si>
  <si>
    <t>道具资产</t>
  </si>
  <si>
    <t>场景视图登记</t>
  </si>
  <si>
    <t>素材时长</t>
  </si>
  <si>
    <t>特殊资产</t>
  </si>
  <si>
    <t>登记项总数</t>
  </si>
  <si>
    <t>场次覆盖</t>
  </si>
  <si>
    <t>声音资产</t>
  </si>
  <si>
    <t>映射镜头</t>
  </si>
  <si>
    <t>缺失／停用调用</t>
  </si>
  <si>
    <t>通过</t>
  </si>
  <si>
    <t>阶段2B首批</t>
  </si>
  <si>
    <t>生产内容</t>
  </si>
  <si>
    <t/>
  </si>
  <si>
    <t>P13-02</t>
  </si>
  <si>
    <t>梦舟四状态与空间连续</t>
  </si>
  <si>
    <t>最高优先</t>
  </si>
  <si>
    <t>P13-03</t>
  </si>
  <si>
    <t>揽月构型与单人出舱动作链</t>
  </si>
  <si>
    <t>P13-04</t>
  </si>
  <si>
    <t>任务相机与遥测视觉重建</t>
  </si>
  <si>
    <t>P13-05</t>
  </si>
  <si>
    <t>月面相机、宇航服相机与月球车相机</t>
  </si>
  <si>
    <t>原则</t>
  </si>
  <si>
    <t>所见即所得；先母图后多视角；无配乐；月面外部静音</t>
  </si>
  <si>
    <t>锁定</t>
  </si>
  <si>
    <t>《奔月》V1.3.1｜资产总表（分类层级版）</t>
  </si>
  <si>
    <t>正式基础资产176项；场景母图／多视角登记58项；登记项共234项。视图登记不改变176项基础资产口径。</t>
  </si>
  <si>
    <t>分类序号</t>
  </si>
  <si>
    <t>层级</t>
  </si>
  <si>
    <t>登记项类型</t>
  </si>
  <si>
    <t>显示名称</t>
  </si>
  <si>
    <t>生产资产ID</t>
  </si>
  <si>
    <t>父资产ID</t>
  </si>
  <si>
    <t>视图代码</t>
  </si>
  <si>
    <t>资产类型</t>
  </si>
  <si>
    <t>资产级别</t>
  </si>
  <si>
    <t>剧本出处</t>
  </si>
  <si>
    <t>关联场次或段落</t>
  </si>
  <si>
    <t>基础描述</t>
  </si>
  <si>
    <t>补全设计信息</t>
  </si>
  <si>
    <t>状态变体</t>
  </si>
  <si>
    <t>材质结构或声音特点</t>
  </si>
  <si>
    <t>光影或环境要求</t>
  </si>
  <si>
    <t>使用或生成需求</t>
  </si>
  <si>
    <t>可复用范围</t>
  </si>
  <si>
    <t>信息来源</t>
  </si>
  <si>
    <t>确认状态</t>
  </si>
  <si>
    <t>阶段2处理建议</t>
  </si>
  <si>
    <t>基础资产标记</t>
  </si>
  <si>
    <t>有效标记</t>
  </si>
  <si>
    <t>人物母资产</t>
  </si>
  <si>
    <t>杨凛</t>
  </si>
  <si>
    <t>BY-CHR-P0-001-杨凛</t>
  </si>
  <si>
    <t>CHR</t>
  </si>
  <si>
    <t>P0</t>
  </si>
  <si>
    <t>V1.2逐镜映射见data/阶段1_114镜资产调用映射_V1.2.csv</t>
  </si>
  <si>
    <t>场1,2,3,4,5,6,7,8,9,10,12,13,16；镜005,009,015,016,023,029,032,036,040,043,044,046,047,048,049,051,052,054,057,059,060,064,066,067,069,070,071,073,082,086,090,094,112</t>
  </si>
  <si>
    <t>乘组指令长，首次出舱与月面任务核心人物</t>
  </si>
  <si>
    <t>建议38-45岁，精干体型，决策型气质，不绑定现实航天员脸</t>
  </si>
  <si>
    <t>舱内飞行;望宇登月服;月尘状态</t>
  </si>
  <si>
    <t>稳定骨相、低幅度表情、指令感</t>
  </si>
  <si>
    <t>继承各场实际光源</t>
  </si>
  <si>
    <t>剧照验证图、基础多视图、服装继承</t>
  </si>
  <si>
    <t>全片</t>
  </si>
  <si>
    <t>剧本明确;创作者建议</t>
  </si>
  <si>
    <t>已确认</t>
  </si>
  <si>
    <t>阶段2A首批人物测试</t>
  </si>
  <si>
    <t>服装子资产</t>
  </si>
  <si>
    <t>↳ 杨凛舱内飞行服</t>
  </si>
  <si>
    <t>BY-CST-P0-001-杨凛舱内飞行服</t>
  </si>
  <si>
    <t>CST</t>
  </si>
  <si>
    <t>场1,2,3,4,5,6,7,12,13,16；镜005,009,015,016,023,029,032,036,040,043,082,086,090,094,112</t>
  </si>
  <si>
    <t>未来中国载人舱内飞行服</t>
  </si>
  <si>
    <t>适配梦舟与揽月座椅、约束带和操作区</t>
  </si>
  <si>
    <t>头盔开启;头盔关闭;座椅约束</t>
  </si>
  <si>
    <t>功能织物、接口、低反光结构</t>
  </si>
  <si>
    <t>舱内实用光</t>
  </si>
  <si>
    <t>人物服装基础资产</t>
  </si>
  <si>
    <t>全片舱内</t>
  </si>
  <si>
    <t>随杨凛基础人物制作</t>
  </si>
  <si>
    <t>↳ 杨凛望宇登月服</t>
  </si>
  <si>
    <t>BY-CST-P0-004-杨凛望宇登月服</t>
  </si>
  <si>
    <t>场7,8,9,10；镜044,046,047,048,049,051,052,054,057,059,060,064,066,067,069,070,071,073</t>
  </si>
  <si>
    <t>杨凛月面活动登月服</t>
  </si>
  <si>
    <t>继承公开望宇方向并按功能补全，保持杨凛体型与岗位标识</t>
  </si>
  <si>
    <t>清洁基础;轻度月尘</t>
  </si>
  <si>
    <t>多层功能材料、头盔面窗、生命保障结构</t>
  </si>
  <si>
    <t>月面固定太阳光</t>
  </si>
  <si>
    <t>基础多视图、动作关节与舷梯尺度测试</t>
  </si>
  <si>
    <t>06-10</t>
  </si>
  <si>
    <t>项目锁定;公开资料;创作者建议</t>
  </si>
  <si>
    <t>月面人物状态包</t>
  </si>
  <si>
    <t>↳ 杨凛登月服轻度月尘状态</t>
  </si>
  <si>
    <t>BY-CST-P1-001-杨凛登月服轻度月尘状态</t>
  </si>
  <si>
    <t>P1</t>
  </si>
  <si>
    <t>场13；镜090,091,094</t>
  </si>
  <si>
    <t>EVA后真实月尘附着</t>
  </si>
  <si>
    <t>靴底、小腿、手套和局部关节合理附着</t>
  </si>
  <si>
    <t>轻度月尘</t>
  </si>
  <si>
    <t>干燥细颗粒、无湿泥感</t>
  </si>
  <si>
    <t>继承月面太阳光</t>
  </si>
  <si>
    <t>基于确认登月服制作状态变体</t>
  </si>
  <si>
    <t>09-10</t>
  </si>
  <si>
    <t>剧本明确;合理推断</t>
  </si>
  <si>
    <t>已确认采用</t>
  </si>
  <si>
    <t>基础登月服确认后制作</t>
  </si>
  <si>
    <t>陈砚</t>
  </si>
  <si>
    <t>BY-CHR-P0-002-陈砚</t>
  </si>
  <si>
    <t>场1,2,3,4,5,6,7,8,9,10,12,13；镜005,009,014,015,016,023,029,036,040,043,044,046,048,052,054,057,059,060,062,064,066,067,068,069,070,071,073,082,090</t>
  </si>
  <si>
    <t>月面任务工程师，负责装备、采样与科学任务</t>
  </si>
  <si>
    <t>建议32-40岁，精干灵活，操作型气质，不绑定现实航天员脸</t>
  </si>
  <si>
    <t>敏锐眼神、手部操作明确</t>
  </si>
  <si>
    <t>阶段2A／2B首批</t>
  </si>
  <si>
    <t>↳ 陈砚舱内飞行服</t>
  </si>
  <si>
    <t>BY-CST-P0-002-陈砚舱内飞行服</t>
  </si>
  <si>
    <t>场1,2,3,4,5,6,7,12,13；镜005,009,014,015,016,023,029,036,040,043,082,090</t>
  </si>
  <si>
    <t>与杨凛同体系的舱内飞行服</t>
  </si>
  <si>
    <t>尺寸和岗位细节可区分</t>
  </si>
  <si>
    <t>随陈砚基础人物制作</t>
  </si>
  <si>
    <t>↳ 陈砚望宇登月服</t>
  </si>
  <si>
    <t>BY-CST-P0-005-陈砚望宇登月服</t>
  </si>
  <si>
    <t>场7,8,9,10；镜044,046,048,052,054,057,059,060,062,064,066,067,068,069,070,071,073</t>
  </si>
  <si>
    <t>陈砚月面活动登月服</t>
  </si>
  <si>
    <t>与杨凛同体系，建立可识别岗位差异</t>
  </si>
  <si>
    <t>基础多视图、工具操作与月球车乘坐测试</t>
  </si>
  <si>
    <t>↳ 陈砚登月服轻度月尘状态</t>
  </si>
  <si>
    <t>BY-CST-P1-002-陈砚登月服轻度月尘状态</t>
  </si>
  <si>
    <t>EVA后月尘附着，工具接触区更明显</t>
  </si>
  <si>
    <t>保持所有接口和人物体型</t>
  </si>
  <si>
    <t>刘定槎</t>
  </si>
  <si>
    <t>BY-CHR-P0-003-刘定槎</t>
  </si>
  <si>
    <t>场1,2,3,9,11,12,13,14,15；镜004,007,013,015,016,018,063,079,081,086,090,094,100,101,103,106</t>
  </si>
  <si>
    <t>梦舟飞行工程师，留轨与返程视觉锚点</t>
  </si>
  <si>
    <t>建议35-43岁，克制内收，不表现被动留守</t>
  </si>
  <si>
    <t>发射;独处巡航;对接;返程</t>
  </si>
  <si>
    <t>中低温润、耐心稳定的视觉气质</t>
  </si>
  <si>
    <t>梦舟舱内任务光</t>
  </si>
  <si>
    <t>剧照验证图、基础多视图、空座椅关系图</t>
  </si>
  <si>
    <t>↳ 刘定槎舱内飞行服</t>
  </si>
  <si>
    <t>BY-CST-P0-003-刘定槎舱内飞行服</t>
  </si>
  <si>
    <t>梦舟舱内飞行服</t>
  </si>
  <si>
    <t>适配独处巡航、交会与返程</t>
  </si>
  <si>
    <t>发射;巡航;对接;返程</t>
  </si>
  <si>
    <t>全片梦舟舱内</t>
  </si>
  <si>
    <t>随刘定槎基础人物制作</t>
  </si>
  <si>
    <t>周明远</t>
  </si>
  <si>
    <t>BY-CHR-P1-001-周明远</t>
  </si>
  <si>
    <t>主要人物与岗位；01-02场</t>
  </si>
  <si>
    <t>历史V1.1</t>
  </si>
  <si>
    <t>未来特别报道新闻主播</t>
  </si>
  <si>
    <t>建议38-48岁，权威克制，不绑定现实主播</t>
  </si>
  <si>
    <t>主播台;双人专家位</t>
  </si>
  <si>
    <t>真人新闻质感</t>
  </si>
  <si>
    <t>演播室中性直播光</t>
  </si>
  <si>
    <t>剧照验证图、半身与全身</t>
  </si>
  <si>
    <t>01-02</t>
  </si>
  <si>
    <t>历史停用（V1.2不调用）</t>
  </si>
  <si>
    <t>V1.2不出场</t>
  </si>
  <si>
    <t>↳ 周明远主播服装</t>
  </si>
  <si>
    <t>BY-CST-P1-003-周明远主播服装</t>
  </si>
  <si>
    <t>01-02场</t>
  </si>
  <si>
    <t>未来但克制的正式主播服装</t>
  </si>
  <si>
    <t>不做科幻制服，色彩由阶段2A决定</t>
  </si>
  <si>
    <t>基础</t>
  </si>
  <si>
    <t>精纺面料、低反光</t>
  </si>
  <si>
    <t>演播室直播光</t>
  </si>
  <si>
    <t>人物定妆服装</t>
  </si>
  <si>
    <t>创作者建议</t>
  </si>
  <si>
    <t>随角色停用</t>
  </si>
  <si>
    <t>林知夏</t>
  </si>
  <si>
    <t>BY-CHR-P1-002-林知夏</t>
  </si>
  <si>
    <t>场8；镜056</t>
  </si>
  <si>
    <t>飞控中心特派记者</t>
  </si>
  <si>
    <t>建议28-38岁，清楚、有现场感，不绑定现实记者</t>
  </si>
  <si>
    <t>记者直播</t>
  </si>
  <si>
    <t>媒体区实用光</t>
  </si>
  <si>
    <t>01</t>
  </si>
  <si>
    <t>新闻支持资产包</t>
  </si>
  <si>
    <t>↳ 林知夏记者服装</t>
  </si>
  <si>
    <t>BY-CST-P1-004-林知夏记者服装</t>
  </si>
  <si>
    <t>正式且适合媒体区工作的记者服装</t>
  </si>
  <si>
    <t>与主播形成结构和色彩差异</t>
  </si>
  <si>
    <t>功能性正式面料</t>
  </si>
  <si>
    <t>阶段2A定色后制作</t>
  </si>
  <si>
    <t>孙屹川</t>
  </si>
  <si>
    <t>BY-CHR-P1-003-孙屹川</t>
  </si>
  <si>
    <t>主要人物与岗位；02场</t>
  </si>
  <si>
    <t>着陆器系统专家</t>
  </si>
  <si>
    <t>建议48-62岁，工程可信，不做科普网红气质</t>
  </si>
  <si>
    <t>专家访谈</t>
  </si>
  <si>
    <t>年长沉稳、表情克制</t>
  </si>
  <si>
    <t>02</t>
  </si>
  <si>
    <t>↳ 孙屹川专家服装</t>
  </si>
  <si>
    <t>BY-CST-P1-005-孙屹川专家服装</t>
  </si>
  <si>
    <t>02场</t>
  </si>
  <si>
    <t>工程专家正式着装</t>
  </si>
  <si>
    <t>不使用实验室白大褂或夸张学者符号</t>
  </si>
  <si>
    <t>低反光正式面料</t>
  </si>
  <si>
    <t>何文澜</t>
  </si>
  <si>
    <t>BY-CHR-P1-004-何文澜</t>
  </si>
  <si>
    <t>镜20、48—50、79、113</t>
  </si>
  <si>
    <t>第3、7、11、15场</t>
  </si>
  <si>
    <t>载人航天与航天医学方向专家。</t>
  </si>
  <si>
    <t>媒体区采访状态严谨、平实，医学解释可作画外。</t>
  </si>
  <si>
    <t>媒体区出镜；专家画外</t>
  </si>
  <si>
    <t>真实人物皮肤、自然职业妆发</t>
  </si>
  <si>
    <t>媒体区中性任务光</t>
  </si>
  <si>
    <t>建立正面、三分之四与双人采访构图</t>
  </si>
  <si>
    <t>媒体区采访与医学解释</t>
  </si>
  <si>
    <t>V1.3.1正式分镜稿＋公开资料边界内艺术推演</t>
  </si>
  <si>
    <t>阶段1已确认生产方向</t>
  </si>
  <si>
    <t>阶段2B建立母资产并按镜头状态派生</t>
  </si>
  <si>
    <t>↳ 何文澜专家服装</t>
  </si>
  <si>
    <t>BY-CST-P1-006-何文澜专家服装</t>
  </si>
  <si>
    <t>镜20、48、113</t>
  </si>
  <si>
    <t>第3、7、15场</t>
  </si>
  <si>
    <t>深色或中性低饱和职业正装。</t>
  </si>
  <si>
    <t>不使用夸张科幻制服。</t>
  </si>
  <si>
    <t>站立采访；医学画外无画面</t>
  </si>
  <si>
    <t>哑光织物</t>
  </si>
  <si>
    <t>与何文澜人物资产绑定</t>
  </si>
  <si>
    <t>同一直播日采访</t>
  </si>
  <si>
    <t>孙亦川</t>
  </si>
  <si>
    <t>BY-CHR-P1-005-孙亦川</t>
  </si>
  <si>
    <t>镜35、88、93、100</t>
  </si>
  <si>
    <t>第6、12—14场</t>
  </si>
  <si>
    <t>轨道动力学与返回再入方向专家。</t>
  </si>
  <si>
    <t>通过轨迹图解释下降、月地返回和跳跃式再入。</t>
  </si>
  <si>
    <t>媒体区出镜；轨迹图前出镜；专家画外</t>
  </si>
  <si>
    <t>与历史停用角色“孙屹川”严格区分，不复用旧脸与旧音色</t>
  </si>
  <si>
    <t>轨迹、下降与再入解释</t>
  </si>
  <si>
    <t>↳ 孙亦川专家服装</t>
  </si>
  <si>
    <t>BY-CST-P1-007-孙亦川专家服装</t>
  </si>
  <si>
    <t>镜35、88、93</t>
  </si>
  <si>
    <t>第6、12—13场</t>
  </si>
  <si>
    <t>低饱和职业正装。</t>
  </si>
  <si>
    <t>能与深蓝轨迹图分离轮廓。</t>
  </si>
  <si>
    <t>下降讲解；返回讲解；再入讲解</t>
  </si>
  <si>
    <t>与孙亦川人物资产绑定</t>
  </si>
  <si>
    <t>多段直播采访</t>
  </si>
  <si>
    <t>顾青岚</t>
  </si>
  <si>
    <t>BY-CHR-P1-006-顾青岚</t>
  </si>
  <si>
    <t>镜66—67、72</t>
  </si>
  <si>
    <t>第9—10场</t>
  </si>
  <si>
    <t>月球地质与月面科学方向专家。</t>
  </si>
  <si>
    <t>结合艺术锁定着陆点解释地质单元和短程科学路线。</t>
  </si>
  <si>
    <t>媒体区出镜；地质图卡画外</t>
  </si>
  <si>
    <t>建立与地质图双人采访和指图动作</t>
  </si>
  <si>
    <t>月面科学解释</t>
  </si>
  <si>
    <t>↳ 顾青岚专家服装</t>
  </si>
  <si>
    <t>BY-CST-P1-008-顾青岚专家服装</t>
  </si>
  <si>
    <t>镜66</t>
  </si>
  <si>
    <t>第9场</t>
  </si>
  <si>
    <t>专业、简洁的地质专家采访服装。</t>
  </si>
  <si>
    <t>色彩不与月面地质图冲突。</t>
  </si>
  <si>
    <t>媒体区采访</t>
  </si>
  <si>
    <t>与顾青岚人物资产绑定</t>
  </si>
  <si>
    <t>月面科学采访</t>
  </si>
  <si>
    <t>群体人物资产</t>
  </si>
  <si>
    <t>北京飞控任务团队</t>
  </si>
  <si>
    <t>BY-CRO-P1-001-北京飞控任务团队</t>
  </si>
  <si>
    <t>CRO</t>
  </si>
  <si>
    <t>场2,4,5,6,8,10,11,12,14,15,16；镜006,012,022,028,031,035,041,053,072,077,083,088,097,104,107,113</t>
  </si>
  <si>
    <t>不少于12名可辨岗位人员的任务群像</t>
  </si>
  <si>
    <t>年龄、性别、脸、坐姿和岗位有差异，不复制同脸</t>
  </si>
  <si>
    <t>常态;等待;确认后克制反应</t>
  </si>
  <si>
    <t>正式工作服、控制台</t>
  </si>
  <si>
    <t>飞控大厅任务光</t>
  </si>
  <si>
    <t>群演构成表与群像资产</t>
  </si>
  <si>
    <t>飞控场次</t>
  </si>
  <si>
    <t>新闻飞控支持包</t>
  </si>
  <si>
    <t>深空测控值班团队</t>
  </si>
  <si>
    <t>BY-CRO-P1-002-深空测控值班团队</t>
  </si>
  <si>
    <t>场1,4,5,8,11；镜003,022,035,053,077</t>
  </si>
  <si>
    <t>佳木斯、喀什和VLBI席位的专业值班人员配置。</t>
  </si>
  <si>
    <t>岗位、年龄和脸部有差异，不复制同脸。</t>
  </si>
  <si>
    <t>常态值班；关键窗口</t>
  </si>
  <si>
    <t>中国航天测控工作服方向</t>
  </si>
  <si>
    <t>站内任务光</t>
  </si>
  <si>
    <t>与测控场景配套</t>
  </si>
  <si>
    <t>第1、4、5、10—14场</t>
  </si>
  <si>
    <t>V1.2剧本明确＋项目锁定＋公开工程资料边界</t>
  </si>
  <si>
    <t>已确认生产方向</t>
  </si>
  <si>
    <t>阶段2A重入后按生产包执行</t>
  </si>
  <si>
    <t>搜救、安全处置与医疗团队</t>
  </si>
  <si>
    <t>BY-CRO-P1-003-搜救与医疗团队</t>
  </si>
  <si>
    <t>场16；镜110,111,112,113,114</t>
  </si>
  <si>
    <t>先安全检查、再开舱和医学接收的多岗位团队。</t>
  </si>
  <si>
    <t>不让航天员落地立即站立庆祝。</t>
  </si>
  <si>
    <t>空地接近；安全处置；开舱；医学检查；样品接收</t>
  </si>
  <si>
    <t>真实防护服、医疗和工程装备</t>
  </si>
  <si>
    <t>着陆区自然光</t>
  </si>
  <si>
    <t>与搜救场景和载具配套</t>
  </si>
  <si>
    <t>第16场</t>
  </si>
  <si>
    <t>场景资产组</t>
  </si>
  <si>
    <t>梦舟返回舱三座承力区与四种乘员状态</t>
  </si>
  <si>
    <t>BY-SCN-P0-001-梦舟舱内三座布局</t>
  </si>
  <si>
    <t>SCN</t>
  </si>
  <si>
    <t>第1—3、5、11、14—15场</t>
  </si>
  <si>
    <t>返回舱内三张平行低位承力椅背、紧凑控制区和贴身弧形舱壁的局部空间。</t>
  </si>
  <si>
    <t>同一三座承力布局保持几何不变，以人物占位、束缚状态、样品固定和着陆姿态区分四种叙事状态。</t>
  </si>
  <si>
    <t>A三座满员对接前；B一人工作两座空置；C三人重聚含样品；D三人返航承载／再入／着陆</t>
  </si>
  <si>
    <t>舱内结构、座椅织物、低反光设备</t>
  </si>
  <si>
    <t>必须建立一张统一母图和四种状态图；座椅方向、间距、工作界面和舱门轴线不得漂移。</t>
  </si>
  <si>
    <t>阶段2B优先生成母资产与四状态对照板</t>
  </si>
  <si>
    <t>场景母图</t>
  </si>
  <si>
    <t>↳ 母图｜梦舟返回舱三座承力区与四种乘员状态</t>
  </si>
  <si>
    <t>BY-SCN-P0-001-梦舟舱内三座布局-V-MASTER</t>
  </si>
  <si>
    <t>MASTER</t>
  </si>
  <si>
    <t>SCN-VIEW</t>
  </si>
  <si>
    <t>阶段1_场景视图需求表_V1.3.1</t>
  </si>
  <si>
    <t>该场景的统一母图，锁定空间、尺度、材料、光向和主构图。</t>
  </si>
  <si>
    <t>后续全部视图均以本母图为唯一空间依据。</t>
  </si>
  <si>
    <t>先确认母图，再进入多视角和状态图生产。</t>
  </si>
  <si>
    <t>V1.3.1场景视图锁定</t>
  </si>
  <si>
    <t>V1.3.1重校已确认</t>
  </si>
  <si>
    <t>阶段2B先生成并确认本母图。</t>
  </si>
  <si>
    <t>场景多视角</t>
  </si>
  <si>
    <t xml:space="preserve">  ↳ 视图｜座椅背面关系</t>
  </si>
  <si>
    <t>BY-SCN-P0-001-梦舟舱内三座布局-V-SEAT-BACK</t>
  </si>
  <si>
    <t>SEAT-BACK</t>
  </si>
  <si>
    <t>相对母图的座椅背面关系，用于镜头连续和空间核验。</t>
  </si>
  <si>
    <t>继承BY-SCN-P0-001-梦舟舱内三座布局-V-MASTER，不重新发明舱室、设备、地貌或光向。</t>
  </si>
  <si>
    <t>母图确认后生成；与母图做几何、材料、光影和设备位置一致性检查。</t>
  </si>
  <si>
    <t>阶段2B在母图确认后生成本视图。</t>
  </si>
  <si>
    <t xml:space="preserve">  ↳ 视图｜三人返航状态</t>
  </si>
  <si>
    <t>BY-SCN-P0-001-梦舟舱内三座布局-V-RETURN-THREE</t>
  </si>
  <si>
    <t>RETURN-THREE</t>
  </si>
  <si>
    <t>相对母图的三人返航状态，用于镜头连续和空间核验。</t>
  </si>
  <si>
    <t>梦舟返回舱环月工作位</t>
  </si>
  <si>
    <t>BY-SCN-P0-005-梦舟环月工作位</t>
  </si>
  <si>
    <t>第1—3、5、11场</t>
  </si>
  <si>
    <t>三座承力座椅区的环月工作状态视图；刘定槎从任务席完成交会、遥测和轨道协同。</t>
  </si>
  <si>
    <t>工作位不是第四个位置；任务席、共享前上方显示控制区和相邻两张空座属于同一承力座椅区。</t>
  </si>
  <si>
    <t>三人协同；刘定槎单人环月值守；三人重聚</t>
  </si>
  <si>
    <t>承力座椅、暖白喷涂面板、石墨灰控制件、织物软包、蓝色扶手</t>
  </si>
  <si>
    <t>舱顶暖白任务灯＋屏幕微弱冷光；窗外黑暗</t>
  </si>
  <si>
    <t>工作位与三座承力区必须属于同一返回舱空间，不生成宽阔独立驾驶舱。</t>
  </si>
  <si>
    <t>第1、3、9、11—14场</t>
  </si>
  <si>
    <t>↳ 母图｜梦舟返回舱环月工作位</t>
  </si>
  <si>
    <t>BY-SCN-P0-005-梦舟环月工作位-V-MASTER</t>
  </si>
  <si>
    <t xml:space="preserve">  ↳ 视图｜工作位正向</t>
  </si>
  <si>
    <t>BY-SCN-P0-005-梦舟环月工作位-V-WORK-FRONT</t>
  </si>
  <si>
    <t>WORK-FRONT</t>
  </si>
  <si>
    <t>相对母图的工作位正向，用于镜头连续和空间核验。</t>
  </si>
  <si>
    <t>继承BY-SCN-P0-005-梦舟环月工作位-V-MASTER，不重新发明舱室、设备、地貌或光向。</t>
  </si>
  <si>
    <t xml:space="preserve">  ↳ 视图｜越肩工作位</t>
  </si>
  <si>
    <t>BY-SCN-P0-005-梦舟环月工作位-V-WORK-OTS</t>
  </si>
  <si>
    <t>WORK-OTS</t>
  </si>
  <si>
    <t>相对母图的越肩工作位，用于镜头连续和空间核验。</t>
  </si>
  <si>
    <t>梦舟—揽月轴向对接转移通道</t>
  </si>
  <si>
    <t>BY-SCN-P0-002-梦舟对接通道与舱门区</t>
  </si>
  <si>
    <t>场3,13；镜013,014,016,018,019,089,092</t>
  </si>
  <si>
    <t>两器前向舱门连接后的紧凑轴向通道，用于物品、人员和样品两次转移。</t>
  </si>
  <si>
    <t>双向人员与样品转移尺度明确</t>
  </si>
  <si>
    <t>关闭；压差归零；双门开启；物品先行；人员转移；样品回传</t>
  </si>
  <si>
    <t>舱门、密封圈、扶手、内衬</t>
  </si>
  <si>
    <t>两器舱内实用光</t>
  </si>
  <si>
    <t>母图与轴线双向SV1</t>
  </si>
  <si>
    <t>03;12-13</t>
  </si>
  <si>
    <t>作为独立场景母图验证，不与梦舟三座母图合并</t>
  </si>
  <si>
    <t>↳ 母图｜梦舟—揽月轴向对接转移通道</t>
  </si>
  <si>
    <t>BY-SCN-P0-002-梦舟对接通道与舱门区-V-MASTER</t>
  </si>
  <si>
    <t>已确认推荐口径</t>
  </si>
  <si>
    <t xml:space="preserve">  ↳ 视图｜梦舟端轴向</t>
  </si>
  <si>
    <t>BY-SCN-P0-002-梦舟对接通道与舱门区-V-AXIS-DREAM</t>
  </si>
  <si>
    <t>AXIS-DREAM</t>
  </si>
  <si>
    <t>相对母图的梦舟端轴向，用于镜头连续和空间核验。</t>
  </si>
  <si>
    <t>继承BY-SCN-P0-002-梦舟对接通道与舱门区-V-MASTER，不重新发明舱室、设备、地貌或光向。</t>
  </si>
  <si>
    <t xml:space="preserve">  ↳ 视图｜揽月端轴向</t>
  </si>
  <si>
    <t>BY-SCN-P0-002-梦舟对接通道与舱门区-V-AXIS-LANYUE</t>
  </si>
  <si>
    <t>AXIS-LANYUE</t>
  </si>
  <si>
    <t>相对母图的揽月端轴向，用于镜头连续和空间核验。</t>
  </si>
  <si>
    <t xml:space="preserve">  ↳ 视图｜人员／物资转移</t>
  </si>
  <si>
    <t>BY-SCN-P0-002-梦舟对接通道与舱门区-V-TRANSFER</t>
  </si>
  <si>
    <t>TRANSFER</t>
  </si>
  <si>
    <t>相对母图的人员／物资转移，用于镜头连续和空间核验。</t>
  </si>
  <si>
    <t>揽月登月舱舱内</t>
  </si>
  <si>
    <t>BY-SCN-P0-003-揽月登月舱舱内</t>
  </si>
  <si>
    <t>场2,3,4,5,6,7,10,11,12；镜009,011,017,019,023,029,032,036,038,040,043,044,045,046,069,070,071,073,076,082</t>
  </si>
  <si>
    <t>两座位、操作区、舱门、载荷与登月服固定区</t>
  </si>
  <si>
    <t>空间需支持下降、EVA准备、起飞和对接</t>
  </si>
  <si>
    <t>月轨交会；动力下降；着陆后；EVA准备／复压；月面起飞；再交会</t>
  </si>
  <si>
    <t>舱内结构、低反光设备、功能织物</t>
  </si>
  <si>
    <t>揽月下降任务光与开舱门月面反射</t>
  </si>
  <si>
    <t>母图与SV2标准五视图</t>
  </si>
  <si>
    <t>02-12</t>
  </si>
  <si>
    <t>剧本明确;公开资料;创作者建议</t>
  </si>
  <si>
    <t>按V1.2状态链复核原设计，再做必要视图</t>
  </si>
  <si>
    <t>↳ 母图｜揽月登月舱舱内</t>
  </si>
  <si>
    <t>BY-SCN-P0-003-揽月登月舱舱内-V-MASTER</t>
  </si>
  <si>
    <t>继承已确认</t>
  </si>
  <si>
    <t xml:space="preserve">  ↳ 视图｜正视图</t>
  </si>
  <si>
    <t>BY-SCN-P0-003-揽月登月舱舱内-V-FRONT</t>
  </si>
  <si>
    <t>FRONT</t>
  </si>
  <si>
    <t>相对母图的正视图，用于镜头连续和空间核验。</t>
  </si>
  <si>
    <t>继承BY-SCN-P0-003-揽月登月舱舱内-V-MASTER，不重新发明舱室、设备、地貌或光向。</t>
  </si>
  <si>
    <t xml:space="preserve">  ↳ 视图｜后视图</t>
  </si>
  <si>
    <t>BY-SCN-P0-003-揽月登月舱舱内-V-BACK</t>
  </si>
  <si>
    <t>BACK</t>
  </si>
  <si>
    <t>相对母图的后视图，用于镜头连续和空间核验。</t>
  </si>
  <si>
    <t xml:space="preserve">  ↳ 视图｜左视图</t>
  </si>
  <si>
    <t>BY-SCN-P0-003-揽月登月舱舱内-V-LEFT</t>
  </si>
  <si>
    <t>LEFT</t>
  </si>
  <si>
    <t>相对母图的左视图，用于镜头连续和空间核验。</t>
  </si>
  <si>
    <t xml:space="preserve">  ↳ 视图｜右视图</t>
  </si>
  <si>
    <t>BY-SCN-P0-003-揽月登月舱舱内-V-RIGHT</t>
  </si>
  <si>
    <t>RIGHT</t>
  </si>
  <si>
    <t>相对母图的右视图，用于镜头连续和空间核验。</t>
  </si>
  <si>
    <t xml:space="preserve">  ↳ 视图｜顶视图</t>
  </si>
  <si>
    <t>BY-SCN-P0-003-揽月登月舱舱内-V-TOP</t>
  </si>
  <si>
    <t>TOP</t>
  </si>
  <si>
    <t>相对母图的顶视图，用于镜头连续和空间核验。</t>
  </si>
  <si>
    <t>北京飞控大厅与任务主屏</t>
  </si>
  <si>
    <t>BY-SCN-P0-006-北京飞控大厅与任务主屏</t>
  </si>
  <si>
    <t>真实国家任务控制大厅尺度，核心席、任务主屏和分层工作席可辨。</t>
  </si>
  <si>
    <t>不做商业科幻舰桥；屏幕只生成无字结构底图，可读信息后期添加。</t>
  </si>
  <si>
    <t>交会；下降；触月；月面活动；起飞；再交会；返回；再入；任务完成</t>
  </si>
  <si>
    <t>低反光控制台、克制蓝灰屏光、暖白顶灯</t>
  </si>
  <si>
    <t>稳定任务光，人物与环境共享光源</t>
  </si>
  <si>
    <t>MASTER、任务席、主屏、控制台局部</t>
  </si>
  <si>
    <t>第2、5、6、8、10、12、14—16场</t>
  </si>
  <si>
    <t>↳ 母图｜北京飞控大厅与任务主屏</t>
  </si>
  <si>
    <t>BY-SCN-P0-006-北京飞控大厅与任务主屏-V-MASTER</t>
  </si>
  <si>
    <t xml:space="preserve">  ↳ 视图｜大厅全景</t>
  </si>
  <si>
    <t>BY-SCN-P0-006-北京飞控大厅与任务主屏-V-FLOOR</t>
  </si>
  <si>
    <t>FLOOR</t>
  </si>
  <si>
    <t>相对母图的大厅全景，用于镜头连续和空间核验。</t>
  </si>
  <si>
    <t>继承BY-SCN-P0-006-北京飞控大厅与任务主屏-V-MASTER，不重新发明舱室、设备、地貌或光向。</t>
  </si>
  <si>
    <t xml:space="preserve">  ↳ 视图｜任务主屏</t>
  </si>
  <si>
    <t>BY-SCN-P0-006-北京飞控大厅与任务主屏-V-MAIN-SCREEN</t>
  </si>
  <si>
    <t>MAIN-SCREEN</t>
  </si>
  <si>
    <t>相对母图的任务主屏，用于镜头连续和空间核验。</t>
  </si>
  <si>
    <t xml:space="preserve">  ↳ 视图｜核心席位</t>
  </si>
  <si>
    <t>BY-SCN-P0-006-北京飞控大厅与任务主屏-V-CONSOLE</t>
  </si>
  <si>
    <t>CONSOLE</t>
  </si>
  <si>
    <t>相对母图的核心席位，用于镜头连续和空间核验。</t>
  </si>
  <si>
    <t>佳木斯66米深空测控站</t>
  </si>
  <si>
    <t>BY-SCN-P1-007-佳木斯66米深空测控站</t>
  </si>
  <si>
    <t>场1,5,8,11；镜003,035,053,077</t>
  </si>
  <si>
    <t>大型深空天线与值班测控工作区。</t>
  </si>
  <si>
    <t>天线结构以公开资料为锚，界面无可读伪参数。</t>
  </si>
  <si>
    <t>月轨交会；动力下降；月面活动；月面起飞；地月返回</t>
  </si>
  <si>
    <t>真实天线钢结构、设备机柜和控制台</t>
  </si>
  <si>
    <t>外景自然光／夜间按镜头统一；室内任务光</t>
  </si>
  <si>
    <t>天线MASTER、长焦跟踪、值班工作区</t>
  </si>
  <si>
    <t>第1、5、8、11、14场</t>
  </si>
  <si>
    <t>↳ 母图｜佳木斯66米深空测控站</t>
  </si>
  <si>
    <t>BY-SCN-P1-007-佳木斯66米深空测控站-V-MASTER</t>
  </si>
  <si>
    <t xml:space="preserve">  ↳ 视图｜天线长焦</t>
  </si>
  <si>
    <t>BY-SCN-P1-007-佳木斯66米深空测控站-V-ANTENNA-LONG</t>
  </si>
  <si>
    <t>ANTENNA-LONG</t>
  </si>
  <si>
    <t>相对母图的天线长焦，用于镜头连续和空间核验。</t>
  </si>
  <si>
    <t>继承BY-SCN-P1-007-佳木斯66米深空测控站-V-MASTER，不重新发明舱室、设备、地貌或光向。</t>
  </si>
  <si>
    <t xml:space="preserve">  ↳ 视图｜值班操作区</t>
  </si>
  <si>
    <t>BY-SCN-P1-007-佳木斯66米深空测控站-V-OPS</t>
  </si>
  <si>
    <t>OPS</t>
  </si>
  <si>
    <t>相对母图的值班操作区，用于镜头连续和空间核验。</t>
  </si>
  <si>
    <t>喀什35米深空测控站</t>
  </si>
  <si>
    <t>BY-SCN-P1-008-喀什35米深空测控站</t>
  </si>
  <si>
    <t>场4,5,11；镜022,035,077</t>
  </si>
  <si>
    <t>深空测控天线与备份链路工作区。</t>
  </si>
  <si>
    <t>与佳木斯在尺度和环境上可区分。</t>
  </si>
  <si>
    <t>降轨接力；动力下降备份；月面起飞双目标跟踪；地月返回</t>
  </si>
  <si>
    <t>公开天线结构、干旱地区工程环境</t>
  </si>
  <si>
    <t>外景自然光；室内任务光</t>
  </si>
  <si>
    <t>天线MASTER、跟踪状态视图</t>
  </si>
  <si>
    <t>第4、5、11、14场</t>
  </si>
  <si>
    <t>↳ 母图｜喀什35米深空测控站</t>
  </si>
  <si>
    <t>BY-SCN-P1-008-喀什35米深空测控站-V-MASTER</t>
  </si>
  <si>
    <t>BY-SCN-P1-008-喀什35米深空测控站-V-ANTENNA-LONG</t>
  </si>
  <si>
    <t>继承BY-SCN-P1-008-喀什35米深空测控站-V-MASTER，不重新发明舱室、设备、地貌或光向。</t>
  </si>
  <si>
    <t>BY-SCN-P1-008-喀什35米深空测控站-V-OPS</t>
  </si>
  <si>
    <t>VLBI测轨席／天衡界面</t>
  </si>
  <si>
    <t>BY-SCN-P1-009-VLBI测轨席</t>
  </si>
  <si>
    <t>场12；镜083</t>
  </si>
  <si>
    <t>多站测轨数据汇聚与轨道解算校核席位。</t>
  </si>
  <si>
    <t>不等同于单一青岛站；屏幕只做抽象底图。</t>
  </si>
  <si>
    <t>降轨解算；下降外测；起飞窗口；再交会校核；返回走廊</t>
  </si>
  <si>
    <t>克制控制台、深色任务屏、有限实体输入设备</t>
  </si>
  <si>
    <t>稳定室内任务光</t>
  </si>
  <si>
    <t>席位MASTER和控制台局部</t>
  </si>
  <si>
    <t>第4、5、10、12、14场</t>
  </si>
  <si>
    <t>↳ 母图｜VLBI测轨席／天衡界面</t>
  </si>
  <si>
    <t>BY-SCN-P1-009-VLBI测轨席-V-MASTER</t>
  </si>
  <si>
    <t>北京飞控地质席</t>
  </si>
  <si>
    <t>BY-SCN-P1-010-北京飞控地质席</t>
  </si>
  <si>
    <t>场9；镜061</t>
  </si>
  <si>
    <t>地质专家把落区图与月面摄像叠合的工作席。</t>
  </si>
  <si>
    <t>属于北京飞控体系，不另造科幻实验室。</t>
  </si>
  <si>
    <t>路线建议；样品点核对；载荷遥测</t>
  </si>
  <si>
    <t>控制台、无字地图底图、通信耳机</t>
  </si>
  <si>
    <t>继承飞控大厅任务光</t>
  </si>
  <si>
    <t>席位MASTER、分屏局部</t>
  </si>
  <si>
    <t>↳ 母图｜北京飞控地质席</t>
  </si>
  <si>
    <t>BY-SCN-P1-010-北京飞控地质席-V-MASTER</t>
  </si>
  <si>
    <t>飞控中心媒体区</t>
  </si>
  <si>
    <t>BY-SCN-P1-003-飞控中心媒体区</t>
  </si>
  <si>
    <t>记者站位、任务屏和媒体工作区</t>
  </si>
  <si>
    <t>不与主飞控大厅混淆</t>
  </si>
  <si>
    <t>办公内装、屏幕</t>
  </si>
  <si>
    <t>顶部办公光、屏幕反射</t>
  </si>
  <si>
    <t>母图SV0</t>
  </si>
  <si>
    <t>↳ 母图｜飞控中心媒体区</t>
  </si>
  <si>
    <t>BY-SCN-P1-003-飞控中心媒体区-V-MASTER</t>
  </si>
  <si>
    <t>月面着陆与作业区</t>
  </si>
  <si>
    <t>BY-SCN-P0-004-月面着陆与作业区</t>
  </si>
  <si>
    <t>场5,6,7,8,9,10,11；镜027,030,032,033,034,037,038,039,042,047,048,049,050,051,052,053,054,055,056,057,058,059,060,061,062,064,066,067,068,069,074,075</t>
  </si>
  <si>
    <t>登月舱落点、舷梯、摄像机、国旗、采样、设备和羽流安全区</t>
  </si>
  <si>
    <t>锁定空间总图、太阳方向和全部固定物位置</t>
  </si>
  <si>
    <t>下降;着陆;第一步;国旗;科学;起飞</t>
  </si>
  <si>
    <t>灰色月壤、岩石、无大气黑天空</t>
  </si>
  <si>
    <t>继承BY-LGT-P0-004艺术化任务日光；黑天空、真空、深阴影、有限地表反射。</t>
  </si>
  <si>
    <t>04-10</t>
  </si>
  <si>
    <t>剧本明确;科学约束;创作者建议</t>
  </si>
  <si>
    <t>旧母图只作构型候选；以艺术化光照口径重新校准MASTER</t>
  </si>
  <si>
    <t>↳ 母图｜月面着陆与作业区</t>
  </si>
  <si>
    <t>BY-SCN-P0-004-月面着陆与作业区-V-MASTER</t>
  </si>
  <si>
    <t>BY-SCN-P0-004-月面着陆与作业区-V-FRONT</t>
  </si>
  <si>
    <t>继承BY-SCN-P0-004-月面着陆与作业区-V-MASTER，不重新发明舱室、设备、地貌或光向。</t>
  </si>
  <si>
    <t>BY-SCN-P0-004-月面着陆与作业区-V-BACK</t>
  </si>
  <si>
    <t>BY-SCN-P0-004-月面着陆与作业区-V-LEFT</t>
  </si>
  <si>
    <t>BY-SCN-P0-004-月面着陆与作业区-V-RIGHT</t>
  </si>
  <si>
    <t>BY-SCN-P0-004-月面着陆与作业区-V-TOP</t>
  </si>
  <si>
    <t>月面科学任务路线与采样点</t>
  </si>
  <si>
    <t>BY-SCN-P1-005-月面后段科考区</t>
  </si>
  <si>
    <t>场9；镜058,059,060,061,062,064,066,067</t>
  </si>
  <si>
    <t>低起伏地形、行驶路线与车辙</t>
  </si>
  <si>
    <t>与主作业区形成地貌差异但继承太阳方向</t>
  </si>
  <si>
    <t>月球车卸载；第一采样点；接触带采样；载荷布设；返程闭环</t>
  </si>
  <si>
    <t>灰色月壤、车辙、远近地形</t>
  </si>
  <si>
    <t>继承月面固定太阳光</t>
  </si>
  <si>
    <t>母图与SV1路径视图</t>
  </si>
  <si>
    <t>09</t>
  </si>
  <si>
    <t>与月面MASTER共用光向和地质材料，不另造独立天体环境</t>
  </si>
  <si>
    <t>↳ 母图｜月面科学任务路线与采样点</t>
  </si>
  <si>
    <t>BY-SCN-P1-005-月面后段科考区-V-MASTER</t>
  </si>
  <si>
    <t xml:space="preserve">  ↳ 视图｜科考路线前向</t>
  </si>
  <si>
    <t>BY-SCN-P1-005-月面后段科考区-V-PATH-FRONT</t>
  </si>
  <si>
    <t>PATH-FRONT</t>
  </si>
  <si>
    <t>相对母图的科考路线前向，用于镜头连续和空间核验。</t>
  </si>
  <si>
    <t>继承BY-SCN-P1-005-月面后段科考区-V-MASTER，不重新发明舱室、设备、地貌或光向。</t>
  </si>
  <si>
    <t xml:space="preserve">  ↳ 视图｜科考路线侧向</t>
  </si>
  <si>
    <t>BY-SCN-P1-005-月面后段科考区-V-PATH-SIDE</t>
  </si>
  <si>
    <t>PATH-SIDE</t>
  </si>
  <si>
    <t>相对母图的科考路线侧向，用于镜头连续和空间核验。</t>
  </si>
  <si>
    <t xml:space="preserve">  ↳ 视图｜科考路线俯视</t>
  </si>
  <si>
    <t>BY-SCN-P1-005-月面后段科考区-V-PATH-TOP</t>
  </si>
  <si>
    <t>PATH-TOP</t>
  </si>
  <si>
    <t>相对母图的科考路线俯视，用于镜头连续和空间核验。</t>
  </si>
  <si>
    <t>环月轨道外部环境</t>
  </si>
  <si>
    <t>BY-SCN-P1-006-环月轨道外部环境</t>
  </si>
  <si>
    <t>场1,2,4,11,12,13,14；镜002,008,010,011,020,021,024,025,078,084,085,087,093,095,096,098</t>
  </si>
  <si>
    <t>月球弧面、黑色太空和两器相对空间</t>
  </si>
  <si>
    <t>统一太阳方向、月球尺度和对接轴</t>
  </si>
  <si>
    <t>交会;分离;月地转移</t>
  </si>
  <si>
    <t>无空气环境、月球表面反照</t>
  </si>
  <si>
    <t>硬太阳光与月球反射</t>
  </si>
  <si>
    <t>环境母图与SV1基准视图</t>
  </si>
  <si>
    <t>轨道外景</t>
  </si>
  <si>
    <t>剧本明确;科学约束</t>
  </si>
  <si>
    <t>轨道视觉重建包</t>
  </si>
  <si>
    <t>↳ 母图｜环月轨道外部环境</t>
  </si>
  <si>
    <t>BY-SCN-P1-006-环月轨道外部环境-V-MASTER</t>
  </si>
  <si>
    <t xml:space="preserve">  ↳ 视图｜对接轴线</t>
  </si>
  <si>
    <t>BY-SCN-P1-006-环月轨道外部环境-V-DOCK-AXIS</t>
  </si>
  <si>
    <t>DOCK-AXIS</t>
  </si>
  <si>
    <t>相对母图的对接轴线，用于镜头连续和空间核验。</t>
  </si>
  <si>
    <t>继承BY-SCN-P1-006-环月轨道外部环境-V-MASTER，不重新发明舱室、设备、地貌或光向。</t>
  </si>
  <si>
    <t xml:space="preserve">  ↳ 视图｜月缘尺度关系</t>
  </si>
  <si>
    <t>BY-SCN-P1-006-环月轨道外部环境-V-MOON-LIMB</t>
  </si>
  <si>
    <t>MOON-LIMB</t>
  </si>
  <si>
    <t>相对母图的月缘尺度关系，用于镜头连续和空间核验。</t>
  </si>
  <si>
    <t xml:space="preserve">  ↳ 视图｜分离状态</t>
  </si>
  <si>
    <t>BY-SCN-P1-006-环月轨道外部环境-V-SEPARATION</t>
  </si>
  <si>
    <t>SEPARATION</t>
  </si>
  <si>
    <t>相对母图的分离状态，用于镜头连续和空间核验。</t>
  </si>
  <si>
    <t>返回舱再入视觉环境</t>
  </si>
  <si>
    <t>BY-SCN-P0-007-返回舱再入视觉环境</t>
  </si>
  <si>
    <t>场15；镜102,104,105,106,108</t>
  </si>
  <si>
    <t>近地空间、高层大气、地球弧面和返回舱跳跃式再入的统一视觉环境。</t>
  </si>
  <si>
    <t>第一次擦入、短暂跃出、第二次再入、黑障和开伞属于同一连续轨迹。</t>
  </si>
  <si>
    <t>服务舱分离；第一次再入；跃出；第二次再入；辉光减弱；开伞</t>
  </si>
  <si>
    <t>地球蓝白层次、黑色近地空间、受控等离子辉光</t>
  </si>
  <si>
    <t>太阳光、地球反照与等离子自发光来源清楚</t>
  </si>
  <si>
    <t>再入MASTER及关键状态视图</t>
  </si>
  <si>
    <t>第15场</t>
  </si>
  <si>
    <t>↳ 母图｜返回舱再入视觉环境</t>
  </si>
  <si>
    <t>BY-SCN-P0-007-返回舱再入视觉环境-V-MASTER</t>
  </si>
  <si>
    <t xml:space="preserve">  ↳ 视图｜第一次再入</t>
  </si>
  <si>
    <t>BY-SCN-P0-007-返回舱再入视觉环境-V-FIRST-ENTRY</t>
  </si>
  <si>
    <t>FIRST-ENTRY</t>
  </si>
  <si>
    <t>相对母图的第一次再入，用于镜头连续和空间核验。</t>
  </si>
  <si>
    <t>继承BY-SCN-P0-007-返回舱再入视觉环境-V-MASTER，不重新发明舱室、设备、地貌或光向。</t>
  </si>
  <si>
    <t xml:space="preserve">  ↳ 视图｜跃出段</t>
  </si>
  <si>
    <t>BY-SCN-P0-007-返回舱再入视觉环境-V-SKIP</t>
  </si>
  <si>
    <t>SKIP</t>
  </si>
  <si>
    <t>相对母图的跃出段，用于镜头连续和空间核验。</t>
  </si>
  <si>
    <t xml:space="preserve">  ↳ 视图｜第二次再入</t>
  </si>
  <si>
    <t>BY-SCN-P0-007-返回舱再入视觉环境-V-SECOND-ENTRY</t>
  </si>
  <si>
    <t>SECOND-ENTRY</t>
  </si>
  <si>
    <t>相对母图的第二次再入，用于镜头连续和空间核验。</t>
  </si>
  <si>
    <t xml:space="preserve">  ↳ 视图｜伞降状态</t>
  </si>
  <si>
    <t>BY-SCN-P0-007-返回舱再入视觉环境-V-PARACHUTE</t>
  </si>
  <si>
    <t>PARACHUTE</t>
  </si>
  <si>
    <t>相对母图的伞降状态，用于镜头连续和空间核验。</t>
  </si>
  <si>
    <t>返回器搜救指挥中心</t>
  </si>
  <si>
    <t>BY-SCN-P1-011-搜救指挥中心</t>
  </si>
  <si>
    <t>场16；镜110</t>
  </si>
  <si>
    <t>落点预测、空地接力和回收状态闭合的指挥空间。</t>
  </si>
  <si>
    <t>与北京飞控可剪辑区分，界面后期添加。</t>
  </si>
  <si>
    <t>落点收敛；队伍接近；舱体与乘组状态闭合</t>
  </si>
  <si>
    <t>真实调度席、通信设备、地图屏底图</t>
  </si>
  <si>
    <t>克制任务光</t>
  </si>
  <si>
    <t>MASTER、主屏／席位局部</t>
  </si>
  <si>
    <t>第15—16场</t>
  </si>
  <si>
    <t>↳ 母图｜返回器搜救指挥中心</t>
  </si>
  <si>
    <t>BY-SCN-P1-011-搜救指挥中心-V-MASTER</t>
  </si>
  <si>
    <t>东风着陆场与搜救现场</t>
  </si>
  <si>
    <t>BY-SCN-P0-008-预定着陆区与搜救现场</t>
  </si>
  <si>
    <t>第13—15场</t>
  </si>
  <si>
    <t>东风着陆场荒漠回收区、预报走廊、直升机与车组、警戒区、返回舱开舱区。</t>
  </si>
  <si>
    <t>着陆地点保持泛化，不制造具体未公布地名。</t>
  </si>
  <si>
    <t>再入待命；目标跟踪；返回舱着陆；搜救抵达；安全处置；开舱与转移</t>
  </si>
  <si>
    <t>真实荒漠／草原地表、工程车辆、医疗与安全装备</t>
  </si>
  <si>
    <t>黎明至清晨的自然光连续；风沙、尘土和远距能见度真实。</t>
  </si>
  <si>
    <t>MASTER、航拍、手持长焦、舱门医疗视图</t>
  </si>
  <si>
    <t>↳ 母图｜东风着陆场与搜救现场</t>
  </si>
  <si>
    <t>BY-SCN-P0-008-预定着陆区与搜救现场-V-MASTER</t>
  </si>
  <si>
    <t xml:space="preserve">  ↳ 视图｜航拍总览</t>
  </si>
  <si>
    <t>BY-SCN-P0-008-预定着陆区与搜救现场-V-AERIAL</t>
  </si>
  <si>
    <t>AERIAL</t>
  </si>
  <si>
    <t>相对母图的航拍总览，用于镜头连续和空间核验。</t>
  </si>
  <si>
    <t>继承BY-SCN-P0-008-预定着陆区与搜救现场-V-MASTER，不重新发明舱室、设备、地貌或光向。</t>
  </si>
  <si>
    <t xml:space="preserve">  ↳ 视图｜长焦跟踪</t>
  </si>
  <si>
    <t>BY-SCN-P0-008-预定着陆区与搜救现场-V-LONG-LENS</t>
  </si>
  <si>
    <t>LONG-LENS</t>
  </si>
  <si>
    <t>相对母图的长焦跟踪，用于镜头连续和空间核验。</t>
  </si>
  <si>
    <t xml:space="preserve">  ↳ 视图｜开舱医监关系</t>
  </si>
  <si>
    <t>BY-SCN-P0-008-预定着陆区与搜救现场-V-HATCH-MEDICAL</t>
  </si>
  <si>
    <t>HATCH-MEDICAL</t>
  </si>
  <si>
    <t>相对母图的开舱医监关系，用于镜头连续和空间核验。</t>
  </si>
  <si>
    <t>东风医监医保与开舱作业区</t>
  </si>
  <si>
    <t>BY-SCN-P1-012-东风医监开舱作业区</t>
  </si>
  <si>
    <t>镜112—117</t>
  </si>
  <si>
    <t>返回舱外警戒、开舱、人员评估、支撑转移与样品交接的连续工作区。</t>
  </si>
  <si>
    <t>保持返回舱、医监点、座椅／担架、样品接收和车辆通道的空间关系。</t>
  </si>
  <si>
    <t>安全处置；开舱；逐人评估；座椅／担架转移；样品交接</t>
  </si>
  <si>
    <t>荒漠地表、专业救援器材、低反射工作服</t>
  </si>
  <si>
    <t>黎明至清晨自然光</t>
  </si>
  <si>
    <t>建立俯视总图、开舱侧视、医疗转移和样品交接四类视图</t>
  </si>
  <si>
    <t>东风回收段</t>
  </si>
  <si>
    <t>↳ 母图｜东风医监医保与开舱作业区</t>
  </si>
  <si>
    <t>BY-SCN-P1-012-SV-MASTER</t>
  </si>
  <si>
    <t>V1.3.1层级化登记完成｜阶段2B待生成</t>
  </si>
  <si>
    <t xml:space="preserve">  ↳ 视图｜开舱口</t>
  </si>
  <si>
    <t>BY-SCN-P1-012-SV-HATCH</t>
  </si>
  <si>
    <t>HATCH</t>
  </si>
  <si>
    <t>相对母图的开舱口，用于镜头连续和空间核验。</t>
  </si>
  <si>
    <t>继承BY-SCN-P1-012-SV-MASTER，不重新发明舱室、设备、地貌或光向。</t>
  </si>
  <si>
    <t xml:space="preserve">  ↳ 视图｜医监作业区</t>
  </si>
  <si>
    <t>BY-SCN-P1-012-SV-MEDICAL</t>
  </si>
  <si>
    <t>MEDICAL</t>
  </si>
  <si>
    <t>相对母图的医监作业区，用于镜头连续和空间核验。</t>
  </si>
  <si>
    <t>BY-SCN-P1-012-SV-TRANSFER</t>
  </si>
  <si>
    <t xml:space="preserve">  ↳ 视图｜样品交接</t>
  </si>
  <si>
    <t>BY-SCN-P1-012-SV-SAMPLE-HANDOFF</t>
  </si>
  <si>
    <t>SAMPLE-HANDOFF</t>
  </si>
  <si>
    <t>相对母图的样品交接，用于镜头连续和空间核验。</t>
  </si>
  <si>
    <t>未来新闻演播室</t>
  </si>
  <si>
    <t>BY-SCN-P1-001-未来新闻演播室</t>
  </si>
  <si>
    <t>主播台、专家双人位和后方大屏</t>
  </si>
  <si>
    <t>克制未来感，文字后期添加</t>
  </si>
  <si>
    <t>主播;专家访谈</t>
  </si>
  <si>
    <t>建筑内装、屏幕、桌面</t>
  </si>
  <si>
    <t>中性直播光</t>
  </si>
  <si>
    <t>母图与SV1指定视图</t>
  </si>
  <si>
    <t>V1.2不使用演播室</t>
  </si>
  <si>
    <t>文昌发射场夜景</t>
  </si>
  <si>
    <t>BY-SCN-P1-002-文昌发射场夜景</t>
  </si>
  <si>
    <t>01场两次发射</t>
  </si>
  <si>
    <t>发射塔、箭体、安全区和夜景设施</t>
  </si>
  <si>
    <t>两次发射共用空间母图</t>
  </si>
  <si>
    <t>首发;第二次发射</t>
  </si>
  <si>
    <t>金属塔架、混凝土地面、烟气</t>
  </si>
  <si>
    <t>夜间照明与发动机火焰</t>
  </si>
  <si>
    <t>母图、PAD-WIDE、LOW</t>
  </si>
  <si>
    <t>V1.2从月轨相遇起片，不含发射</t>
  </si>
  <si>
    <t>北京飞控中心大厅</t>
  </si>
  <si>
    <t>BY-SCN-P1-004-北京飞控中心大厅</t>
  </si>
  <si>
    <t>03-05;07;11;13场</t>
  </si>
  <si>
    <t>核心飞控席、群像和屏幕墙</t>
  </si>
  <si>
    <t>屏幕参数后期添加，岗位层级清楚</t>
  </si>
  <si>
    <t>任务常态;触月确认;第一步;返程</t>
  </si>
  <si>
    <t>办公内装、控制台、屏幕</t>
  </si>
  <si>
    <t>冷色办公光与屏幕反射</t>
  </si>
  <si>
    <t>多场</t>
  </si>
  <si>
    <t>由P0新资产BY-SCN-P0-006替代</t>
  </si>
  <si>
    <t>载具／航天器</t>
  </si>
  <si>
    <t>长征十号揽月发射构型</t>
  </si>
  <si>
    <t>BY-VEH-P1-001-长征十号揽月发射构型</t>
  </si>
  <si>
    <t>VEH</t>
  </si>
  <si>
    <t>01-02镜头</t>
  </si>
  <si>
    <t>首枚长征十号搭载揽月</t>
  </si>
  <si>
    <t>公开结构范围内补全</t>
  </si>
  <si>
    <t>发射前;点火;离架</t>
  </si>
  <si>
    <t>箭体、整流罩、发动机</t>
  </si>
  <si>
    <t>文昌夜间发射光</t>
  </si>
  <si>
    <t>外部多角度与发射参考</t>
  </si>
  <si>
    <t>剧本明确;公开资料</t>
  </si>
  <si>
    <t>V1.2不含发射</t>
  </si>
  <si>
    <t>长征十号梦舟发射构型</t>
  </si>
  <si>
    <t>BY-VEH-P1-002-长征十号梦舟发射构型</t>
  </si>
  <si>
    <t>01-03镜头</t>
  </si>
  <si>
    <t>第二枚长征十号搭载梦舟与三人</t>
  </si>
  <si>
    <t>与首发共用火箭体系，锁定载荷构型差异</t>
  </si>
  <si>
    <t>梦舟载人飞船</t>
  </si>
  <si>
    <t>BY-VEH-P0-001-梦舟载人飞船</t>
  </si>
  <si>
    <t>01;03;11;13</t>
  </si>
  <si>
    <t>三人环月飞船，含返回舱、服务舱和对接口</t>
  </si>
  <si>
    <t>以公开资料为上限，不宣称官方复原</t>
  </si>
  <si>
    <t>金属、隔热材料、低反光表面</t>
  </si>
  <si>
    <t>环月轨道太阳光</t>
  </si>
  <si>
    <t>外部多视图、对接轴视图</t>
  </si>
  <si>
    <t>轨道场次</t>
  </si>
  <si>
    <t>P0航天器首批</t>
  </si>
  <si>
    <t>揽月着陆器＋推进舱月轨组合体</t>
  </si>
  <si>
    <t>BY-VEH-P0-002-揽月完整构型</t>
  </si>
  <si>
    <t>场1,2,4；镜002,005,008,010,011,020,021,024,025</t>
  </si>
  <si>
    <t>登月舱与推进舱组成的下降前构型</t>
  </si>
  <si>
    <t>锁定两舱尺度和与梦舟对接关系</t>
  </si>
  <si>
    <t>交会接近；对接；分离；降轨点火；推进舱任务完成</t>
  </si>
  <si>
    <t>金属、隔热与推进结构</t>
  </si>
  <si>
    <t>外部多视图与尺度图</t>
  </si>
  <si>
    <t>下降前</t>
  </si>
  <si>
    <t>V1.2外部构型链首要验证资产</t>
  </si>
  <si>
    <t>揽月登月舱</t>
  </si>
  <si>
    <t>BY-VEH-P0-003-揽月登月舱</t>
  </si>
  <si>
    <t>场4,5,6,7,8,9,10,11；镜025,027,033,037,038,039,042,047,051,054,055,057,058,067,068,074,075</t>
  </si>
  <si>
    <t>推进舱分离后完成着陆、月面驻留、起飞与对接</t>
  </si>
  <si>
    <t>统一舷梯、支架、舱门和对接口</t>
  </si>
  <si>
    <t>下降姿态；触月承载；月面驻留；整器起飞；环月交会</t>
  </si>
  <si>
    <t>金属、隔热、支架与舷梯结构</t>
  </si>
  <si>
    <t>轨道光与月面太阳光</t>
  </si>
  <si>
    <t>外部多视图、着陆与起飞状态</t>
  </si>
  <si>
    <t>04-12</t>
  </si>
  <si>
    <t>揽月推进舱分离状态</t>
  </si>
  <si>
    <t>BY-VEH-P1-003-揽月推进舱分离状态</t>
  </si>
  <si>
    <t>场4；镜025</t>
  </si>
  <si>
    <t>公开流程的推进舱分离结果</t>
  </si>
  <si>
    <t>不虚构高度、速度、机构和精确时序</t>
  </si>
  <si>
    <t>分离前;分离后</t>
  </si>
  <si>
    <t>推进结构</t>
  </si>
  <si>
    <t>环月至下降环境</t>
  </si>
  <si>
    <t>状态对照资产</t>
  </si>
  <si>
    <t>04</t>
  </si>
  <si>
    <t>随完整构型制作</t>
  </si>
  <si>
    <t>探索载人月球车</t>
  </si>
  <si>
    <t>BY-VEH-P0-004-探索载人月球车</t>
  </si>
  <si>
    <t>场9；镜058,059,066,067</t>
  </si>
  <si>
    <t>双人驾乘月面移动与探测辅助载具</t>
  </si>
  <si>
    <t>公开方向上补全驾驶位、车轮和载荷接口</t>
  </si>
  <si>
    <t>折叠或驻车;双人行驶</t>
  </si>
  <si>
    <t>金属、复合材料、月尘附着</t>
  </si>
  <si>
    <t>多视图、双人尺度、行驶状态</t>
  </si>
  <si>
    <t>月面设备包</t>
  </si>
  <si>
    <t>梦舟返回舱＋服务舱月轨组合体</t>
  </si>
  <si>
    <t>BY-VEH-P0-005-梦舟月轨组合体</t>
  </si>
  <si>
    <t>场1,2,4,12,13,14；镜002,005,008,010,011,020,021,084,085,087,093,095,096,098</t>
  </si>
  <si>
    <t>返回舱、无人服务舱、太阳翼和前向对接口可辨认的完整组合体。</t>
  </si>
  <si>
    <t>服务舱不可出现载人舷窗或观察室。</t>
  </si>
  <si>
    <t>环月待机；两次对接；地月转移姿态</t>
  </si>
  <si>
    <t>隔热材料、太阳翼、推进与热控外部设备</t>
  </si>
  <si>
    <t>继承环月轨道光</t>
  </si>
  <si>
    <t>完整组合体结构验证和关键状态视图</t>
  </si>
  <si>
    <t>第1—4、12—14场</t>
  </si>
  <si>
    <t>梦舟返回舱独立再入构型</t>
  </si>
  <si>
    <t>BY-VEH-P0-006-梦舟返回舱独立再入构型</t>
  </si>
  <si>
    <t>服务舱分离后的独立返回舱，防热大底朝向清楚。</t>
  </si>
  <si>
    <t>外形以公开返回舱方向为锚，未公开细部克制补全。</t>
  </si>
  <si>
    <t>分离；姿态调整；等离子再入；开伞前</t>
  </si>
  <si>
    <t>烧蚀防热材料、耐高温外表、天线区域</t>
  </si>
  <si>
    <t>再入辉光与高层大气</t>
  </si>
  <si>
    <t>结构验证＋再入状态继承</t>
  </si>
  <si>
    <t>返回舱群伞／气囊着陆构型</t>
  </si>
  <si>
    <t>BY-VEH-P0-007-返回舱群伞气囊着陆构型</t>
  </si>
  <si>
    <t>场15,16；镜108,109,110,111,112,113,114</t>
  </si>
  <si>
    <t>返回舱稳定伞、主伞、充气气囊和陆上着陆状态。</t>
  </si>
  <si>
    <t>明确属于公开技术基础上的艺术方案。</t>
  </si>
  <si>
    <t>稳定伞；主伞；气囊充气；触地滚摆；着陆稳定</t>
  </si>
  <si>
    <t>高强织物伞具、烧蚀舱体、工程气囊</t>
  </si>
  <si>
    <t>地球大气与日间现场光</t>
  </si>
  <si>
    <t>与开伞、气囊VFX和搜救场景联合验证</t>
  </si>
  <si>
    <t>揽月整器月面起飞状态</t>
  </si>
  <si>
    <t>BY-VEH-P1-004-揽月月面起飞状态</t>
  </si>
  <si>
    <t>场11；镜074,075,078</t>
  </si>
  <si>
    <t>四条着陆腿随着陆器整体离月的构型。</t>
  </si>
  <si>
    <t>禁止阿波罗式留月下降级。</t>
  </si>
  <si>
    <t>点火；垂直上升；俯仰转弯；入轨</t>
  </si>
  <si>
    <t>继承已确认揽月材料</t>
  </si>
  <si>
    <t>艺术化月面日光与贴地羽流</t>
  </si>
  <si>
    <t>由揽月基础资产派生状态</t>
  </si>
  <si>
    <t>第11场</t>
  </si>
  <si>
    <t>揽月月轨再交会对接状态</t>
  </si>
  <si>
    <t>BY-VEH-P1-005-揽月月轨再对接状态</t>
  </si>
  <si>
    <t>场12；镜084,085,087</t>
  </si>
  <si>
    <t>月面起飞后的揽月与梦舟轴向接近、捕获和硬连接。</t>
  </si>
  <si>
    <t>与首次对接使用同一接口家族。</t>
  </si>
  <si>
    <t>近程导引；百米点；最终接近；捕获；硬连接</t>
  </si>
  <si>
    <t>继承揽月和梦舟外部材料</t>
  </si>
  <si>
    <t>环月轨道光</t>
  </si>
  <si>
    <t>两器尺度与对接轴线验证</t>
  </si>
  <si>
    <t>第12—13场</t>
  </si>
  <si>
    <t>揽月受控分离处置状态</t>
  </si>
  <si>
    <t>BY-VEH-P1-006-揽月受控处置状态</t>
  </si>
  <si>
    <t>场13；镜093,095</t>
  </si>
  <si>
    <t>人员与样品转移完成后，揽月与梦舟分离并进入另一条处置轨迹。</t>
  </si>
  <si>
    <t>不锁定具体撞击点。</t>
  </si>
  <si>
    <t>分离；安全距离；轨迹分叉；远离</t>
  </si>
  <si>
    <t>继承揽月基础构型</t>
  </si>
  <si>
    <t>与处置轨迹VFX联合制作</t>
  </si>
  <si>
    <t>第13场</t>
  </si>
  <si>
    <t>梦舟服务舱近地分离状态</t>
  </si>
  <si>
    <t>BY-VEH-P1-007-梦舟服务舱近地分离状态</t>
  </si>
  <si>
    <t>场15；镜102</t>
  </si>
  <si>
    <t>近地再入前服务舱与返回舱分离，只有返回舱进入大气。</t>
  </si>
  <si>
    <t>服务舱保持无人非密封外部结构。</t>
  </si>
  <si>
    <t>主供能关闭；分离；返回舱调姿</t>
  </si>
  <si>
    <t>继承梦舟组合体材料</t>
  </si>
  <si>
    <t>近地空间与地球反照</t>
  </si>
  <si>
    <t>外部构型状态验证</t>
  </si>
  <si>
    <t>搜救直升机与地面车辆配置</t>
  </si>
  <si>
    <t>BY-VEH-P1-008-搜救直升机与地面车辆</t>
  </si>
  <si>
    <t>空中和地面两路接近返回舱的搜救载具。</t>
  </si>
  <si>
    <t>不绑定未公布型号和涂装细节。</t>
  </si>
  <si>
    <t>远距接近；抵达；医疗／样品转运</t>
  </si>
  <si>
    <t>真实搜救工程装备</t>
  </si>
  <si>
    <t>载具配置与尺度验证</t>
  </si>
  <si>
    <t>设备／道具</t>
  </si>
  <si>
    <t>梦舟三座椅与束缚系统</t>
  </si>
  <si>
    <t>BY-PRP-P0-001-梦舟三座椅与束缚系统</t>
  </si>
  <si>
    <t>PRP</t>
  </si>
  <si>
    <t>两张空座椅视觉母题和三人座位</t>
  </si>
  <si>
    <t>座位归属、束缚带和相对位置固定</t>
  </si>
  <si>
    <t>三座满员；两座空置锁定；三人重聚；再入载荷承载；着陆缓冲</t>
  </si>
  <si>
    <t>金属框架、功能织物、软约束</t>
  </si>
  <si>
    <t>同一套座椅保持承力骨架、基座和朝向稳定，四种状态只改变人员、束缚、靠背角度与载荷状态。</t>
  </si>
  <si>
    <t>梦舟舱内</t>
  </si>
  <si>
    <t>剧本明确</t>
  </si>
  <si>
    <t>功能与补全口径已确认;形制由阶段2设计</t>
  </si>
  <si>
    <t>与梦舟舱内母资产同步设计，禁止独立生成三张互不兼容座椅图</t>
  </si>
  <si>
    <t>揽月舷梯与扶手系统</t>
  </si>
  <si>
    <t>BY-PRP-P0-002-揽月舷梯与扶手系统</t>
  </si>
  <si>
    <t>场7,8,10；镜047,048,049,052,069</t>
  </si>
  <si>
    <t>出舱、下降与第一步动作路径</t>
  </si>
  <si>
    <t>具体级数后置，锁定舱门、扶手和落脚逻辑</t>
  </si>
  <si>
    <t>收纳;展开;使用</t>
  </si>
  <si>
    <t>金属、低反光、防滑结构</t>
  </si>
  <si>
    <t>结构多视图、人物动作尺度</t>
  </si>
  <si>
    <t>06-07</t>
  </si>
  <si>
    <t>随揽月登月舱设计</t>
  </si>
  <si>
    <t>便携式月面摄像机</t>
  </si>
  <si>
    <t>BY-PRP-P0-003-便携式月面摄像机</t>
  </si>
  <si>
    <t>第8—11场</t>
  </si>
  <si>
    <t>建立国旗与月面起飞固定摄影来源</t>
  </si>
  <si>
    <t>折叠三脚架、可戴手套操作的锁止件、服外图像链路确认界面；部署于揽月侧前方安全距离。</t>
  </si>
  <si>
    <t>舱外取出；双人部署；固定全景；延时记录；起飞留场空镜</t>
  </si>
  <si>
    <t>金属、复合材料、镜头与短支架</t>
  </si>
  <si>
    <t>镜60部署后，镜61、63—64、69、76、81必须复用同一机位与同一设备。</t>
  </si>
  <si>
    <t>08-10</t>
  </si>
  <si>
    <t>工程化国旗展示装置</t>
  </si>
  <si>
    <t>BY-PRP-P0-004-工程化国旗展示装置</t>
  </si>
  <si>
    <t>场7,8,9,11；镜045,054,055,056,057,067,074</t>
  </si>
  <si>
    <t>底座、立杆、横向支撑和锁止结构</t>
  </si>
  <si>
    <t>不采用普通旗杆插地动作，旗面无风摆动</t>
  </si>
  <si>
    <t>折叠;搬运;展开;静止</t>
  </si>
  <si>
    <t>金属支撑、织物旗面</t>
  </si>
  <si>
    <t>结构多视图、双人部署尺度</t>
  </si>
  <si>
    <t>08</t>
  </si>
  <si>
    <t>阶段2关键道具测试</t>
  </si>
  <si>
    <t>主样品密封转移容器</t>
  </si>
  <si>
    <t>BY-PRP-P0-005-密封样品转移容器</t>
  </si>
  <si>
    <t>场10,11,13,14,16；镜068,071,076,089,101,113</t>
  </si>
  <si>
    <t>样品从月面到梦舟的稳定容器</t>
  </si>
  <si>
    <t>可固定、可通过对接通道、外部状态可检查</t>
  </si>
  <si>
    <t>空载固定；装样封闭；外平台转移；揽月舱内锁止；跨舱转移；梦舟样品柜锁止</t>
  </si>
  <si>
    <t>金属与密封结构、低反光</t>
  </si>
  <si>
    <t>月面与舱内实际光源</t>
  </si>
  <si>
    <t>多视图、手套与双手交接尺度</t>
  </si>
  <si>
    <t>09-12</t>
  </si>
  <si>
    <t>样品链核心资产</t>
  </si>
  <si>
    <t>月面采样工具</t>
  </si>
  <si>
    <t>BY-PRP-P1-001-月面采样工具</t>
  </si>
  <si>
    <t>场7,9；镜045,059,062</t>
  </si>
  <si>
    <t>手套可操作的月壤采样工具</t>
  </si>
  <si>
    <t>与样品容器和人体尺度匹配</t>
  </si>
  <si>
    <t>收纳;使用</t>
  </si>
  <si>
    <t>金属、复合材料、低反光</t>
  </si>
  <si>
    <t>多视图与使用动作参考</t>
  </si>
  <si>
    <t>月壤样品容器</t>
  </si>
  <si>
    <t>BY-PRP-P1-002-月壤样品容器</t>
  </si>
  <si>
    <t>接收月壤并封闭的内层容器</t>
  </si>
  <si>
    <t>可装入密封转移容器</t>
  </si>
  <si>
    <t>开启;装样;关闭</t>
  </si>
  <si>
    <t>密封结构、低反光</t>
  </si>
  <si>
    <t>多视图与手套操作参考</t>
  </si>
  <si>
    <t>样品链资产</t>
  </si>
  <si>
    <t>小型月面科学载荷</t>
  </si>
  <si>
    <t>BY-PRP-P1-003-月面科学观测设备</t>
  </si>
  <si>
    <t>场9；镜064</t>
  </si>
  <si>
    <t>折叠部署的泛化科学设备</t>
  </si>
  <si>
    <t>不锁定未公开型号，动作逻辑可执行</t>
  </si>
  <si>
    <t>收纳；搬运；布放；安装后；遥测上线</t>
  </si>
  <si>
    <t>金属、复合材料、支撑结构</t>
  </si>
  <si>
    <t>多视图与双人部署参考</t>
  </si>
  <si>
    <t>月面工具包与载荷固定系统</t>
  </si>
  <si>
    <t>BY-PRP-P1-004-月面工具包与载荷固定系统</t>
  </si>
  <si>
    <t>场7；镜045</t>
  </si>
  <si>
    <t>工具、国旗、摄像机和采样载荷的收纳与固定</t>
  </si>
  <si>
    <t>与揽月设备舱和登月服动作匹配</t>
  </si>
  <si>
    <t>固定;取出;回收</t>
  </si>
  <si>
    <t>功能织物、绑带、金属锁止</t>
  </si>
  <si>
    <t>舱内与月面实际光源</t>
  </si>
  <si>
    <t>结构图与关系参考</t>
  </si>
  <si>
    <t>月面任务</t>
  </si>
  <si>
    <t>揽月设备关系切片</t>
  </si>
  <si>
    <t>两器舱门与对接锁止结果件</t>
  </si>
  <si>
    <t>BY-PRP-P1-005-两器舱门与对接锁止结果件</t>
  </si>
  <si>
    <t>梦舟侧与揽月侧舱门、对接锁和密封结果</t>
  </si>
  <si>
    <t>明确关闭顺序和两侧差异</t>
  </si>
  <si>
    <t>开启;关闭;锁闭;密封;解除</t>
  </si>
  <si>
    <t>金属、密封圈、锁止机构</t>
  </si>
  <si>
    <t>舱内与轨道实际光源</t>
  </si>
  <si>
    <t>结构局部与状态对照</t>
  </si>
  <si>
    <t>对接场次</t>
  </si>
  <si>
    <t>与两个舱内场景同步设计</t>
  </si>
  <si>
    <t>舱内操作界面与任务屏</t>
  </si>
  <si>
    <t>BY-PRP-P1-006-舱内操作界面与任务屏</t>
  </si>
  <si>
    <t>梦舟、揽月与飞控任务镜头</t>
  </si>
  <si>
    <t>无可读参数的结构与光影底图</t>
  </si>
  <si>
    <t>显示轨道、姿态、相对导航、生命保障、样品固定与再入参数；信息密度真实但不伪造官方界面。</t>
  </si>
  <si>
    <t>常态;状态变化</t>
  </si>
  <si>
    <t>低反光屏幕、实体操作区</t>
  </si>
  <si>
    <t>各场实际光源</t>
  </si>
  <si>
    <t>建立可读但非官方复刻的统一任务UI组件库；屏幕保持工作状态。</t>
  </si>
  <si>
    <t>项目锁定;创作者建议</t>
  </si>
  <si>
    <t>已确认锁定原则</t>
  </si>
  <si>
    <t>阶段2只做无文字资产</t>
  </si>
  <si>
    <t>任务数据盒与随身救生包</t>
  </si>
  <si>
    <t>BY-PRP-P1-007-任务数据盒与随身救生包</t>
  </si>
  <si>
    <t>场3；镜014</t>
  </si>
  <si>
    <t>人员转移前先行跨舱的小型固定任务物品。</t>
  </si>
  <si>
    <t>可由戴手套人员沿固定索传递。</t>
  </si>
  <si>
    <t>梦舟固定；通道传递；揽月固定</t>
  </si>
  <si>
    <t>耐磨织物包、硬壳数据盒、系留点</t>
  </si>
  <si>
    <t>舱内任务光</t>
  </si>
  <si>
    <t>道具结构与手套尺度验证</t>
  </si>
  <si>
    <t>第3场</t>
  </si>
  <si>
    <t>主样品容器编号、封签与固定座</t>
  </si>
  <si>
    <t>BY-PRP-P1-008-主样品容器编号与固定座</t>
  </si>
  <si>
    <t>承载采样袋并贯穿月面—揽月—梦舟—回收链。</t>
  </si>
  <si>
    <t>编号、封签和可读信息后期添加。</t>
  </si>
  <si>
    <t>空载；接近上限；封闭；外平台锁止；舱内锁止；跨舱；回收接收</t>
  </si>
  <si>
    <t>金属／复合材料硬壳、双重锁止</t>
  </si>
  <si>
    <t>月面与舱内光影分别继承</t>
  </si>
  <si>
    <t>与BY-PRP-P0-005形成容器系统</t>
  </si>
  <si>
    <t>第9—10、13—16场</t>
  </si>
  <si>
    <t>月尘污染控制用品</t>
  </si>
  <si>
    <t>BY-PRP-P1-009-污染控制用品</t>
  </si>
  <si>
    <t>场10；镜071</t>
  </si>
  <si>
    <t>返舱后擦拭登月服接口和样品容器的工具。</t>
  </si>
  <si>
    <t>不表现扬尘和随意脱服。</t>
  </si>
  <si>
    <t>收纳；擦拭；封存</t>
  </si>
  <si>
    <t>低掉屑擦拭材料、密封袋、固定夹</t>
  </si>
  <si>
    <t>揽月舱内任务光</t>
  </si>
  <si>
    <t>道具组轻量结构验证</t>
  </si>
  <si>
    <t>第10场</t>
  </si>
  <si>
    <t>梦舟返回舱样品柜与锁止</t>
  </si>
  <si>
    <t>BY-PRP-P1-010-返回舱样品柜与锁止</t>
  </si>
  <si>
    <t>场14；镜101</t>
  </si>
  <si>
    <t>返航时独立固定主样品容器的紧凑柜体。</t>
  </si>
  <si>
    <t>与三座承载区不冲突。</t>
  </si>
  <si>
    <t>空；容器锁止；回收交接</t>
  </si>
  <si>
    <t>暖白设备柜、金属锁扣、软性防撞衬垫</t>
  </si>
  <si>
    <t>与梦舟返航构型联合验证</t>
  </si>
  <si>
    <t>第13—16场</t>
  </si>
  <si>
    <t>返回舱信标与现场安全处置工具</t>
  </si>
  <si>
    <t>BY-PRP-P1-011-返回舱信标与现场安全工具</t>
  </si>
  <si>
    <t>场16；镜111</t>
  </si>
  <si>
    <t>着陆后定位、温度／电气安全检查和舱门处置用品。</t>
  </si>
  <si>
    <t>不写可读型号和未公布程序。</t>
  </si>
  <si>
    <t>信标工作；安全检查；开舱准备</t>
  </si>
  <si>
    <t>耐候工程设备、测温和绝缘工具</t>
  </si>
  <si>
    <t>搜救场景道具组</t>
  </si>
  <si>
    <t>东风医监支撑座椅、担架与生命体征设备</t>
  </si>
  <si>
    <t>BY-PRP-P0-006-东风医监转移设备</t>
  </si>
  <si>
    <t>镜113—116</t>
  </si>
  <si>
    <t>航天员出舱后的循环、平衡和运动状态评估及转移设备。</t>
  </si>
  <si>
    <t>座椅、担架、便携生命体征监测、遮护和固定带属于同一现场套装。</t>
  </si>
  <si>
    <t>舱外待命；逐人评估；座椅转移；担架转移；坐姿挥手</t>
  </si>
  <si>
    <t>医疗级织物、轻质金属、易消毒表面</t>
  </si>
  <si>
    <t>东风清晨自然光</t>
  </si>
  <si>
    <t>人物状态决定座椅或担架，不允许航天员立即自行步行出舱</t>
  </si>
  <si>
    <t>返回舱医监回收</t>
  </si>
  <si>
    <t>月球车前向与侧后固定相机组</t>
  </si>
  <si>
    <t>BY-PRP-P1-012-月球车任务相机组</t>
  </si>
  <si>
    <t>镜68、70、72、74—75</t>
  </si>
  <si>
    <t>探索载人月球车的前向导航相机与侧后任务记录相机。</t>
  </si>
  <si>
    <t>机位与车体结构绑定，视野高度、畸变和遮挡稳定。</t>
  </si>
  <si>
    <t>前向行驶；侧后科研；返程</t>
  </si>
  <si>
    <t>航天级相机外壳与防尘镜罩</t>
  </si>
  <si>
    <t>月面艺术化任务日光</t>
  </si>
  <si>
    <t>所有月球车视角复用同一标定参数</t>
  </si>
  <si>
    <t>月面科研镜头</t>
  </si>
  <si>
    <t>东风样品接收箱、封签与交接设备</t>
  </si>
  <si>
    <t>BY-PRP-P1-013-东风样品接收设备</t>
  </si>
  <si>
    <t>镜94、117</t>
  </si>
  <si>
    <t>第13、15场</t>
  </si>
  <si>
    <t>月球样品密封转运的现场接收箱、编号、封签和交接记录件。</t>
  </si>
  <si>
    <t>与主样品容器编号链一致。</t>
  </si>
  <si>
    <t>待命检查；编号交接；转运</t>
  </si>
  <si>
    <t>密封箱、标识牌、封签和记录终端</t>
  </si>
  <si>
    <t>与BY-SYM-P1-005共同使用</t>
  </si>
  <si>
    <t>样品回收段</t>
  </si>
  <si>
    <t>望宇登月服任务相机与图像链路</t>
  </si>
  <si>
    <t>BY-PRP-P1-014-宇航服任务相机</t>
  </si>
  <si>
    <t>镜55、57、60、62、71、73—74</t>
  </si>
  <si>
    <t>第8—10场</t>
  </si>
  <si>
    <t>固定于登月服的第一视角任务记录相机。</t>
  </si>
  <si>
    <t>随人物绑定，保持视野高度、手套遮挡和运动节奏一致。</t>
  </si>
  <si>
    <t>扶梯；安全检查；采样；钻取；载荷部署</t>
  </si>
  <si>
    <t>航天级相机壳体</t>
  </si>
  <si>
    <t>分别绑定杨凛与陈砚服装资产</t>
  </si>
  <si>
    <t>月面第一视角</t>
  </si>
  <si>
    <t>梦舟／揽月任务相机组</t>
  </si>
  <si>
    <t>BY-PRP-P1-015-航天器任务相机组</t>
  </si>
  <si>
    <t>对接口、下视、着陆腿、外部固定及返回外部任务镜头</t>
  </si>
  <si>
    <t>第2、5—8、11、14场</t>
  </si>
  <si>
    <t>对接口监视、揽月下视与着陆腿、舱外固定、梦舟外部返回任务相机。</t>
  </si>
  <si>
    <t>每类相机固定在可解释位置，画面畸变、遮挡和相对运动一致。</t>
  </si>
  <si>
    <t>对接；分离；下降；触月；出舱；再对接；返回</t>
  </si>
  <si>
    <t>航天级相机外壳与光学窗口</t>
  </si>
  <si>
    <t>随载具环境变化</t>
  </si>
  <si>
    <t>任务证据视角优先于视觉重建</t>
  </si>
  <si>
    <t>航天器关键动作证明</t>
  </si>
  <si>
    <t>动作链</t>
  </si>
  <si>
    <t>梦舟三座四种乘员状态动作链</t>
  </si>
  <si>
    <t>BY-ANM-P0-001-梦舟四种乘员状态</t>
  </si>
  <si>
    <t>ANM</t>
  </si>
  <si>
    <t>镜5、8、12、17、19、25、82、86、97—109</t>
  </si>
  <si>
    <t>三座满员、两座空置、一人环月值守、三人重聚与返航承载的动作连续。</t>
  </si>
  <si>
    <t>人物离座、锁座、归位、样品固定和再入约束动作连续。</t>
  </si>
  <si>
    <t>A满员；B一人值守；C重聚；D再入着陆</t>
  </si>
  <si>
    <t>人物与座椅绑定动画</t>
  </si>
  <si>
    <t>不得改变舱内几何和座椅朝向</t>
  </si>
  <si>
    <t>梦舟全片</t>
  </si>
  <si>
    <t>揽月下降、着陆、单人出舱与月面起飞动作链</t>
  </si>
  <si>
    <t>BY-ANM-P0-002-揽月下降出舱起飞链</t>
  </si>
  <si>
    <t>镜24、32—60、77—85</t>
  </si>
  <si>
    <t>第5—8、11场</t>
  </si>
  <si>
    <t>下降约束、着陆检查、单人通行出舱、回舱增压、起飞与再对接。</t>
  </si>
  <si>
    <t>舱口和扶梯一次只容纳一人，样品和工具先于人员回舱。</t>
  </si>
  <si>
    <t>下降；触月；六小时准备；杨凛先出；陈砚后出；回舱；起飞；再对接</t>
  </si>
  <si>
    <t>人物、舱门、扶梯与载具绑定动画</t>
  </si>
  <si>
    <t>揽月舱内与月面</t>
  </si>
  <si>
    <t>关键动作按镜头证据链制作</t>
  </si>
  <si>
    <t>登月主流程</t>
  </si>
  <si>
    <t>月面科研与时间压缩动作链</t>
  </si>
  <si>
    <t>BY-ANM-P1-001-月面科研时间压缩</t>
  </si>
  <si>
    <t>镜61—76</t>
  </si>
  <si>
    <t>相机部署后国旗、月球车、采样、钻取、载荷部署和返程。</t>
  </si>
  <si>
    <t>固定相机、宇航服相机和月球车相机之间保持空间与时间连续。</t>
  </si>
  <si>
    <t>T+06:20；T+08:20；T+10:40；T+12:50；T+13:40</t>
  </si>
  <si>
    <t>低重力人物与车辆动作</t>
  </si>
  <si>
    <t>无外部空气传播声</t>
  </si>
  <si>
    <t>月面科研段</t>
  </si>
  <si>
    <t>东风搜救、安全处置、开舱与人员转移动作链</t>
  </si>
  <si>
    <t>BY-ANM-P1-002-东风搜救开舱转移</t>
  </si>
  <si>
    <t>镜107—117</t>
  </si>
  <si>
    <t>着陆、时间压缩、搜救抵达、安全检测、开舱评估、座椅／担架转移和样品交接。</t>
  </si>
  <si>
    <t>先安全后开舱，先评估后转移，航天员不立即独立站立。</t>
  </si>
  <si>
    <t>着陆；搜救抵达；安全处置；开舱；评估；转移；挥手；样品交接</t>
  </si>
  <si>
    <t>返回舱、人员、车辆和医疗器材绑定动画</t>
  </si>
  <si>
    <t>东风黎明至清晨</t>
  </si>
  <si>
    <t>保持专业工作节奏</t>
  </si>
  <si>
    <t>返回回收段</t>
  </si>
  <si>
    <t>光照</t>
  </si>
  <si>
    <t>BY-LGT-P1-001-演播室中性直播光</t>
  </si>
  <si>
    <t>LGT</t>
  </si>
  <si>
    <t>克制直播光，人物清楚不过度美容</t>
  </si>
  <si>
    <t>大屏只提供有限反射</t>
  </si>
  <si>
    <t>主播;专家</t>
  </si>
  <si>
    <t>中性偏冷、低反差</t>
  </si>
  <si>
    <t>演播室实用光</t>
  </si>
  <si>
    <t>场景光影变体</t>
  </si>
  <si>
    <t>随演播室停用</t>
  </si>
  <si>
    <t>BY-LGT-P1-002-文昌夜间发射光</t>
  </si>
  <si>
    <t>01场</t>
  </si>
  <si>
    <t>发射场实用光叠加发动机火焰</t>
  </si>
  <si>
    <t>地面烟气和塔架受光真实</t>
  </si>
  <si>
    <t>点火前;点火后</t>
  </si>
  <si>
    <t>高亮火焰、夜间工业照明</t>
  </si>
  <si>
    <t>地球大气夜景</t>
  </si>
  <si>
    <t>场景光影状态</t>
  </si>
  <si>
    <t>随发射场停用</t>
  </si>
  <si>
    <t>BY-LGT-P0-001-梦舟舱内任务光</t>
  </si>
  <si>
    <t>场1,2,3,9,11,12,13,14,15；镜004,007,015,018,063,079,081,090,094,101,103</t>
  </si>
  <si>
    <t>稳定舱内实用光和屏幕反射</t>
  </si>
  <si>
    <t>三座椅、通道和脸部可读</t>
  </si>
  <si>
    <t>发射;巡航;对接</t>
  </si>
  <si>
    <t>中性偏冷、低反光</t>
  </si>
  <si>
    <t>舱内封闭环境</t>
  </si>
  <si>
    <t>做进场景母图</t>
  </si>
  <si>
    <t>梦舟场景母图先锁定</t>
  </si>
  <si>
    <t>揽月下降任务光</t>
  </si>
  <si>
    <t>BY-LGT-P0-002-揽月下降任务光</t>
  </si>
  <si>
    <t>下降阶段稳定任务光</t>
  </si>
  <si>
    <t>不使用危机红灯和无理由闪烁</t>
  </si>
  <si>
    <t>下降;触月后</t>
  </si>
  <si>
    <t>中性任务光、屏幕反射</t>
  </si>
  <si>
    <t>揽月舱内</t>
  </si>
  <si>
    <t>揽月场景母图先锁定</t>
  </si>
  <si>
    <t>BY-LGT-P1-003-飞控大厅任务光</t>
  </si>
  <si>
    <t>冷色办公实用光和屏幕反射</t>
  </si>
  <si>
    <t>群像层级清楚，不做舞台光</t>
  </si>
  <si>
    <t>常态;着陆确认</t>
  </si>
  <si>
    <t>冷色办公光</t>
  </si>
  <si>
    <t>飞控大厅</t>
  </si>
  <si>
    <t>飞控场景</t>
  </si>
  <si>
    <t>关联新P0北京飞控大厅资产</t>
  </si>
  <si>
    <t>BY-LGT-P0-003-月面固定太阳光</t>
  </si>
  <si>
    <t>04-10场</t>
  </si>
  <si>
    <t>单一硬太阳光、黑天空、深阴影和有限地表反射</t>
  </si>
  <si>
    <t>阶段2锁定太阳方位和高度，全段不得翻转</t>
  </si>
  <si>
    <t>下降;着陆;EVA;起飞</t>
  </si>
  <si>
    <t>灰色月壤、硬阴影</t>
  </si>
  <si>
    <t>高真空月面</t>
  </si>
  <si>
    <t>做进月面场景母图</t>
  </si>
  <si>
    <t>全部月面镜头</t>
  </si>
  <si>
    <t>项目锁定;科学约束</t>
  </si>
  <si>
    <t>由明确承担天文偏差的BY-LGT-P0-004替代</t>
  </si>
  <si>
    <t>BY-LGT-P1-004-环月轨道太阳光</t>
  </si>
  <si>
    <t>对接轴和两器形体清楚</t>
  </si>
  <si>
    <t>交会;分离;转移</t>
  </si>
  <si>
    <t>无空气硬光</t>
  </si>
  <si>
    <t>统一外部主光与月球反照；只保证跨镜连续，不声称日期天文复原。</t>
  </si>
  <si>
    <t>做进轨道环境母图</t>
  </si>
  <si>
    <t>科学约束</t>
  </si>
  <si>
    <t>揽月开舱门月面反射</t>
  </si>
  <si>
    <t>BY-LGT-P1-005-揽月开舱门月面反射</t>
  </si>
  <si>
    <t>场7；镜047,048</t>
  </si>
  <si>
    <t>舱内暗部与舱外硬光反差</t>
  </si>
  <si>
    <t>门缝扩大但不HDR提亮所有暗部</t>
  </si>
  <si>
    <t>舱门开启</t>
  </si>
  <si>
    <t>硬光、低反射灰月面</t>
  </si>
  <si>
    <t>揽月舱门与月面</t>
  </si>
  <si>
    <t>独立光影状态测试</t>
  </si>
  <si>
    <t>06</t>
  </si>
  <si>
    <t>揽月舱内光影变体</t>
  </si>
  <si>
    <t>BY-LGT-P0-004-月面艺术化任务日光</t>
  </si>
  <si>
    <t>为可见性与跨镜连续性建立的单一硬质平行主光。</t>
  </si>
  <si>
    <t>MASTER左前上方入光、阴影右后；方位225°、高度22°仅为美术生产坐标。</t>
  </si>
  <si>
    <t>下降；触月；EVA；国旗；科学任务；返舱；起飞</t>
  </si>
  <si>
    <t>高反差硬光、有限月壤反射、白色装备高光受控</t>
  </si>
  <si>
    <t>黑天空、无大气散射、无来源轮廓光、无HDR抬暗部</t>
  </si>
  <si>
    <t>先在月面MASTER锁定，再供所有月面视图继承</t>
  </si>
  <si>
    <t>第5—11场</t>
  </si>
  <si>
    <t>用户已确认</t>
  </si>
  <si>
    <t>重做月面MASTER光影校准测试</t>
  </si>
  <si>
    <t>返回舱再入等离子辉光</t>
  </si>
  <si>
    <t>BY-LGT-P0-005-返回舱再入等离子辉光</t>
  </si>
  <si>
    <t>场15；镜104,106,108</t>
  </si>
  <si>
    <t>高速再入时防热大底周围的受控等离子自发光。</t>
  </si>
  <si>
    <t>两次再入强度变化清楚，不做爆炸火球。</t>
  </si>
  <si>
    <t>第一次再入；跃出减弱；第二次再入；黑障；恢复</t>
  </si>
  <si>
    <t>橙白核心、稀薄红橙尾迹、舱体暗部受自发光照亮</t>
  </si>
  <si>
    <t>与地球弧面和太阳光逻辑统一</t>
  </si>
  <si>
    <t>与再入VFX联动制作</t>
  </si>
  <si>
    <t>深空测控站任务光</t>
  </si>
  <si>
    <t>BY-LGT-P1-006-深空测控站任务光</t>
  </si>
  <si>
    <t>场1,4,5,8,11,12；镜003,022,035,053,077,083</t>
  </si>
  <si>
    <t>佳木斯、喀什和VLBI工作区统一的克制任务照明。</t>
  </si>
  <si>
    <t>不同站点保留环境差异。</t>
  </si>
  <si>
    <t>常态；关键窗口</t>
  </si>
  <si>
    <t>中性暖白顶灯、低亮屏光</t>
  </si>
  <si>
    <t>禁止科幻蓝光大厅</t>
  </si>
  <si>
    <t>随场景母图锁定</t>
  </si>
  <si>
    <t>东风着陆场黎明—清晨自然光</t>
  </si>
  <si>
    <t>BY-LGT-P1-007-搜救着陆区日间自然光</t>
  </si>
  <si>
    <t>东风着陆场从黎明低照度到清晨自然光的连续光线。</t>
  </si>
  <si>
    <t>不锁定具体回收地经纬度和天气实况。</t>
  </si>
  <si>
    <t>待命黎明；下降可见；着陆扬尘；搜救清晨</t>
  </si>
  <si>
    <t>自然天空光、地表反射、返回舱高温表面</t>
  </si>
  <si>
    <t>无电影式金色逆光</t>
  </si>
  <si>
    <t>与搜救现场MASTER同步确认</t>
  </si>
  <si>
    <t>飞控媒体区直播任务光</t>
  </si>
  <si>
    <t>BY-LGT-P1-008-飞控媒体区直播光</t>
  </si>
  <si>
    <t>记者与专家直播镜头</t>
  </si>
  <si>
    <t>第1、3、5—9、12—13、15场</t>
  </si>
  <si>
    <t>中性、可信的新闻现场光，兼顾记者肤色、专家和任务大屏。</t>
  </si>
  <si>
    <t>三段直播保持连续，允许大屏亮度随任务阶段变化。</t>
  </si>
  <si>
    <t>记者单人；记者专家双人；片尾收束</t>
  </si>
  <si>
    <t>柔和主光、轻轮廓、屏幕补光</t>
  </si>
  <si>
    <t>室内稳定光</t>
  </si>
  <si>
    <t>建立统一灯位，不随每次生成漂移</t>
  </si>
  <si>
    <t>全部媒体区镜头</t>
  </si>
  <si>
    <t>视觉特效</t>
  </si>
  <si>
    <t>地球发射火焰与烟羽</t>
  </si>
  <si>
    <t>BY-VFX-P1-001-地球发射火焰与烟羽</t>
  </si>
  <si>
    <t>VFX</t>
  </si>
  <si>
    <t>地球大气中的点火、烟羽和塔架受光</t>
  </si>
  <si>
    <t>两次发射可复用，匹配不同构型</t>
  </si>
  <si>
    <t>点火;离架</t>
  </si>
  <si>
    <t>高温火焰、烟气、结构震动</t>
  </si>
  <si>
    <t>文昌夜间大气</t>
  </si>
  <si>
    <t>VFX模板与场景测试</t>
  </si>
  <si>
    <t>环月轨道交会与对接</t>
  </si>
  <si>
    <t>BY-VFX-P1-002-环月轨道交会与对接</t>
  </si>
  <si>
    <t>场1,2,12；镜005,008,010,011,084,085,087</t>
  </si>
  <si>
    <t>目标缓慢扩大、轴线收敛、接触捕获锁紧</t>
  </si>
  <si>
    <t>两次对接复用同一物理逻辑</t>
  </si>
  <si>
    <t>远距;接近;接触;锁紧</t>
  </si>
  <si>
    <t>无空气轨道运动</t>
  </si>
  <si>
    <t>轨道动作模板</t>
  </si>
  <si>
    <t>01;11</t>
  </si>
  <si>
    <t>载具确认后制作</t>
  </si>
  <si>
    <t>月面下降羽流与贴地月尘</t>
  </si>
  <si>
    <t>BY-VFX-P0-001-月面下降羽流与贴地月尘</t>
  </si>
  <si>
    <t>场5；镜027,037</t>
  </si>
  <si>
    <t>低矮放射状高速散开的月尘</t>
  </si>
  <si>
    <t>按弹道回落，不形成翻滚尘云</t>
  </si>
  <si>
    <t>远距下降;近地下降</t>
  </si>
  <si>
    <t>干燥月尘、真空羽流</t>
  </si>
  <si>
    <t>核心物理测试模板</t>
  </si>
  <si>
    <t>已确认锁定物理方向</t>
  </si>
  <si>
    <t>阶段2技术测试</t>
  </si>
  <si>
    <t>触月关机与月尘回落</t>
  </si>
  <si>
    <t>BY-VFX-P0-002-触月关机与月尘回落</t>
  </si>
  <si>
    <t>场5,6；镜038,039</t>
  </si>
  <si>
    <t>支脚接触、羽流衰减和月尘回落属于同一事件</t>
  </si>
  <si>
    <t>不表现延迟手动关机</t>
  </si>
  <si>
    <t>接触;关机;静止</t>
  </si>
  <si>
    <t>颗粒弹道、支脚压实</t>
  </si>
  <si>
    <t>触月技术测试</t>
  </si>
  <si>
    <t>05</t>
  </si>
  <si>
    <t>第一足印月壤形变</t>
  </si>
  <si>
    <t>BY-VFX-P0-003-第一足印月壤形变</t>
  </si>
  <si>
    <t>场8；镜050</t>
  </si>
  <si>
    <t>靴底压实月壤，细颗粒向两侧位移</t>
  </si>
  <si>
    <t>正常速度、无扬尘烟雾</t>
  </si>
  <si>
    <t>接触;承重;足印稳定</t>
  </si>
  <si>
    <t>细颗粒月壤</t>
  </si>
  <si>
    <t>极近景物理测试</t>
  </si>
  <si>
    <t>07</t>
  </si>
  <si>
    <t>月面起飞羽流与留场余景</t>
  </si>
  <si>
    <t>BY-VFX-P0-004-月面起飞羽流与留场余景</t>
  </si>
  <si>
    <t>场11；镜074,075</t>
  </si>
  <si>
    <t>登月舱起飞，月尘贴地散开，固定摄像机停留</t>
  </si>
  <si>
    <t>不出现外部轰鸣或阿波罗式留月下降级</t>
  </si>
  <si>
    <t>点火;上升;余景</t>
  </si>
  <si>
    <t>真空羽流、月尘</t>
  </si>
  <si>
    <t>起飞技术测试模板</t>
  </si>
  <si>
    <t>10</t>
  </si>
  <si>
    <t>月地转移点火与月球远离</t>
  </si>
  <si>
    <t>BY-VFX-P1-003-月地转移点火与月球远离</t>
  </si>
  <si>
    <t>场14；镜096,098</t>
  </si>
  <si>
    <t>梦舟服务舱点火、姿态调整、月球弧面远离</t>
  </si>
  <si>
    <t>运动速度克制，不做光速离月</t>
  </si>
  <si>
    <t>点火;转移</t>
  </si>
  <si>
    <t>结尾视觉重建模板</t>
  </si>
  <si>
    <t>13</t>
  </si>
  <si>
    <t>返回舱等离子辉光与黑障视觉</t>
  </si>
  <si>
    <t>BY-VFX-P0-005-返回舱等离子辉光与黑障视觉</t>
  </si>
  <si>
    <t>两次再入的等离子辉光、热流变化和通信衰减可见结果。</t>
  </si>
  <si>
    <t>黑障是信号状态，不表现飞船故障。</t>
  </si>
  <si>
    <t>第一次再入；跃出减弱；第二次再入；黑障；通信恢复</t>
  </si>
  <si>
    <t>受控橙白辉光、稀薄尾迹</t>
  </si>
  <si>
    <t>高层大气，无爆炸式火焰</t>
  </si>
  <si>
    <t>高风险技术测试</t>
  </si>
  <si>
    <t>返回舱稳定伞／主伞展开</t>
  </si>
  <si>
    <t>BY-VFX-P0-006-稳定伞与主伞展开</t>
  </si>
  <si>
    <t>场15；镜108</t>
  </si>
  <si>
    <t>辉光减弱后伞具按程序依次展开，下降姿态稳定。</t>
  </si>
  <si>
    <t>高度与伞型保持泛化。</t>
  </si>
  <si>
    <t>稳定伞；主伞；稳定下降</t>
  </si>
  <si>
    <t>真实织物充气和绳索受力</t>
  </si>
  <si>
    <t>地球大气环境</t>
  </si>
  <si>
    <t>与返回舱群伞构型联合测试</t>
  </si>
  <si>
    <t>返回舱气囊触地与滚摆</t>
  </si>
  <si>
    <t>BY-VFX-P0-007-气囊触地滚摆</t>
  </si>
  <si>
    <t>场15；镜109</t>
  </si>
  <si>
    <t>气囊充气、触地、短距离滚摆并稳定。</t>
  </si>
  <si>
    <t>属于艺术化陆上回收方案。</t>
  </si>
  <si>
    <t>充气；触地；滚摆；稳定</t>
  </si>
  <si>
    <t>地表尘土和气囊变形符合地球环境</t>
  </si>
  <si>
    <t>与搜救MASTER联合测试</t>
  </si>
  <si>
    <t>月轨姿态控制喷流</t>
  </si>
  <si>
    <t>BY-VFX-P1-004-姿控喷流</t>
  </si>
  <si>
    <t>场2,4,12,13,15；镜008,025,084,093,102,103</t>
  </si>
  <si>
    <t>两器交会、分离和姿态调整时的短促微弱喷流。</t>
  </si>
  <si>
    <t>外部静音，不形成爆炸火焰。</t>
  </si>
  <si>
    <t>接近；停泊；分离；调姿</t>
  </si>
  <si>
    <t>稀薄短促羽流</t>
  </si>
  <si>
    <t>太空真空</t>
  </si>
  <si>
    <t>梦舟／揽月通用模板</t>
  </si>
  <si>
    <t>第2、4、12—15场</t>
  </si>
  <si>
    <t>半弹道跳跃式再入轨迹</t>
  </si>
  <si>
    <t>BY-VFX-P1-005-半弹道跳跃式再入轨迹</t>
  </si>
  <si>
    <t>场15；镜104,105,106</t>
  </si>
  <si>
    <t>第一次擦入、跃出稠密大气、再次下弯和第二次再入的后期轨迹表达。</t>
  </si>
  <si>
    <t>不得写成进入地球同步轨道。</t>
  </si>
  <si>
    <t>第一次入射；跃出；第二次入射</t>
  </si>
  <si>
    <t>克制轨迹线和地球弧面</t>
  </si>
  <si>
    <t>可读数字后期制作</t>
  </si>
  <si>
    <t>后期轨迹模板</t>
  </si>
  <si>
    <t>揽月受控处置轨迹</t>
  </si>
  <si>
    <t>BY-VFX-P1-006-揽月受控处置轨迹</t>
  </si>
  <si>
    <t>梦舟与揽月分离后的轨迹分叉和安全距离。</t>
  </si>
  <si>
    <t>分离；轨迹分叉；目标移除</t>
  </si>
  <si>
    <t>克制轨迹图形</t>
  </si>
  <si>
    <t>环月轨道环境</t>
  </si>
  <si>
    <t>与揽月处置状态联合制作</t>
  </si>
  <si>
    <t>月球车轮迹与低重力扬尘</t>
  </si>
  <si>
    <t>BY-VFX-P1-007-月球车轮迹与低重力扬尘</t>
  </si>
  <si>
    <t>车轮压出连续轨迹，少量颗粒按弹道落回。</t>
  </si>
  <si>
    <t>无空气翻滚尘云。</t>
  </si>
  <si>
    <t>卸载；行驶；转弯；返程</t>
  </si>
  <si>
    <t>月壤颗粒和轮迹压实</t>
  </si>
  <si>
    <t>艺术化月面任务日光</t>
  </si>
  <si>
    <t>月面物理测试</t>
  </si>
  <si>
    <t>基于实时遥测的视觉重建合成</t>
  </si>
  <si>
    <t>BY-VFX-P1-008-遥测视觉重建合成</t>
  </si>
  <si>
    <t>所有标注“视觉重建”的镜头</t>
  </si>
  <si>
    <t>第1—2、4—7、11—14场</t>
  </si>
  <si>
    <t>以轨道、姿态、距离和时间数据重建无法由实体任务相机直接拍到的外部全景。</t>
  </si>
  <si>
    <t>画面角落始终保留统一来源标识，运动克制，不模拟追逐摄影机。</t>
  </si>
  <si>
    <t>环月对接；分离下降；着陆全景；月面上升；再入</t>
  </si>
  <si>
    <t>与载具母资产和轨迹数据绑定</t>
  </si>
  <si>
    <t>环月、月面与再入环境</t>
  </si>
  <si>
    <t>不得替代接触、触月、出舱、再对接等任务证据镜头</t>
  </si>
  <si>
    <t>全片视觉重建</t>
  </si>
  <si>
    <t>关系约束</t>
  </si>
  <si>
    <t>三名航天员与岗位关系</t>
  </si>
  <si>
    <t>BY-REL-P0-001-三名航天员与岗位</t>
  </si>
  <si>
    <t>REL</t>
  </si>
  <si>
    <t>三人外观、服装、声音、座位和岗位一一对应</t>
  </si>
  <si>
    <t>关系切片供人物、场景和声音组共同继承</t>
  </si>
  <si>
    <t>全过程</t>
  </si>
  <si>
    <t>人物与岗位连续性</t>
  </si>
  <si>
    <t>全片实际光源</t>
  </si>
  <si>
    <t>跨资产关系记录</t>
  </si>
  <si>
    <t>已确认锁定</t>
  </si>
  <si>
    <t>阶段2B分工包必带</t>
  </si>
  <si>
    <t>杨凛服装状态链</t>
  </si>
  <si>
    <t>BY-REL-P0-002-杨凛服装状态链</t>
  </si>
  <si>
    <t>03-10</t>
  </si>
  <si>
    <t>舱内飞行服到登月服再回舱内状态</t>
  </si>
  <si>
    <t>顺序固定，不跨镜混用互斥状态</t>
  </si>
  <si>
    <t>舱内;登月服;月尘;脱服后</t>
  </si>
  <si>
    <t>服装连续性</t>
  </si>
  <si>
    <t>舱内与月面</t>
  </si>
  <si>
    <t>人物组关系切片</t>
  </si>
  <si>
    <t>陈砚服装状态链</t>
  </si>
  <si>
    <t>BY-REL-P0-003-陈砚服装状态链</t>
  </si>
  <si>
    <t>与杨凛同阶段但工具痕迹不同</t>
  </si>
  <si>
    <t>刘定槎与两张空座椅</t>
  </si>
  <si>
    <t>BY-REL-P0-004-刘定槎与两张空座椅</t>
  </si>
  <si>
    <t>03-13场</t>
  </si>
  <si>
    <t>分离后空出、等待时存在、重聚后坐满</t>
  </si>
  <si>
    <t>座位位置、束缚带和人物归属固定</t>
  </si>
  <si>
    <t>三人;两空座;重新坐满</t>
  </si>
  <si>
    <t>空间母题连续性</t>
  </si>
  <si>
    <t>03-13</t>
  </si>
  <si>
    <t>叙事关系失效；由BY-REL-P0-009替代</t>
  </si>
  <si>
    <t>揽月构型状态链</t>
  </si>
  <si>
    <t>BY-REL-P0-005-揽月构型状态链</t>
  </si>
  <si>
    <t>01;03-12</t>
  </si>
  <si>
    <t>着陆器＋推进舱交会对接—分离降轨—推进舱分离—着陆器下降／触月／整体起飞—再对接—受控处置。</t>
  </si>
  <si>
    <t>禁止出现阿波罗式上升级下降级</t>
  </si>
  <si>
    <t>完整;分离;着陆;起飞;对接</t>
  </si>
  <si>
    <t>航天器构型连续性</t>
  </si>
  <si>
    <t>轨道与月面光</t>
  </si>
  <si>
    <t>按V1.2扩展后的完整状态链执行</t>
  </si>
  <si>
    <t>月面摄像机摄影来源</t>
  </si>
  <si>
    <t>BY-REL-P0-006-月面摄像机摄影来源</t>
  </si>
  <si>
    <t>先部署摄像机后才能调用国旗和起飞固定全景</t>
  </si>
  <si>
    <t>位置、朝向和安全区不得漂移</t>
  </si>
  <si>
    <t>部署前：揽月／宇航服任务相机；部署后：同一便携相机；科研：月球车与宇航服相机</t>
  </si>
  <si>
    <t>空间与摄影来源连续性</t>
  </si>
  <si>
    <t>任何第三视角都必须能追溯到已部署设备或显式遥测视觉重建。</t>
  </si>
  <si>
    <t>月面场景组关系切片</t>
  </si>
  <si>
    <t>国旗装置部署链</t>
  </si>
  <si>
    <t>BY-REL-P0-007-国旗装置部署链</t>
  </si>
  <si>
    <t>折叠、搬运、底座稳定、支撑锁定、展开、静止</t>
  </si>
  <si>
    <t>旗面无风，只允许部署余振</t>
  </si>
  <si>
    <t>多状态</t>
  </si>
  <si>
    <t>道具状态连续性</t>
  </si>
  <si>
    <t>道具组关系切片</t>
  </si>
  <si>
    <t>样品转移链</t>
  </si>
  <si>
    <t>BY-REL-P0-008-样品转移链</t>
  </si>
  <si>
    <t>月面编号采样—装袋封口—主容器封闭—揽月固定—样品先行跨舱—梦舟样品柜锁止—回收接收。</t>
  </si>
  <si>
    <t>容器外观、持有人和位置连续</t>
  </si>
  <si>
    <t>空;装样;转移;固定</t>
  </si>
  <si>
    <t>道具与人物接触连续性</t>
  </si>
  <si>
    <t>月面与舱内</t>
  </si>
  <si>
    <t>月面空间总图</t>
  </si>
  <si>
    <t>BY-REL-P1-001-月面空间总图</t>
  </si>
  <si>
    <t>登月舱、舷梯、摄像机、国旗、科学设备、车辙和羽流安全区关系</t>
  </si>
  <si>
    <t>阶段2锁定太阳方向和坐标</t>
  </si>
  <si>
    <t>着陆前;作业;起飞后</t>
  </si>
  <si>
    <t>空间连续性</t>
  </si>
  <si>
    <t>空间设计卡</t>
  </si>
  <si>
    <t>场景组核心关系切片</t>
  </si>
  <si>
    <t>两侧舱门顺序</t>
  </si>
  <si>
    <t>BY-REL-P1-002-两侧舱门顺序</t>
  </si>
  <si>
    <t>返回转移后先关闭揽月侧，最终分离前关闭梦舟侧</t>
  </si>
  <si>
    <t>两侧舱门名和状态不得混淆</t>
  </si>
  <si>
    <t>开启;关闭;密封;分离</t>
  </si>
  <si>
    <t>机构与程序连续性</t>
  </si>
  <si>
    <t>两器舱内</t>
  </si>
  <si>
    <t>场景与道具组共用</t>
  </si>
  <si>
    <t>声音来源真实性</t>
  </si>
  <si>
    <t>BY-REL-P1-003-声音来源真实性</t>
  </si>
  <si>
    <t>月面外部无空气传播声，呼吸与无线电来自任务通信音轨</t>
  </si>
  <si>
    <t>全片不要配乐，声音随视频同步生成</t>
  </si>
  <si>
    <t>舱内;月面;轨道;地面</t>
  </si>
  <si>
    <t>声音来源连续性</t>
  </si>
  <si>
    <t>各场环境</t>
  </si>
  <si>
    <t>正式镜头声音关系记录</t>
  </si>
  <si>
    <t>阶段3每镜终检</t>
  </si>
  <si>
    <t>梦舟三座四种乘员状态与环月工作位关系</t>
  </si>
  <si>
    <t>BY-REL-P0-009-梦舟三座返航承载与环月工作位</t>
  </si>
  <si>
    <t>同一返回舱内三座承力区、环月工作位、舱门轴线和样品固定位置的连续关系。</t>
  </si>
  <si>
    <t>相邻两张空座保留可识别边界，不增加第四个乘员位置。</t>
  </si>
  <si>
    <t>三座满员→一人值守两座空置→三人重聚→三人返航承载</t>
  </si>
  <si>
    <t>空间与岗位连续性</t>
  </si>
  <si>
    <t>作为梦舟所有镜头的强连续性约束；不得生成三人并排占满通道或座椅朝向漂移。</t>
  </si>
  <si>
    <t>第1、3、9、11—15场</t>
  </si>
  <si>
    <t>梦舟轴向通道人员／样品转移顺序</t>
  </si>
  <si>
    <t>BY-REL-P0-010-梦舟轴向转移顺序</t>
  </si>
  <si>
    <t>第一次先任务物品后人员；第二次先主样品容器后人员。</t>
  </si>
  <si>
    <t>两侧舱门依次开闭并完成压差与密封检查。</t>
  </si>
  <si>
    <t>首次转移；再对接转移</t>
  </si>
  <si>
    <t>任务流程连续性</t>
  </si>
  <si>
    <t>通道场景和道具硬约束</t>
  </si>
  <si>
    <t>第3、13场</t>
  </si>
  <si>
    <t>梦舟月轨—地月转移—再入状态链</t>
  </si>
  <si>
    <t>BY-REL-P0-011-梦舟返地构型状态链</t>
  </si>
  <si>
    <t>月轨组合体—地月转移点火—三天巡航—服务舱近地分离—返回舱跳跃式再入—群伞／气囊—搜救。</t>
  </si>
  <si>
    <t>只有返回舱进入大气层。</t>
  </si>
  <si>
    <t>完整返地链</t>
  </si>
  <si>
    <t>外部光源随环境切换</t>
  </si>
  <si>
    <t>梦舟外部与再入资产硬约束</t>
  </si>
  <si>
    <t>第14—16场</t>
  </si>
  <si>
    <t>月面艺术化光照与推演声明关系</t>
  </si>
  <si>
    <t>BY-REL-P0-012-月面艺术化光照与声明</t>
  </si>
  <si>
    <t>保留2029年4月8日和锁定坐标；画面采用艺术化任务日光；声明承担天文偏差。</t>
  </si>
  <si>
    <t>生产光向不得被写成真实太阳方位。</t>
  </si>
  <si>
    <t>片头声明；月面全段；片尾声明</t>
  </si>
  <si>
    <t>光影／包装连续性</t>
  </si>
  <si>
    <t>阶段2A和阶段3禁止改写项</t>
  </si>
  <si>
    <t>镜001、第5—11场、镜114</t>
  </si>
  <si>
    <t>所有月面资产和后期声明必须继承</t>
  </si>
  <si>
    <t>返回舱再入、着陆与搜救状态链</t>
  </si>
  <si>
    <t>BY-REL-P0-013-返回舱再入搜救状态链</t>
  </si>
  <si>
    <t>服务舱分离—两次再入—黑障—通信恢复—开伞—气囊着陆—安全检查—开舱—医学与样品接收。</t>
  </si>
  <si>
    <t>不把航天员落地立即站立庆祝。</t>
  </si>
  <si>
    <t>完整回收链</t>
  </si>
  <si>
    <t>状态连续性</t>
  </si>
  <si>
    <t>近地／大气／地面光影连续</t>
  </si>
  <si>
    <t>再入与搜救资产硬约束</t>
  </si>
  <si>
    <t>北京—佳木斯—喀什—VLBI测控接力链</t>
  </si>
  <si>
    <t>BY-REL-P1-004-地面测控接力链</t>
  </si>
  <si>
    <t>北京总协调，佳木斯主链路，喀什备份与双目标，VLBI独立校核。</t>
  </si>
  <si>
    <t>近月正面着陆区以直达链路为主。</t>
  </si>
  <si>
    <t>交会；下降；月面；起飞；再交会；返回</t>
  </si>
  <si>
    <t>系统关系</t>
  </si>
  <si>
    <t>不适用</t>
  </si>
  <si>
    <t>地面场景、声音和镜头装配约束</t>
  </si>
  <si>
    <t>第1—15场</t>
  </si>
  <si>
    <t>小天AI权限边界</t>
  </si>
  <si>
    <t>BY-REL-P1-005-小天AI权限边界</t>
  </si>
  <si>
    <t>只做融合、预测、候选排序和异常提示；最终授权、选择与中止权属于乘组和北京。</t>
  </si>
  <si>
    <t>禁止全自动AI决策。</t>
  </si>
  <si>
    <t>交会；下降；复压；起飞；再入</t>
  </si>
  <si>
    <t>对白与界面连续性</t>
  </si>
  <si>
    <t>所有出现小天的镜头硬约束</t>
  </si>
  <si>
    <t>月面科学路线与样品编号链</t>
  </si>
  <si>
    <t>BY-REL-P1-006-月面科学路线与样品链</t>
  </si>
  <si>
    <t>月球车路线、地面地质建议、编号采样、封装、主容器和回收接收闭环。</t>
  </si>
  <si>
    <t>地质结论保持审慎。</t>
  </si>
  <si>
    <t>路线；采样；封装；转移；接收</t>
  </si>
  <si>
    <t>道具／场景／后期连续性</t>
  </si>
  <si>
    <t>艺术化任务日光</t>
  </si>
  <si>
    <t>月面科学任务装配约束</t>
  </si>
  <si>
    <t>第9—10、13、16场</t>
  </si>
  <si>
    <t>任务相机、地面直播、遥测重建与图卡证据层级</t>
  </si>
  <si>
    <t>BY-REL-P1-007-摄影来源证据层级</t>
  </si>
  <si>
    <t>119镜全片</t>
  </si>
  <si>
    <t>A任务证据机位、B地面直播机位、C显式遥测视觉重建、D后期图卡四层来源。</t>
  </si>
  <si>
    <t>不可逆节点优先A层；C层必须标识；D层只解释。</t>
  </si>
  <si>
    <t>四层摄影来源</t>
  </si>
  <si>
    <t>关系资产</t>
  </si>
  <si>
    <t>写入每镜摄影来源等级</t>
  </si>
  <si>
    <t>镜头设计与后期合成</t>
  </si>
  <si>
    <t>三段直播进口、关键动作链、采访解释与出口</t>
  </si>
  <si>
    <t>BY-REL-P1-008-三段直播结构链</t>
  </si>
  <si>
    <t>记者事件前解释、任务关键动作、事件后采访、字幕跳时四种结构单元。</t>
  </si>
  <si>
    <t>采访不覆盖不可逆任务节点；重复确认可由采访或图卡压缩。</t>
  </si>
  <si>
    <t>直播一；直播二；直播三</t>
  </si>
  <si>
    <t>作为剪辑与声音节奏约束</t>
  </si>
  <si>
    <t>全片直播结构</t>
  </si>
  <si>
    <t>东风人员医监转移与样品交接双线</t>
  </si>
  <si>
    <t>BY-REL-P1-009-东风医监与样品双线</t>
  </si>
  <si>
    <t>镜110—118</t>
  </si>
  <si>
    <t>人员安全处置、逐人评估、座椅／担架转移与样品编号交接并行闭合。</t>
  </si>
  <si>
    <t>任务完成必须同时满足乘组三人安全与样品完成交接。</t>
  </si>
  <si>
    <t>安全处置；医学评估；人员转移；样品交接；任务闭合</t>
  </si>
  <si>
    <t>东风回收现场</t>
  </si>
  <si>
    <t>镜117合流</t>
  </si>
  <si>
    <t>回收段</t>
  </si>
  <si>
    <t>地球、月球与飞行器视觉尺度连续性</t>
  </si>
  <si>
    <t>BY-REL-P1-010-地月视觉尺度连续性</t>
  </si>
  <si>
    <t>镜2、4、23、31、33、46、83、89—90、96—101</t>
  </si>
  <si>
    <t>深空与轨道镜头</t>
  </si>
  <si>
    <t>环月轨道中的地球表现为有清晰直径的蓝白圆盘，接近地球时逐步扩大。</t>
  </si>
  <si>
    <t>禁止把环月视角的地球画成静止小蓝点。</t>
  </si>
  <si>
    <t>环月；离月；接近地球；再入</t>
  </si>
  <si>
    <t>深空、月轨、近地</t>
  </si>
  <si>
    <t>与每个视觉重建镜头的镜头尺度绑定</t>
  </si>
  <si>
    <t>深空连续性</t>
  </si>
  <si>
    <t>后期图形／标识</t>
  </si>
  <si>
    <t>中华人民共和国国旗图形</t>
  </si>
  <si>
    <t>BY-SYM-P0-001-中华人民共和国国旗图形</t>
  </si>
  <si>
    <t>SYM</t>
  </si>
  <si>
    <t>工程化国旗装置上的准确国旗图形</t>
  </si>
  <si>
    <t>禁止模型自由生成星位，使用准确贴图或后期合成</t>
  </si>
  <si>
    <t>折叠;展开;静止</t>
  </si>
  <si>
    <t>织物与准确图形</t>
  </si>
  <si>
    <t>准确图形资产与贴合测试</t>
  </si>
  <si>
    <t>国旗装置确认后贴合</t>
  </si>
  <si>
    <t>未来纪实推演标识</t>
  </si>
  <si>
    <t>BY-SYM-P1-001-未来纪实推演标识</t>
  </si>
  <si>
    <t>场1,16；镜001,114</t>
  </si>
  <si>
    <t>明确艺术化推演属性的标识</t>
  </si>
  <si>
    <t>后期添加，不进入AI原始画面</t>
  </si>
  <si>
    <t>片头;片尾</t>
  </si>
  <si>
    <t>后期图形</t>
  </si>
  <si>
    <t>后期合成</t>
  </si>
  <si>
    <t>统一包装资产</t>
  </si>
  <si>
    <t>项目锁定</t>
  </si>
  <si>
    <t>阶段2A建立包装规则</t>
  </si>
  <si>
    <t>新闻条与日期标牌系统</t>
  </si>
  <si>
    <t>BY-SYM-P1-002-新闻条与日期标牌系统</t>
  </si>
  <si>
    <t>新闻人物条、日期和任务标牌</t>
  </si>
  <si>
    <t>后期添加，保证播出安全区和字体统一</t>
  </si>
  <si>
    <t>多种新闻条</t>
  </si>
  <si>
    <t>剧本明确;项目锁定</t>
  </si>
  <si>
    <t>V1.2已取消新闻段落；日期与任务阶段信息由BY-SYM-P1-003承担</t>
  </si>
  <si>
    <t>任务阶段与时间跳跃标牌</t>
  </si>
  <si>
    <t>BY-SYM-P1-003-任务阶段与时间跳跃标牌</t>
  </si>
  <si>
    <t>第1、4、7、10—13、15场</t>
  </si>
  <si>
    <t>制动下降、接近月面、月面后段、数小时后等标牌</t>
  </si>
  <si>
    <t>只用确认的公众解说词，不冒充官方程序名称</t>
  </si>
  <si>
    <t>日期；T+06:00；T+13:40；T+28:00；离月约三天；搜救时间压缩</t>
  </si>
  <si>
    <t>时间标牌必须与119镜时间线一致，并显式区分直播、延时和视觉重建。</t>
  </si>
  <si>
    <t>艺术化光照偏差推演声明</t>
  </si>
  <si>
    <t>BY-SYM-P0-002-艺术化光照偏差推演声明</t>
  </si>
  <si>
    <t>片头短声明和片尾完整声明，明确日期／坐标与真实自然照明存在偏差。</t>
  </si>
  <si>
    <t>由后期准确排版，AI原图不生成文字。</t>
  </si>
  <si>
    <t>片头短版；片尾完整版</t>
  </si>
  <si>
    <t>后期字幕图形</t>
  </si>
  <si>
    <t>按锁定文本制作</t>
  </si>
  <si>
    <t>镜001、114</t>
  </si>
  <si>
    <t>建立后期包装规范；不进入生图正文</t>
  </si>
  <si>
    <t>任务轨迹、相位与走廊图后期模板</t>
  </si>
  <si>
    <t>BY-SYM-P1-004-任务轨迹与相位图模板</t>
  </si>
  <si>
    <t>场1,2,3,4,5,6,7,8,9,10,14,16；镜003,004,006,007,012,018,019,022,023,026,028,029,034,042,046,053,065,070,099,113</t>
  </si>
  <si>
    <t>交会、下降、月面路线、地月转移和再入的克制信息图底图。</t>
  </si>
  <si>
    <t>可读参数、坐标和标注后期添加。</t>
  </si>
  <si>
    <t>交会；下降；路线；转移；再入</t>
  </si>
  <si>
    <t>深色任务界面、细线轨迹</t>
  </si>
  <si>
    <t>屏幕光受场景限制</t>
  </si>
  <si>
    <t>跨场复用后期模板</t>
  </si>
  <si>
    <t>全片任务屏</t>
  </si>
  <si>
    <t>样品编号、封签与接收状态模板</t>
  </si>
  <si>
    <t>BY-SYM-P1-005-样品编号与封签模板</t>
  </si>
  <si>
    <t>采样袋、主容器和回收接收的统一编号体系。</t>
  </si>
  <si>
    <t>AI原图不生成可读编号。</t>
  </si>
  <si>
    <t>采样；封装；转移；接收</t>
  </si>
  <si>
    <t>后期贴图与字幕</t>
  </si>
  <si>
    <t>与样品道具同步设计</t>
  </si>
  <si>
    <t>“基于实时遥测的视觉重建”来源标识</t>
  </si>
  <si>
    <t>BY-SYM-P1-006-视觉重建来源标识</t>
  </si>
  <si>
    <t>所有视觉重建镜头</t>
  </si>
  <si>
    <t>明确区分艺术重建与任务相机实拍逻辑的角标。</t>
  </si>
  <si>
    <t>位置、字号、显隐时长全片统一。</t>
  </si>
  <si>
    <t>常驻角标；镜头起始淡入；结束淡出</t>
  </si>
  <si>
    <t>简洁中性图形</t>
  </si>
  <si>
    <t>适配深空、月面和等离子高亮背景</t>
  </si>
  <si>
    <t>后期叠加，不写入载具屏幕</t>
  </si>
  <si>
    <t>所有遥测视觉重建</t>
  </si>
  <si>
    <t>三段直播进口、出口与任务倒计时图形</t>
  </si>
  <si>
    <t>BY-SYM-P1-007-直播进口出口与倒计时</t>
  </si>
  <si>
    <t>镜3、22、27、47、51、87、92、118</t>
  </si>
  <si>
    <t>三段直播</t>
  </si>
  <si>
    <t>记者开场、阶段提示、五分钟倒计时和直播收束的统一图形系统。</t>
  </si>
  <si>
    <t>不包装成娱乐综艺；不使用新闻提示音。</t>
  </si>
  <si>
    <t>直播开始；任务阶段；倒计时；直播结束</t>
  </si>
  <si>
    <t>中性、克制、可读</t>
  </si>
  <si>
    <t>媒体区大屏与后期字幕</t>
  </si>
  <si>
    <t>与任务时间标牌统一设计语言</t>
  </si>
  <si>
    <t>直播结构</t>
  </si>
  <si>
    <t>东风搜救抵达时间压缩标牌</t>
  </si>
  <si>
    <t>BY-SYM-P1-008-东风搜救时间压缩</t>
  </si>
  <si>
    <t>镜110</t>
  </si>
  <si>
    <t>明确提示搜救分队抵达和安全处置为时间压缩。</t>
  </si>
  <si>
    <t>避免观众误解为落地后数秒即开舱。</t>
  </si>
  <si>
    <t>黑场文字；任务画面转接</t>
  </si>
  <si>
    <t>高可读文字</t>
  </si>
  <si>
    <t>黑场</t>
  </si>
  <si>
    <t>给足阅读时间</t>
  </si>
  <si>
    <t>稳定音色</t>
  </si>
  <si>
    <t>杨凛稳定音色</t>
  </si>
  <si>
    <t>BY-VOI-P0-001-杨凛声音</t>
  </si>
  <si>
    <t>VOI</t>
  </si>
  <si>
    <t>场1,2,3,4,5,6,7,8,9,10,11,12,13,14,15,16；镜005,009,011,015,019,020,023,025,027,032,036,038,040,044,046,048,050,052,054,061,064,066,069,073,074,076,078,086,087,091,096,101,103,112</t>
  </si>
  <si>
    <t>中低、稳定、短句有明确落点</t>
  </si>
  <si>
    <t>指令感但不压迫，呼吸节奏稳定</t>
  </si>
  <si>
    <t>中性;任务报告</t>
  </si>
  <si>
    <t>中低音域、偏慢语速</t>
  </si>
  <si>
    <t>通过无线电时保留可懂度</t>
  </si>
  <si>
    <t>独立制作稳定音色资产</t>
  </si>
  <si>
    <t>阶段2声音组首批</t>
  </si>
  <si>
    <t>陈砚稳定音色</t>
  </si>
  <si>
    <t>BY-VOI-P0-002-陈砚声音</t>
  </si>
  <si>
    <t>场2,3,5,6,7,8,9,10,11,12,13；镜009,014,017,029,033,038,040,044,048,052,054,058,060,062,066,068,069,071,075,082,089,092</t>
  </si>
  <si>
    <t>中音、清楚、设备报告准确</t>
  </si>
  <si>
    <t>尾音收束较快，与杨凛区分</t>
  </si>
  <si>
    <t>中性;设备报告</t>
  </si>
  <si>
    <t>中音域、中速</t>
  </si>
  <si>
    <t>刘定槎稳定音色</t>
  </si>
  <si>
    <t>BY-VOI-P0-003-刘定槎声音</t>
  </si>
  <si>
    <t>场1,2,3,4,9,11,12,13,14,15；镜004,007,011,013,015,016,018,019,020,063,079,081,084,085,086,087,089,090,092,098,102,108</t>
  </si>
  <si>
    <t>中低偏温润、克制</t>
  </si>
  <si>
    <t>最后一句不煽情，与杨凛形成内收差异</t>
  </si>
  <si>
    <t>中性;通信;返程</t>
  </si>
  <si>
    <t>中低音域、中慢语速</t>
  </si>
  <si>
    <t>梦舟舱内与无线电</t>
  </si>
  <si>
    <t>周明远稳定音色</t>
  </si>
  <si>
    <t>BY-VOI-P1-001-周明远声音</t>
  </si>
  <si>
    <t>01-02场对白</t>
  </si>
  <si>
    <t>权威清晰、不过度播音</t>
  </si>
  <si>
    <t>重大新闻的克制感</t>
  </si>
  <si>
    <t>新闻中性</t>
  </si>
  <si>
    <t>中低音域、中速</t>
  </si>
  <si>
    <t>演播室干净声音</t>
  </si>
  <si>
    <t>林知夏稳定音色</t>
  </si>
  <si>
    <t>BY-VOI-P1-002-林知夏声音</t>
  </si>
  <si>
    <t>场1,6,8,15；镜002,042,056,105</t>
  </si>
  <si>
    <t>清亮、专业、有现场感</t>
  </si>
  <si>
    <t>比主播更轻更快</t>
  </si>
  <si>
    <t>现场报道</t>
  </si>
  <si>
    <t>媒体区环境轻微进入</t>
  </si>
  <si>
    <t>新闻声音包</t>
  </si>
  <si>
    <t>孙屹川稳定音色</t>
  </si>
  <si>
    <t>BY-VOI-P1-003-孙屹川声音</t>
  </si>
  <si>
    <t>02场对白</t>
  </si>
  <si>
    <t>沉稳、精确、略年长</t>
  </si>
  <si>
    <t>工程术语清楚，不教学腔</t>
  </si>
  <si>
    <t>专家中性</t>
  </si>
  <si>
    <t>中低音域、偏慢</t>
  </si>
  <si>
    <t>北京飞控主调度稳定音色</t>
  </si>
  <si>
    <t>BY-VOI-P1-004-北京飞控主调度声音</t>
  </si>
  <si>
    <t>场1,2,4,5,6,7,8,9,10,12,13,14,15,16；镜003,005,006,010,012,021,023,024,026,028,031,036,041,045,050,051,053,057,064,065,067,072,073,080,083,088,093,095,097,102,104,106,108,113</t>
  </si>
  <si>
    <t>中性权威、短促、无情绪渲染</t>
  </si>
  <si>
    <t>与三名航天员明显区分</t>
  </si>
  <si>
    <t>任务调度</t>
  </si>
  <si>
    <t>地月通信质感</t>
  </si>
  <si>
    <t>飞控通信</t>
  </si>
  <si>
    <t>阶段2声音组</t>
  </si>
  <si>
    <t>林海深空测控稳定音色</t>
  </si>
  <si>
    <t>BY-VOI-P1-005-林海深空测控声音</t>
  </si>
  <si>
    <t>场1,5,8,11,14；镜003,028,035,053,077,097</t>
  </si>
  <si>
    <t>佳木斯主链路席位的克制无线电声音。</t>
  </si>
  <si>
    <t>中性中低音、短句、清楚报数。</t>
  </si>
  <si>
    <t>中性样本</t>
  </si>
  <si>
    <t>稳定、专业、无表演腔</t>
  </si>
  <si>
    <t>独立音色验证</t>
  </si>
  <si>
    <t>叶河深空测控稳定音色</t>
  </si>
  <si>
    <t>BY-VOI-P1-006-叶河深空测控声音</t>
  </si>
  <si>
    <t>喀什备份链路席位声音。</t>
  </si>
  <si>
    <t>与林海明显可辨。</t>
  </si>
  <si>
    <t>中音、简洁、冷静</t>
  </si>
  <si>
    <t>天衡VLBI测轨稳定音色</t>
  </si>
  <si>
    <t>BY-VOI-P1-007-天衡测轨声音</t>
  </si>
  <si>
    <t>场4,5,10,12,14；镜022,035,072,083,099</t>
  </si>
  <si>
    <t>测轨网统一呼号声音。</t>
  </si>
  <si>
    <t>不等同于单一站点；语气偏数据校核。</t>
  </si>
  <si>
    <t>中低音、精确、无情绪化</t>
  </si>
  <si>
    <t>东风着陆场调度／搜救指挥稳定音色</t>
  </si>
  <si>
    <t>BY-VOI-P1-008-搜救指挥声音</t>
  </si>
  <si>
    <t>直播呼号“东风”的着陆场调度、目标跟踪和搜救指挥通话。</t>
  </si>
  <si>
    <t>与北京飞控主调度区分。</t>
  </si>
  <si>
    <t>中低音、现场调度感</t>
  </si>
  <si>
    <t>独立音色资产；正式镜头中的通话随视频同步生成。</t>
  </si>
  <si>
    <t>小天任务智能体稳定音色</t>
  </si>
  <si>
    <t>BY-VOI-P1-009-小天任务智能体声音</t>
  </si>
  <si>
    <t>场1,2,3,5,7,10,11,12,13,15；镜004,007,018,030,032,034,046,070,076,085,094,103</t>
  </si>
  <si>
    <t>受限任务智能体的中性提示音色。</t>
  </si>
  <si>
    <t>不拟人化卖萌，不表现自主权威。</t>
  </si>
  <si>
    <t>清晰、中性、低情绪、短句</t>
  </si>
  <si>
    <t>北京地质席稳定音色</t>
  </si>
  <si>
    <t>BY-VOI-P1-010-北京地质席声音</t>
  </si>
  <si>
    <t>月面路线与采样建议的科学席声音。</t>
  </si>
  <si>
    <t>与飞控主调度区分。</t>
  </si>
  <si>
    <t>专业、审慎、中等语速</t>
  </si>
  <si>
    <t>回收现场指挥稳定音色</t>
  </si>
  <si>
    <t>BY-VOI-P1-011-现场指挥声音</t>
  </si>
  <si>
    <t>返回舱安全检查和开舱程序的现场声音。</t>
  </si>
  <si>
    <t>短句、明确、带现场通信质感。</t>
  </si>
  <si>
    <t>中音、清晰、无庆典语气</t>
  </si>
  <si>
    <t>何文澜稳定音色</t>
  </si>
  <si>
    <t>BY-VOI-P1-012-何文澜声音</t>
  </si>
  <si>
    <t>冷静、温和、医学解释清楚的中年专家音色。</t>
  </si>
  <si>
    <t>采访和画外保持同一身份。</t>
  </si>
  <si>
    <t>媒体区原声；专家画外</t>
  </si>
  <si>
    <t>无夸张播音腔</t>
  </si>
  <si>
    <t>近讲收音，轻媒体区底噪</t>
  </si>
  <si>
    <t>独立制作、确认和登记；正式镜头对白同步生成</t>
  </si>
  <si>
    <t>何文澜所有台词</t>
  </si>
  <si>
    <t>孙亦川稳定音色</t>
  </si>
  <si>
    <t>BY-VOI-P1-013-孙亦川声音</t>
  </si>
  <si>
    <t>逻辑清晰、节奏克制的轨道动力学专家音色。</t>
  </si>
  <si>
    <t>与历史停用“孙屹川”音色彻底隔离。</t>
  </si>
  <si>
    <t>不使用激昂新闻腔</t>
  </si>
  <si>
    <t>近讲收音</t>
  </si>
  <si>
    <t>孙亦川所有台词</t>
  </si>
  <si>
    <t>顾青岚稳定音色</t>
  </si>
  <si>
    <t>BY-VOI-P1-014-顾青岚声音</t>
  </si>
  <si>
    <t>清晰、沉稳的月球地质专家音色。</t>
  </si>
  <si>
    <t>采访与科学画外连续。</t>
  </si>
  <si>
    <t>自然语言节奏</t>
  </si>
  <si>
    <t>顾青岚所有台词</t>
  </si>
  <si>
    <t>东风医监人员稳定音色</t>
  </si>
  <si>
    <t>BY-VOI-P1-015-医监人员声音</t>
  </si>
  <si>
    <t>镜114</t>
  </si>
  <si>
    <t>现场医监人员的短句程序口令。</t>
  </si>
  <si>
    <t>与现场指挥、东风调度保持可辨识差异。</t>
  </si>
  <si>
    <t>舱门开启前后</t>
  </si>
  <si>
    <t>现场对讲质感</t>
  </si>
  <si>
    <t>东风清晨户外</t>
  </si>
  <si>
    <t>独立登记；正式镜头通话同步生成</t>
  </si>
  <si>
    <t>开舱医学评估</t>
  </si>
  <si>
    <t>同步声音约束</t>
  </si>
  <si>
    <t>舱内生命保障与设备底噪</t>
  </si>
  <si>
    <t>BY-SND-P0-001-舱内生命保障与设备底噪</t>
  </si>
  <si>
    <t>SND</t>
  </si>
  <si>
    <t>场1,2,3,4,5,6,7,9,10,11,12,13,14,15；镜004,007,009,011,015,017,018,023,029,032,036,038,040,043,063,069,071,076,079,081,082,090,094,098,100,101,103,106</t>
  </si>
  <si>
    <t>稳定连续的舱内声音母题</t>
  </si>
  <si>
    <t>不独立制作，随视频同步生成，不压对白</t>
  </si>
  <si>
    <t>梦舟;揽月</t>
  </si>
  <si>
    <t>风扇、设备、轻微结构声</t>
  </si>
  <si>
    <t>封闭舱内</t>
  </si>
  <si>
    <t>正式镜头Prompt声音约束</t>
  </si>
  <si>
    <t>舱内场次</t>
  </si>
  <si>
    <t>项目锁定;剧本明确</t>
  </si>
  <si>
    <t>不进入独立声音资产映射</t>
  </si>
  <si>
    <t>地月无线电通信质感</t>
  </si>
  <si>
    <t>BY-SND-P0-002-地月无线电通信质感</t>
  </si>
  <si>
    <t>场1,2,3,4,5,6,7,8,9,10,11,12,13,14,15,16；镜001,003,004,005,006,007,008,009,010,011,012,013,014,015,016,017,018,019,020,021,022,023,024,025,026,027,028,029,030,031,032,033,034,035,036,038,040,041,043,044,045,046,047,048,049,050,051,052,053,054,057,058,059,060,061,062,063,064,065,066,067,068,069,070,071,072,073,074,075,076,077,078,079,080,081,082,083,084,085,086,087,088,089,090,091,092,093,094,095,096,097,098,099,101,102,103,104,106,108,112,113</t>
  </si>
  <si>
    <t>带宽感、底噪和传播停顿</t>
  </si>
  <si>
    <t>不独立制作，随视频同步生成，保持可懂度</t>
  </si>
  <si>
    <t>地面到月球;月球到地面</t>
  </si>
  <si>
    <t>无线电质感</t>
  </si>
  <si>
    <t>任务通信链</t>
  </si>
  <si>
    <t>通信场次</t>
  </si>
  <si>
    <t>舱门对接机构结构传导</t>
  </si>
  <si>
    <t>BY-SND-P1-001-舱门对接机构结构传导</t>
  </si>
  <si>
    <t>场1,2,3,4,7,10,12,13,16；镜005,008,010,011,013,014,016,018,019,020,046,047,048,070,087,089,092,111,112</t>
  </si>
  <si>
    <t>舱门、分离、接触、锁紧的结构传导声</t>
  </si>
  <si>
    <t>只在舱内或结构路径可听，外部真空无巨大撞击</t>
  </si>
  <si>
    <t>关闭;分离;接触;锁紧</t>
  </si>
  <si>
    <t>机械与结构传导</t>
  </si>
  <si>
    <t>舱内或结构路径</t>
  </si>
  <si>
    <t>随视频同步生成</t>
  </si>
  <si>
    <t>登月服内部呼吸与结构声</t>
  </si>
  <si>
    <t>BY-SND-P1-002-登月服内部呼吸与结构声</t>
  </si>
  <si>
    <t>场7,8,9,10,11；镜044,046,047,048,049,050,051,052,054,057,058,059,060,061,062,064,066,067,068,069,070,071,073,074,075,076,078</t>
  </si>
  <si>
    <t>头盔内呼吸、关节和扶手接触传导</t>
  </si>
  <si>
    <t>来自航天服内部与任务通信音轨，不是月面外部环境声</t>
  </si>
  <si>
    <t>静息;活动;略重呼吸</t>
  </si>
  <si>
    <t>呼吸、织物、关节结构声</t>
  </si>
  <si>
    <t>登月服内部</t>
  </si>
  <si>
    <t>月面场次</t>
  </si>
  <si>
    <t>发动机舱内结构振动</t>
  </si>
  <si>
    <t>BY-SND-P1-003-发动机舱内结构振动</t>
  </si>
  <si>
    <t>场4,5,14,15；镜024,038,098,103</t>
  </si>
  <si>
    <t>下降和起飞时舱内可感知的结构振动</t>
  </si>
  <si>
    <t>外部画面无空气轰鸣</t>
  </si>
  <si>
    <t>点火;稳定工作;关机</t>
  </si>
  <si>
    <t>低频结构振动</t>
  </si>
  <si>
    <t>下降与起飞</t>
  </si>
  <si>
    <t>新闻提示音</t>
  </si>
  <si>
    <t>BY-SND-P2-001-新闻提示音</t>
  </si>
  <si>
    <t>P2</t>
  </si>
  <si>
    <t>01-01镜头</t>
  </si>
  <si>
    <t>片头单一克制提示音</t>
  </si>
  <si>
    <t>不形成配乐，不反复使用</t>
  </si>
  <si>
    <t>单次</t>
  </si>
  <si>
    <t>短促提示音</t>
  </si>
  <si>
    <t>新闻演播室</t>
  </si>
  <si>
    <t>随片头视频生成或后期单点制作</t>
  </si>
  <si>
    <t>V1.2无新闻包装提示音且全片无配乐</t>
  </si>
  <si>
    <t>再入舱内结构与通信衰减</t>
  </si>
  <si>
    <t>BY-SND-P1-004-再入结构与通信衰减</t>
  </si>
  <si>
    <t>场15；镜102,103,104,105,106,108</t>
  </si>
  <si>
    <t>再入振动、结构传导、无线电衰减与黑障噪声的同步生成约束。</t>
  </si>
  <si>
    <t>不独立制作基础音频。</t>
  </si>
  <si>
    <t>第一次再入；黑障；恢复</t>
  </si>
  <si>
    <t>低频结构声、通信噪声</t>
  </si>
  <si>
    <t>声音来自舱内与通信链路</t>
  </si>
  <si>
    <t>随镜头视频同步生成</t>
  </si>
  <si>
    <t>降落伞气动与着陆冲击</t>
  </si>
  <si>
    <t>BY-SND-P1-005-降落伞与着陆冲击</t>
  </si>
  <si>
    <t>场15；镜108,109</t>
  </si>
  <si>
    <t>地球大气中的伞具气动、舱内冲击和地面接触声。</t>
  </si>
  <si>
    <t>不混入配乐。</t>
  </si>
  <si>
    <t>开伞；气囊触地；滚摆</t>
  </si>
  <si>
    <t>真实气动与结构声</t>
  </si>
  <si>
    <t>仅地球大气／舱内可传播</t>
  </si>
  <si>
    <t>搜救现场风声、车辆设备与远距通信</t>
  </si>
  <si>
    <t>BY-SND-P1-006-搜救现场声</t>
  </si>
  <si>
    <t>回收现场的地球环境声和任务通信。</t>
  </si>
  <si>
    <t>不做英雄式音乐。</t>
  </si>
  <si>
    <t>接近；安全检查；开舱；终景</t>
  </si>
  <si>
    <t>自然风、车辆、设备、远距无线电</t>
  </si>
  <si>
    <t>月球车设备链路结构声</t>
  </si>
  <si>
    <t>BY-SND-P1-007-月球车设备链路结构声</t>
  </si>
  <si>
    <t>经车载／通信设备传回的电机和结构振动。</t>
  </si>
  <si>
    <t>不是月面外部空气拾音。</t>
  </si>
  <si>
    <t>卸载；行驶；返程</t>
  </si>
  <si>
    <t>受限频带电机结构声</t>
  </si>
  <si>
    <t>通信链路来源</t>
  </si>
  <si>
    <t>飞控与测控大厅设备底噪</t>
  </si>
  <si>
    <t>BY-SND-P1-008-飞控与测控大厅底噪</t>
  </si>
  <si>
    <t>北京飞控、深空测控和搜救指挥空间中的克制设备与席位环境声。</t>
  </si>
  <si>
    <t>不形成节奏性音乐。</t>
  </si>
  <si>
    <t>常态任务；关键节点</t>
  </si>
  <si>
    <t>低强度空调、设备风扇、键控与远距席位声</t>
  </si>
  <si>
    <t>地球室内环境</t>
  </si>
  <si>
    <t>地面系统场次</t>
  </si>
  <si>
    <t>飞控媒体区直播现场声</t>
  </si>
  <si>
    <t>BY-SND-P1-009-媒体区直播现场声</t>
  </si>
  <si>
    <t>记者与专家镜头</t>
  </si>
  <si>
    <t>低声工作环境、轻空调底噪、现场掌声与人物近讲。</t>
  </si>
  <si>
    <t>关键任务动作期间不以媒体区声覆盖无线电。</t>
  </si>
  <si>
    <t>开场安静；采访；克制掌声；片尾收束</t>
  </si>
  <si>
    <t>真实室内空间声</t>
  </si>
  <si>
    <t>飞控媒体区</t>
  </si>
  <si>
    <t>无配乐、无新闻提示音</t>
  </si>
  <si>
    <t>媒体区镜头</t>
  </si>
  <si>
    <t>《奔月》V1.3.1｜人物资产</t>
  </si>
  <si>
    <t>人物母资产在前；每套服装、服装状态紧跟对应人物并以父资产ID关联。稳定音色单列于“声音资产”。</t>
  </si>
  <si>
    <t>《奔月》V1.3.1｜场景资产</t>
  </si>
  <si>
    <t>层级固定为“场景资产组→母图→多视角”。多视角父资产ID直接指向该场景母图，先确认母图再生成视图。</t>
  </si>
  <si>
    <t>《奔月》V1.3.1｜道具资产</t>
  </si>
  <si>
    <t>载具／航天器与任务设备统一纳入道具大类，同时保留VEH、PRP原始类型代码，便于镜头调用与专业分工。</t>
  </si>
  <si>
    <t>《奔月》V1.3.1｜特殊资产</t>
  </si>
  <si>
    <t>包含动作链、光照、视觉特效、关系约束和后期图形／标识；这些资产承担连续性、物理和来源边界。</t>
  </si>
  <si>
    <t>《奔月》V1.3.1｜声音资产</t>
  </si>
  <si>
    <t>VOI为独立稳定音色；SND为随镜头视频同步生成的声音约束。月面外部无空气传播声，全片不配乐。</t>
  </si>
  <si>
    <t>镜号</t>
  </si>
  <si>
    <t>场名</t>
  </si>
  <si>
    <t>时间码</t>
  </si>
  <si>
    <t>时长秒</t>
  </si>
  <si>
    <t>景别／机位</t>
  </si>
  <si>
    <t>画面动作摘要</t>
  </si>
  <si>
    <t>关键状态／变体</t>
  </si>
  <si>
    <t>摄影来源等级</t>
  </si>
  <si>
    <t>所需视觉资产ID</t>
  </si>
  <si>
    <t>所需人物音色ID</t>
  </si>
  <si>
    <t>同步声音约束ID</t>
  </si>
  <si>
    <t>后期文字／图形资产ID</t>
  </si>
  <si>
    <t>资产状态</t>
  </si>
  <si>
    <t>专业控制</t>
  </si>
  <si>
    <t>直播一开场：两器即将对接</t>
  </si>
  <si>
    <t>00:00:00–00:00:12</t>
  </si>
  <si>
    <t>黑场／后期字幕</t>
  </si>
  <si>
    <t>黑场依次出现：本片依据截至2026年的公开信息，对中国首次载人登月进行未来纪实推演；人物、日期、呼号及未公开任务细节均为艺术创作，不代表官方方案。</t>
  </si>
  <si>
    <t>常规任务状态</t>
  </si>
  <si>
    <t>D｜后期字幕／解释图卡</t>
  </si>
  <si>
    <t>BY-SYM-P0-002-艺术化光照偏差推演声明;BY-SYM-P1-001-未来纪实推演标识;BY-SYM-P1-003-任务阶段与时间跳跃标牌</t>
  </si>
  <si>
    <t>阶段1映射完成｜阶段2B按镜头状态调用</t>
  </si>
  <si>
    <t>字幕后期制作；给足完整阅读时间。</t>
  </si>
  <si>
    <t>00:00:12–00:00:17</t>
  </si>
  <si>
    <t>黑场转深空／后期字幕</t>
  </si>
  <si>
    <t>字幕：2029年4月6日，月球轨道。画面转为月球弧面与黑色深空。</t>
  </si>
  <si>
    <t>BY-LGT-P1-004-环月轨道太阳光;BY-REL-P1-007-摄影来源证据层级;BY-REL-P1-010-地月视觉尺度连续性;BY-SCN-P1-006-环月轨道外部环境</t>
  </si>
  <si>
    <t>日期属于本片艺术时间线。</t>
  </si>
  <si>
    <t>00:00:17–00:00:27</t>
  </si>
  <si>
    <t>媒体区直播中景</t>
  </si>
  <si>
    <t>林知夏站在固定媒体位，身后玻璃与大屏可见北京飞控中心工作状态。</t>
  </si>
  <si>
    <t>B｜地面直播／测控任务机位</t>
  </si>
  <si>
    <t>BY-CHR-P1-002-林知夏;BY-CRO-P1-001-北京飞控任务团队;BY-CST-P1-004-林知夏记者服装;BY-LGT-P1-003-飞控大厅任务光;BY-LGT-P1-008-飞控媒体区直播光;BY-REL-P1-007-摄影来源证据层级;BY-REL-P1-008-三段直播结构链;BY-SCN-P0-006-北京飞控大厅与任务主屏;BY-SCN-P1-003-飞控中心媒体区</t>
  </si>
  <si>
    <t>BY-REL-P1-003-声音来源真实性;BY-SND-P1-008-飞控与测控大厅底噪;BY-SND-P1-009-媒体区直播现场声</t>
  </si>
  <si>
    <t>记者不进入飞控工作大厅；台词保留起句和收句余量。</t>
  </si>
  <si>
    <t>00:00:27–00:00:39</t>
  </si>
  <si>
    <t>月轨双器远景／视觉重建</t>
  </si>
  <si>
    <t>月球弧面占画面下方，梦舟与揽月沿同一轨道方向飞行；远处地球是有清晰直径的蓝白色圆盘。画面角落标注：基于实时遥测的视觉重建。</t>
  </si>
  <si>
    <t>遥测视觉重建｜角标常驻</t>
  </si>
  <si>
    <t>C｜显式遥测视觉重建</t>
  </si>
  <si>
    <t>BY-LGT-P1-004-环月轨道太阳光;BY-REL-P0-005-揽月构型状态链;BY-REL-P1-007-摄影来源证据层级;BY-REL-P1-010-地月视觉尺度连续性;BY-SCN-P1-006-环月轨道外部环境;BY-VEH-P0-001-梦舟载人飞船;BY-VEH-P0-002-揽月完整构型;BY-VEH-P0-003-揽月登月舱;BY-VFX-P1-008-遥测视觉重建合成</t>
  </si>
  <si>
    <t>不伪装成物理外拍机位；地球不能表现为小蓝点。</t>
  </si>
  <si>
    <t>00:00:39–00:00:48</t>
  </si>
  <si>
    <t>梦舟舱内后向广角</t>
  </si>
  <si>
    <t>三名航天员全部固定在梦舟三把座椅上；杨凛居中统筹，刘定槎监看相对导航，陈砚核对揽月遥测和转移清单。</t>
  </si>
  <si>
    <t>梦舟A｜三座满员／对接前</t>
  </si>
  <si>
    <t>A｜航天器／宇航服／月面真实任务机位推演</t>
  </si>
  <si>
    <t>BY-ANM-P0-001-梦舟四种乘员状态;BY-CHR-P0-001-杨凛;BY-CHR-P0-002-陈砚;BY-CHR-P0-003-刘定槎;BY-CST-P0-001-杨凛舱内飞行服;BY-CST-P0-002-陈砚舱内飞行服;BY-CST-P0-003-刘定槎舱内飞行服;BY-LGT-P0-001-梦舟舱内任务光;BY-PRP-P0-001-梦舟三座椅与束缚系统;BY-PRP-P1-005-两器舱门与对接锁止结果件;BY-PRP-P1-006-舱内操作界面与任务屏;BY-REL-P0-005-揽月构型状态链;BY-REL-P0-009-梦舟三座返航承载与环月工作位;BY-REL-P0-010-梦舟轴向转移顺序;BY-REL-P1-002-两侧舱门顺序;BY-REL-P1-007-摄影来源证据层级;BY-SCN-P0-001-梦舟舱内三座布局;BY-SCN-P0-002-梦舟对接通道与舱门区;BY-SCN-P0-005-梦舟环月工作位;BY-VEH-P0-001-梦舟载人飞船;BY-VEH-P0-002-揽月完整构型;BY-VEH-P0-003-揽月登月舱</t>
  </si>
  <si>
    <t>BY-VOI-P0-001-杨凛声音;BY-VOI-P0-002-陈砚声音;BY-VOI-P0-003-刘定槎声音</t>
  </si>
  <si>
    <t>BY-REL-P1-003-声音来源真实性;BY-SND-P0-001-舱内生命保障与设备底噪;BY-SND-P1-001-舱门对接机构结构传导</t>
  </si>
  <si>
    <t>第一次建立三座满员的视觉母题；揽月此时无人。</t>
  </si>
  <si>
    <t>00:00:48–00:00:56</t>
  </si>
  <si>
    <t>飞控大厅广角</t>
  </si>
  <si>
    <t>主屏显示双目标相对轨迹；飞行主任、轨道、制导导航控制和航天员系统席位安静工作。</t>
  </si>
  <si>
    <t>BY-CRO-P1-001-北京飞控任务团队;BY-LGT-P1-003-飞控大厅任务光;BY-REL-P1-007-摄影来源证据层级;BY-SCN-P0-006-北京飞控大厅与任务主屏</t>
  </si>
  <si>
    <t>BY-REL-P1-003-声音来源真实性;BY-SND-P1-008-飞控与测控大厅底噪</t>
  </si>
  <si>
    <t>只保留关键状态闭合。</t>
  </si>
  <si>
    <t>00:00:56–00:01:02</t>
  </si>
  <si>
    <t>佳木斯深空站外景</t>
  </si>
  <si>
    <t>66米天线缓慢跟踪；任务屏显示梦舟、揽月两条轨迹和链路状态。</t>
  </si>
  <si>
    <t>BY-CRO-P1-002-深空测控值班团队;BY-LGT-P1-004-环月轨道太阳光;BY-LGT-P1-006-深空测控站任务光;BY-REL-P0-005-揽月构型状态链;BY-REL-P1-004-地面测控接力链;BY-REL-P1-007-摄影来源证据层级;BY-REL-P1-010-地月视觉尺度连续性;BY-SCN-P1-006-环月轨道外部环境;BY-SCN-P1-007-佳木斯66米深空测控站;BY-VEH-P0-001-梦舟载人飞船;BY-VEH-P0-002-揽月完整构型;BY-VEH-P0-003-揽月登月舱</t>
  </si>
  <si>
    <t>近月主链路由深空地面站接力。</t>
  </si>
  <si>
    <t>环月对接</t>
  </si>
  <si>
    <t>00:01:02–00:01:10</t>
  </si>
  <si>
    <t>梦舟舱内三人中景</t>
  </si>
  <si>
    <t>三名航天员保持约束状态；刘定槎读出闭合速度，陈砚监看揽月状态，杨凛确认接近序列。</t>
  </si>
  <si>
    <t>BY-ANM-P0-001-梦舟四种乘员状态;BY-CHR-P0-001-杨凛;BY-CHR-P0-002-陈砚;BY-CHR-P0-003-刘定槎;BY-CST-P0-001-杨凛舱内飞行服;BY-CST-P0-002-陈砚舱内飞行服;BY-CST-P0-003-刘定槎舱内飞行服;BY-LGT-P0-001-梦舟舱内任务光;BY-PRP-P0-001-梦舟三座椅与束缚系统;BY-PRP-P1-006-舱内操作界面与任务屏;BY-REL-P0-005-揽月构型状态链;BY-REL-P0-009-梦舟三座返航承载与环月工作位;BY-REL-P1-007-摄影来源证据层级;BY-SCN-P0-001-梦舟舱内三座布局;BY-SCN-P0-005-梦舟环月工作位;BY-VEH-P0-001-梦舟载人飞船;BY-VEH-P0-002-揽月完整构型;BY-VEH-P0-003-揽月登月舱</t>
  </si>
  <si>
    <t>BY-REL-P1-003-声音来源真实性;BY-SND-P0-001-舱内生命保障与设备底噪</t>
  </si>
  <si>
    <t>三名乘员均在梦舟；不虚构揽月内有人。</t>
  </si>
  <si>
    <t>00:01:10–00:01:17</t>
  </si>
  <si>
    <t>双器侧向／视觉重建</t>
  </si>
  <si>
    <t>两器沿对接轴线缓慢闭合，姿控喷气短促且克制；角落标注：基于实时遥测的视觉重建。</t>
  </si>
  <si>
    <t>BY-PRP-P1-005-两器舱门与对接锁止结果件;BY-REL-P1-007-摄影来源证据层级;BY-VFX-P1-002-环月轨道交会与对接;BY-VFX-P1-004-姿控喷流;BY-VFX-P1-008-遥测视觉重建合成</t>
  </si>
  <si>
    <t>BY-REL-P1-003-声音来源真实性;BY-SND-P1-001-舱门对接机构结构传导</t>
  </si>
  <si>
    <t>不指定未公开的主动／被动对接分工。</t>
  </si>
  <si>
    <t>00:01:17–00:01:24</t>
  </si>
  <si>
    <t>对接口监视相机</t>
  </si>
  <si>
    <t>目标十字线在二十米停泊点稳定，闭合速度降为零。</t>
  </si>
  <si>
    <t>BY-PRP-P1-005-两器舱门与对接锁止结果件;BY-PRP-P1-015-航天器任务相机组;BY-REL-P1-007-摄影来源证据层级;BY-VFX-P1-002-环月轨道交会与对接</t>
  </si>
  <si>
    <t>BY-VOI-P0-003-刘定槎声音;BY-VOI-P1-004-北京飞控主调度声音</t>
  </si>
  <si>
    <t>任务证据视角；不让记者或专家覆盖。</t>
  </si>
  <si>
    <t>00:01:24–00:01:31</t>
  </si>
  <si>
    <t>飞控屏幕近景</t>
  </si>
  <si>
    <t>轨道、姿态和链路状态依次转绿；飞行主任手势确认。</t>
  </si>
  <si>
    <t>保留授权动作和短暂停顿。</t>
  </si>
  <si>
    <t>00:01:31–00:01:38</t>
  </si>
  <si>
    <t>梦舟舱内交叉近景</t>
  </si>
  <si>
    <t>杨凛看向中央状态页，刘定槎盯住相对导航，陈砚保持对揽月系统监视。</t>
  </si>
  <si>
    <t>通话保留约1.3秒单程延迟的自然节奏。</t>
  </si>
  <si>
    <t>00:01:38–00:01:46</t>
  </si>
  <si>
    <t>正轴／视觉重建</t>
  </si>
  <si>
    <t>对接环在画面中心逐渐重合，双器相对运动接近静止；角落保留视觉重建标识。</t>
  </si>
  <si>
    <t>BY-PRP-P1-005-两器舱门与对接锁止结果件;BY-REL-P1-007-摄影来源证据层级;BY-VFX-P1-002-环月轨道交会与对接;BY-VFX-P1-008-遥测视觉重建合成</t>
  </si>
  <si>
    <t>第三视角只补充空间尺度。</t>
  </si>
  <si>
    <t>00:01:46–00:01:54</t>
  </si>
  <si>
    <t>对接机构与舱内交叉</t>
  </si>
  <si>
    <t>对接环接触、缓冲、拉紧；梦舟舱内出现轻微结构振动。</t>
  </si>
  <si>
    <t>BY-PRP-P1-005-两器舱门与对接锁止结果件;BY-REL-P1-007-摄影来源证据层级;BY-VEH-P0-001-梦舟载人飞船;BY-VFX-P1-002-环月轨道交会与对接</t>
  </si>
  <si>
    <t>BY-VOI-P0-001-杨凛声音;BY-VOI-P0-003-刘定槎声音</t>
  </si>
  <si>
    <t>结构声只在舱内成立。</t>
  </si>
  <si>
    <t>00:01:54–00:02:02</t>
  </si>
  <si>
    <t>北京飞控广角</t>
  </si>
  <si>
    <t>硬连接、姿态、密封和压力检查依次完成，大厅短暂克制鼓掌。</t>
  </si>
  <si>
    <t>BY-CRO-P1-001-北京飞控任务团队;BY-LGT-P1-003-飞控大厅任务光;BY-PRP-P1-005-两器舱门与对接锁止结果件;BY-REL-P1-007-摄影来源证据层级;BY-SCN-P0-006-北京飞控大厅与任务主屏;BY-VFX-P1-002-环月轨道交会与对接</t>
  </si>
  <si>
    <t>BY-REL-P1-003-声音来源真实性;BY-SND-P1-001-舱门对接机构结构传导;BY-SND-P1-008-飞控与测控大厅底噪</t>
  </si>
  <si>
    <t>对接成功后仍完成密封检查。</t>
  </si>
  <si>
    <t>人员转移与直播一结束</t>
  </si>
  <si>
    <t>00:02:02–00:02:08</t>
  </si>
  <si>
    <t>对接通道轴向固定</t>
  </si>
  <si>
    <t>压差归零后两侧舱门依次开启，任务数据盒、救生包和个人转移袋沿固定索先行通过。</t>
  </si>
  <si>
    <t>BY-PRP-P1-005-两器舱门与对接锁止结果件;BY-REL-P0-010-梦舟轴向转移顺序;BY-REL-P1-002-两侧舱门顺序;BY-REL-P1-007-摄影来源证据层级;BY-SCN-P0-002-梦舟对接通道与舱门区;BY-VFX-P1-002-环月轨道交会与对接</t>
  </si>
  <si>
    <t>先物品、后人员。</t>
  </si>
  <si>
    <t>00:02:08–00:02:14</t>
  </si>
  <si>
    <t>梦舟返回舱三人中景</t>
  </si>
  <si>
    <t>杨凛、陈砚解除座椅约束，刘定槎仍在工作位；三把座椅关系清楚。</t>
  </si>
  <si>
    <t>BY-ANM-P0-001-梦舟四种乘员状态;BY-CHR-P0-001-杨凛;BY-CHR-P0-002-陈砚;BY-CHR-P0-003-刘定槎;BY-CST-P0-001-杨凛舱内飞行服;BY-CST-P0-002-陈砚舱内飞行服;BY-CST-P0-003-刘定槎舱内飞行服;BY-LGT-P0-001-梦舟舱内任务光;BY-PRP-P0-001-梦舟三座椅与束缚系统;BY-PRP-P1-006-舱内操作界面与任务屏;BY-REL-P0-009-梦舟三座返航承载与环月工作位;BY-REL-P1-007-摄影来源证据层级;BY-SCN-P0-001-梦舟舱内三座布局;BY-SCN-P0-005-梦舟环月工作位;BY-VEH-P0-001-梦舟载人飞船</t>
  </si>
  <si>
    <t>对话克制，不使用煽情告别。</t>
  </si>
  <si>
    <t>00:02:14–00:02:21</t>
  </si>
  <si>
    <t>通道固定机位</t>
  </si>
  <si>
    <t>杨凛、陈砚依次进入揽月，刘定槎执行人数清点并关闭转移清单。</t>
  </si>
  <si>
    <t>BY-CHR-P0-001-杨凛;BY-CHR-P0-002-陈砚;BY-CHR-P0-003-刘定槎;BY-CST-P0-001-杨凛舱内飞行服;BY-CST-P0-002-陈砚舱内飞行服;BY-CST-P0-003-刘定槎舱内飞行服;BY-PRP-P1-005-两器舱门与对接锁止结果件;BY-REL-P0-005-揽月构型状态链;BY-REL-P0-010-梦舟轴向转移顺序;BY-REL-P1-002-两侧舱门顺序;BY-REL-P1-007-摄影来源证据层级;BY-SCN-P0-002-梦舟对接通道与舱门区;BY-VEH-P0-002-揽月完整构型;BY-VEH-P0-003-揽月登月舱</t>
  </si>
  <si>
    <t>人员关系正式完成切换。</t>
  </si>
  <si>
    <t>00:02:21–00:02:27</t>
  </si>
  <si>
    <t>梦舟返回舱后向广角</t>
  </si>
  <si>
    <t>刘定槎独自坐回工作位，左右两张座椅空置并锁定；他抬眼确认两器组合体状态。</t>
  </si>
  <si>
    <t>梦舟B｜刘定槎值守／两座空置锁定</t>
  </si>
  <si>
    <t>BY-ANM-P0-001-梦舟四种乘员状态;BY-CHR-P0-003-刘定槎;BY-CST-P0-003-刘定槎舱内飞行服;BY-LGT-P0-001-梦舟舱内任务光;BY-PRP-P0-001-梦舟三座椅与束缚系统;BY-PRP-P1-006-舱内操作界面与任务屏;BY-REL-P0-009-梦舟三座返航承载与环月工作位;BY-REL-P1-007-摄影来源证据层级;BY-SCN-P0-001-梦舟舱内三座布局;BY-SCN-P0-005-梦舟环月工作位;BY-VEH-P0-001-梦舟载人飞船</t>
  </si>
  <si>
    <t>第二次建立两张空座的视觉母题。</t>
  </si>
  <si>
    <t>00:02:27–00:02:45</t>
  </si>
  <si>
    <t>媒体区双人中景</t>
  </si>
  <si>
    <t>林知夏与何文澜站在任务大屏前，屏上标注：48小时准备期。</t>
  </si>
  <si>
    <t>BY-CHR-P1-002-林知夏;BY-CHR-P1-004-何文澜;BY-CST-P1-004-林知夏记者服装;BY-CST-P1-006-何文澜专家服装;BY-LGT-P1-008-飞控媒体区直播光;BY-REL-P1-007-摄影来源证据层级;BY-REL-P1-008-三段直播结构链;BY-SCN-P1-003-飞控中心媒体区</t>
  </si>
  <si>
    <t>BY-VOI-P1-002-林知夏声音;BY-VOI-P1-012-何文澜声音</t>
  </si>
  <si>
    <t>BY-REL-P1-003-声音来源真实性;BY-SND-P1-003-发动机舱内结构振动;BY-SND-P1-009-媒体区直播现场声</t>
  </si>
  <si>
    <t>采访允许自然停顿和眼神反应；不覆盖任务关键动作。</t>
  </si>
  <si>
    <t>00:02:45–00:02:53</t>
  </si>
  <si>
    <t>揽月舱内准备蒙太奇</t>
  </si>
  <si>
    <t>两人固定物品、检查登月服接口、核对下降清单并轮换休息。</t>
  </si>
  <si>
    <t>BY-ANM-P0-002-揽月下降出舱起飞链;BY-CHR-P0-001-杨凛;BY-CHR-P0-002-陈砚;BY-LGT-P0-002-揽月下降任务光;BY-LGT-P0-004-月面艺术化任务日光;BY-PRP-P1-006-舱内操作界面与任务屏;BY-REL-P0-005-揽月构型状态链;BY-REL-P0-012-月面艺术化光照与声明;BY-REL-P1-001-月面空间总图;BY-REL-P1-007-摄影来源证据层级;BY-SCN-P0-003-揽月登月舱舱内;BY-SCN-P0-004-月面着陆与作业区;BY-VEH-P0-002-揽月完整构型;BY-VEH-P0-003-揽月登月舱</t>
  </si>
  <si>
    <t>BY-REL-P1-003-声音来源真实性;BY-SND-P0-001-舱内生命保障与设备底噪;BY-SND-P1-003-发动机舱内结构振动</t>
  </si>
  <si>
    <t>不虚构未公开舱压和预呼吸参数。</t>
  </si>
  <si>
    <t>00:02:53–00:03:00</t>
  </si>
  <si>
    <t>媒体区收束</t>
  </si>
  <si>
    <t>林知夏转向镜头，身后画面停在组合体环月飞行。</t>
  </si>
  <si>
    <t>BY-CHR-P1-002-林知夏;BY-CST-P1-004-林知夏记者服装;BY-LGT-P1-004-环月轨道太阳光;BY-LGT-P1-008-飞控媒体区直播光;BY-REL-P1-007-摄影来源证据层级;BY-REL-P1-008-三段直播结构链;BY-REL-P1-010-地月视觉尺度连续性;BY-SCN-P1-003-飞控中心媒体区;BY-SCN-P1-006-环月轨道外部环境</t>
  </si>
  <si>
    <t>形成明确直播出口。</t>
  </si>
  <si>
    <t>时间跨越</t>
  </si>
  <si>
    <t>00:03:00–00:03:12</t>
  </si>
  <si>
    <t>月轨组合体远景／后期字幕</t>
  </si>
  <si>
    <t>梦舟—揽月组合体从月球明暗交界上方掠过。字幕：2029年4月8日；对接后48小时；揽月下降准备完成。</t>
  </si>
  <si>
    <t>BY-LGT-P0-004-月面艺术化任务日光;BY-LGT-P1-004-环月轨道太阳光;BY-PRP-P1-005-两器舱门与对接锁止结果件;BY-REL-P0-005-揽月构型状态链;BY-REL-P0-010-梦舟轴向转移顺序;BY-REL-P0-012-月面艺术化光照与声明;BY-REL-P1-001-月面空间总图;BY-REL-P1-002-两侧舱门顺序;BY-REL-P1-007-摄影来源证据层级;BY-REL-P1-010-地月视觉尺度连续性;BY-SCN-P0-002-梦舟对接通道与舱门区;BY-SCN-P0-004-月面着陆与作业区;BY-SCN-P1-006-环月轨道外部环境;BY-VEH-P0-001-梦舟载人飞船;BY-VEH-P0-002-揽月完整构型;BY-VEH-P0-003-揽月登月舱;BY-VFX-P1-002-环月轨道交会与对接;BY-VFX-P1-008-遥测视觉重建合成</t>
  </si>
  <si>
    <t>BY-REL-P1-003-声音来源真实性;BY-SND-P1-001-舱门对接机构结构传导;BY-SND-P1-003-发动机舱内结构振动</t>
  </si>
  <si>
    <t>BY-SYM-P1-003-任务阶段与时间跳跃标牌;BY-SYM-P1-006-视觉重建来源标识</t>
  </si>
  <si>
    <t>明确时间跨越，不标注现场直播；外景属于视觉重建。</t>
  </si>
  <si>
    <t>直播二开场：揽月脱离</t>
  </si>
  <si>
    <t>00:03:12–00:03:20</t>
  </si>
  <si>
    <t>揽月舱内双人中景</t>
  </si>
  <si>
    <t>杨凛和陈砚穿舱内压力服固定，关闭下降前最后几项清单。</t>
  </si>
  <si>
    <t>BY-ANM-P0-002-揽月下降出舱起飞链;BY-CHR-P0-001-杨凛;BY-CHR-P0-002-陈砚;BY-CST-P0-001-杨凛舱内飞行服;BY-CST-P0-002-陈砚舱内飞行服;BY-LGT-P0-002-揽月下降任务光;BY-LGT-P0-004-月面艺术化任务日光;BY-PRP-P1-006-舱内操作界面与任务屏;BY-REL-P0-005-揽月构型状态链;BY-REL-P0-012-月面艺术化光照与声明;BY-REL-P1-001-月面空间总图;BY-REL-P1-007-摄影来源证据层级;BY-SCN-P0-003-揽月登月舱舱内;BY-SCN-P0-004-月面着陆与作业区;BY-VEH-P0-002-揽月完整构型;BY-VEH-P0-003-揽月登月舱</t>
  </si>
  <si>
    <t>BY-VOI-P0-001-杨凛声音;BY-VOI-P0-002-陈砚声音</t>
  </si>
  <si>
    <t>舱内不出现宽阔走动空间。</t>
  </si>
  <si>
    <t>00:03:20–00:03:27</t>
  </si>
  <si>
    <t>梦舟工作位</t>
  </si>
  <si>
    <t>刘定槎独自在中央工作位，左右两张空座椅保持锁定；他交叉核对揽月遥测和梦舟待机轨道。</t>
  </si>
  <si>
    <t>BY-ANM-P0-001-梦舟四种乘员状态;BY-CHR-P0-003-刘定槎;BY-CST-P0-003-刘定槎舱内飞行服;BY-LGT-P0-001-梦舟舱内任务光;BY-PRP-P0-001-梦舟三座椅与束缚系统;BY-PRP-P1-006-舱内操作界面与任务屏;BY-REL-P0-005-揽月构型状态链;BY-REL-P0-009-梦舟三座返航承载与环月工作位;BY-REL-P1-007-摄影来源证据层级;BY-SCN-P0-001-梦舟舱内三座布局;BY-SCN-P0-005-梦舟环月工作位;BY-VEH-P0-001-梦舟载人飞船;BY-VEH-P0-002-揽月完整构型;BY-VEH-P0-003-揽月登月舱</t>
  </si>
  <si>
    <t>延续两张空座母题。</t>
  </si>
  <si>
    <t>00:03:27–00:03:35</t>
  </si>
  <si>
    <t>飞控大厅多席位</t>
  </si>
  <si>
    <t>飞行主任依次接收轨道、揽月系统、通信、航天员系统和应急返回状态。</t>
  </si>
  <si>
    <t>BY-CRO-P1-001-北京飞控任务团队;BY-LGT-P1-003-飞控大厅任务光;BY-REL-P0-005-揽月构型状态链;BY-REL-P1-007-摄影来源证据层级;BY-SCN-P0-006-北京飞控大厅与任务主屏;BY-VEH-P0-002-揽月完整构型;BY-VEH-P0-003-揽月登月舱</t>
  </si>
  <si>
    <t>重复确认压缩为一次关键闭合。</t>
  </si>
  <si>
    <t>00:03:35–00:03:47</t>
  </si>
  <si>
    <t>林知夏面向镜头，身后大屏显示双器组合体与下降轨迹。</t>
  </si>
  <si>
    <t>BY-CHR-P1-002-林知夏;BY-CST-P1-004-林知夏记者服装;BY-LGT-P0-004-月面艺术化任务日光;BY-LGT-P1-008-飞控媒体区直播光;BY-REL-P0-012-月面艺术化光照与声明;BY-REL-P1-001-月面空间总图;BY-REL-P1-007-摄影来源证据层级;BY-REL-P1-008-三段直播结构链;BY-SCN-P0-004-月面着陆与作业区;BY-SCN-P1-003-飞控中心媒体区</t>
  </si>
  <si>
    <t>BY-SYM-P1-004-任务轨迹与相位图模板;BY-SYM-P1-007-直播进口出口与倒计时</t>
  </si>
  <si>
    <t>台词以自然播报速度完成；记者只做事件前解释。</t>
  </si>
  <si>
    <t>00:03:47–00:03:54</t>
  </si>
  <si>
    <t>锁紧解除，视场中的对接目标沿安全轴线缓慢退出。</t>
  </si>
  <si>
    <t>任务证据视角。</t>
  </si>
  <si>
    <t>00:03:54–00:04:04</t>
  </si>
  <si>
    <t>月轨双器全景／视觉重建</t>
  </si>
  <si>
    <t>揽月与梦舟拉开距离，画面角落标注：基于实时遥测的视觉重建。</t>
  </si>
  <si>
    <t>本片第一次以第三视角明确展示两器分离的空间尺度。</t>
  </si>
  <si>
    <t>00:04:04–00:04:09</t>
  </si>
  <si>
    <t>梦舟与揽月舱内交叉</t>
  </si>
  <si>
    <t>刘定槎确认安全距离；杨凛和陈砚确认下降序列已接通。</t>
  </si>
  <si>
    <t>BY-ANM-P0-002-揽月下降出舱起飞链;BY-CHR-P0-001-杨凛;BY-CHR-P0-002-陈砚;BY-CHR-P0-003-刘定槎;BY-CST-P0-001-杨凛舱内飞行服;BY-CST-P0-002-陈砚舱内飞行服;BY-CST-P0-003-刘定槎舱内飞行服;BY-LGT-P0-002-揽月下降任务光;BY-LGT-P0-004-月面艺术化任务日光;BY-PRP-P1-006-舱内操作界面与任务屏;BY-REL-P0-005-揽月构型状态链;BY-REL-P0-012-月面艺术化光照与声明;BY-REL-P1-001-月面空间总图;BY-REL-P1-007-摄影来源证据层级;BY-SCN-P0-003-揽月登月舱舱内;BY-SCN-P0-004-月面着陆与作业区;BY-VEH-P0-001-梦舟载人飞船;BY-VEH-P0-002-揽月完整构型;BY-VEH-P0-003-揽月登月舱</t>
  </si>
  <si>
    <t>BY-VOI-P0-001-杨凛声音;BY-VOI-P1-004-北京飞控主调度声音</t>
  </si>
  <si>
    <t>保留双器状态闭合。</t>
  </si>
  <si>
    <t>00:04:09–00:04:14</t>
  </si>
  <si>
    <t>月轨远景／视觉重建</t>
  </si>
  <si>
    <t>揽月进入下降轨道，梦舟转入环月待机；地球仍是可分辨的蓝白色圆盘。</t>
  </si>
  <si>
    <t>BY-LGT-P0-004-月面艺术化任务日光;BY-LGT-P1-004-环月轨道太阳光;BY-REL-P0-005-揽月构型状态链;BY-REL-P0-012-月面艺术化光照与声明;BY-REL-P1-001-月面空间总图;BY-REL-P1-007-摄影来源证据层级;BY-REL-P1-010-地月视觉尺度连续性;BY-SCN-P0-004-月面着陆与作业区;BY-SCN-P1-006-环月轨道外部环境;BY-VEH-P0-001-梦舟载人飞船;BY-VEH-P0-002-揽月完整构型;BY-VEH-P0-003-揽月登月舱;BY-VFX-P1-008-遥测视觉重建合成</t>
  </si>
  <si>
    <t>BY-REL-P1-003-声音来源真实性;BY-SND-P1-003-发动机舱内结构振动</t>
  </si>
  <si>
    <t>不出现鹊桥或天链作为主链路。</t>
  </si>
  <si>
    <t>动力下降</t>
  </si>
  <si>
    <t>00:04:14–00:04:22</t>
  </si>
  <si>
    <t>揽月外部固定机位</t>
  </si>
  <si>
    <t>月面地形在画面下方缓慢移动，推进舱完成主要制动并按推演方案分离，揽月调整为动力下降姿态。</t>
  </si>
  <si>
    <t>月面相机部署前｜不得使用便携相机第三视角</t>
  </si>
  <si>
    <t>BY-LGT-P0-004-月面艺术化任务日光;BY-PRP-P1-015-航天器任务相机组;BY-REL-P0-005-揽月构型状态链;BY-REL-P0-012-月面艺术化光照与声明;BY-REL-P1-001-月面空间总图;BY-REL-P1-007-摄影来源证据层级;BY-SCN-P0-004-月面着陆与作业区;BY-VEH-P0-002-揽月完整构型;BY-VEH-P0-003-揽月登月舱;BY-VEH-P1-003-揽月推进舱分离状态</t>
  </si>
  <si>
    <t>任务证据视角；具体分离时机属于艺术推演。</t>
  </si>
  <si>
    <t>00:04:22–00:04:31</t>
  </si>
  <si>
    <t>高空侧后全景／视觉重建</t>
  </si>
  <si>
    <t>揽月以发动机轴线指向月面的姿态下降，月面曲率与长阴影建立高度；标注：基于实时遥测的视觉重建。</t>
  </si>
  <si>
    <t>BY-LGT-P0-004-月面艺术化任务日光;BY-REL-P0-005-揽月构型状态链;BY-REL-P0-012-月面艺术化光照与声明;BY-REL-P1-001-月面空间总图;BY-REL-P1-007-摄影来源证据层级;BY-SCN-P0-004-月面着陆与作业区;BY-VEH-P0-003-揽月登月舱;BY-VFX-P1-008-遥测视觉重建合成</t>
  </si>
  <si>
    <t>不使用追逐飞船的虚构摄影机运动。</t>
  </si>
  <si>
    <t>00:04:31–00:04:39</t>
  </si>
  <si>
    <t>飞控轨迹屏</t>
  </si>
  <si>
    <t>高度、速度、剩余推进剂、落区边界和通信窗口同步变化。</t>
  </si>
  <si>
    <t>BY-VOI-P1-004-北京飞控主调度声音;BY-VOI-P1-005-林海深空测控声音</t>
  </si>
  <si>
    <t>近月链路以深空地面站接力直达为主。</t>
  </si>
  <si>
    <t>00:04:39–00:04:54</t>
  </si>
  <si>
    <t>媒体区专家双人／轨迹示意</t>
  </si>
  <si>
    <t>林知夏与孙亦川站在实时轨迹示意屏前；孙亦川先面向记者，再转向轨迹图。</t>
  </si>
  <si>
    <t>BY-CHR-P1-002-林知夏;BY-CHR-P1-005-孙亦川;BY-CST-P1-004-林知夏记者服装;BY-CST-P1-007-孙亦川专家服装;BY-LGT-P1-008-飞控媒体区直播光;BY-REL-P1-007-摄影来源证据层级;BY-REL-P1-008-三段直播结构链;BY-SCN-P1-003-飞控中心媒体区</t>
  </si>
  <si>
    <t>专家解释只位于下降早段；允许停顿并把后半句跨接到轨迹图。</t>
  </si>
  <si>
    <t>00:04:54–00:05:02</t>
  </si>
  <si>
    <t>着陆器下视相机</t>
  </si>
  <si>
    <t>视场由斜向地形转为近垂直，撞击坑、坡地和岩块区被分区标记。</t>
  </si>
  <si>
    <t>BY-PRP-P1-015-航天器任务相机组;BY-REL-P1-007-摄影来源证据层级</t>
  </si>
  <si>
    <t>AI只提供候选区排序。</t>
  </si>
  <si>
    <t>00:05:02–00:05:10</t>
  </si>
  <si>
    <t>揽月舱内双人近景</t>
  </si>
  <si>
    <t>杨凛核对B区，陈砚监控敏感器和着陆后系统。</t>
  </si>
  <si>
    <t>BY-ANM-P0-002-揽月下降出舱起飞链;BY-CHR-P0-001-杨凛;BY-CHR-P0-002-陈砚;BY-CST-P0-001-杨凛舱内飞行服;BY-CST-P0-002-陈砚舱内飞行服;BY-LGT-P0-002-揽月下降任务光;BY-PRP-P1-006-舱内操作界面与任务屏;BY-REL-P0-005-揽月构型状态链;BY-REL-P1-007-摄影来源证据层级;BY-SCN-P0-003-揽月登月舱舱内;BY-VEH-P0-003-揽月登月舱</t>
  </si>
  <si>
    <t>最终选择归乘组指令长。</t>
  </si>
  <si>
    <t>00:05:10–00:05:17</t>
  </si>
  <si>
    <t>中高度三分之四侧视／视觉重建</t>
  </si>
  <si>
    <t>揽月沿短距离横向走廊避开岩块区，机体姿态变化小而明确；角落保留视觉重建标识。</t>
  </si>
  <si>
    <t>BY-REL-P0-005-揽月构型状态链;BY-REL-P1-007-摄影来源证据层级;BY-VEH-P0-003-揽月登月舱;BY-VFX-P1-008-遥测视觉重建合成</t>
  </si>
  <si>
    <t>BY-SYM-P1-004-任务轨迹与相位图模板;BY-SYM-P1-006-视觉重建来源标识</t>
  </si>
  <si>
    <t>第三视角用于解释横移，不承担落地证明。</t>
  </si>
  <si>
    <t>00:05:17–00:05:24</t>
  </si>
  <si>
    <t>选择区逐渐居中，细避障框缩小到平坦区域；尘埃尚未明显扬起。</t>
  </si>
  <si>
    <t>BY-PRP-P1-015-航天器任务相机组;BY-REL-P1-007-摄影来源证据层级;BY-VFX-P0-001-月面下降羽流与贴地月尘</t>
  </si>
  <si>
    <t>BY-VOI-P0-001-杨凛声音;BY-VOI-P1-009-小天任务智能体声音</t>
  </si>
  <si>
    <t>从此处停止记者和专家插话。</t>
  </si>
  <si>
    <t>00:05:24–00:05:30</t>
  </si>
  <si>
    <t>北京飞控大厅</t>
  </si>
  <si>
    <t>各席位凝视参数，飞行主任保持手势等待；大厅没有庆祝动作。</t>
  </si>
  <si>
    <t>BY-REL-P1-003-声音来源真实性;BY-SND-P1-003-发动机舱内结构振动;BY-SND-P1-008-飞控与测控大厅底噪</t>
  </si>
  <si>
    <t>以沉默和设备声建立压力。</t>
  </si>
  <si>
    <t>00:05:30–00:05:37</t>
  </si>
  <si>
    <t>低空远景／视觉重建</t>
  </si>
  <si>
    <t>揽月距月面数十米，喷流扩散区和机体尺度清楚；画面稳定克制，标注视觉重建。</t>
  </si>
  <si>
    <t>BY-LGT-P0-004-月面艺术化任务日光;BY-REL-P0-005-揽月构型状态链;BY-REL-P0-012-月面艺术化光照与声明;BY-REL-P1-001-月面空间总图;BY-REL-P1-007-摄影来源证据层级;BY-SCN-P0-004-月面着陆与作业区;BY-VEH-P0-003-揽月登月舱;BY-VFX-P0-001-月面下降羽流与贴地月尘;BY-VFX-P1-008-遥测视觉重建合成</t>
  </si>
  <si>
    <t>最后一次重建镜头，随后回到证据视角。</t>
  </si>
  <si>
    <t>00:05:37–00:05:44</t>
  </si>
  <si>
    <t>着陆器下视与着陆腿相机</t>
  </si>
  <si>
    <t>尘埃向外扩散，落点纹理快速放大，着陆腿接近月面。</t>
  </si>
  <si>
    <t>BY-LGT-P0-004-月面艺术化任务日光;BY-PRP-P1-015-航天器任务相机组;BY-REL-P0-012-月面艺术化光照与声明;BY-REL-P1-001-月面空间总图;BY-REL-P1-007-摄影来源证据层级;BY-SCN-P0-004-月面着陆与作业区;BY-VFX-P0-001-月面下降羽流与贴地月尘</t>
  </si>
  <si>
    <t>不可逆节点以任务相机收束。</t>
  </si>
  <si>
    <t>着陆确认与六小时出舱准备</t>
  </si>
  <si>
    <t>00:05:44–00:05:53</t>
  </si>
  <si>
    <t>着陆腿相机／舱内交叉</t>
  </si>
  <si>
    <t>一条着陆腿接触月面，舱内减速度和接触灯同步出现，画面轻微振动后稳定。</t>
  </si>
  <si>
    <t>BY-LGT-P0-004-月面艺术化任务日光;BY-PRP-P1-015-航天器任务相机组;BY-REL-P0-012-月面艺术化光照与声明;BY-REL-P1-001-月面空间总图;BY-REL-P1-007-摄影来源证据层级;BY-SCN-P0-004-月面着陆与作业区;BY-VFX-P0-002-触月关机与月尘回落</t>
  </si>
  <si>
    <t>落地以任务证据视角完成。</t>
  </si>
  <si>
    <t>00:05:53–00:06:01</t>
  </si>
  <si>
    <t>两名航天员保持约束，依次核对姿态、舱压、电源、通信和着陆器结构状态。</t>
  </si>
  <si>
    <t>BY-ANM-P0-002-揽月下降出舱起飞链;BY-CHR-P0-001-杨凛;BY-CHR-P0-002-陈砚;BY-LGT-P0-002-揽月下降任务光;BY-PRP-P1-006-舱内操作界面与任务屏;BY-REL-P0-005-揽月构型状态链;BY-REL-P1-007-摄影来源证据层级;BY-SCN-P0-003-揽月登月舱舱内;BY-VEH-P0-003-揽月登月舱</t>
  </si>
  <si>
    <t>落地后先检查，不立即解开约束。</t>
  </si>
  <si>
    <t>00:06:01–00:06:09</t>
  </si>
  <si>
    <t>飞行主任收到系统闭合后宣布结果，大厅鼓掌；少数席位继续工作。</t>
  </si>
  <si>
    <t>掌声只在北京飞控内部成立。</t>
  </si>
  <si>
    <t>00:06:09–00:06:17</t>
  </si>
  <si>
    <t>着陆区完整全景／视觉重建</t>
  </si>
  <si>
    <t>尘埃沉降后，完整揽月立于月面，地形坡度、足垫和长阴影清晰；标注：基于实时遥测的视觉重建。</t>
  </si>
  <si>
    <t>BY-LGT-P0-004-月面艺术化任务日光;BY-REL-P0-005-揽月构型状态链;BY-REL-P0-012-月面艺术化光照与声明;BY-REL-P1-001-月面空间总图;BY-REL-P1-007-摄影来源证据层级;BY-SCN-P0-004-月面着陆与作业区;BY-VEH-P0-003-揽月登月舱;BY-VFX-P0-001-月面下降羽流与贴地月尘;BY-VFX-P0-002-触月关机与月尘回落;BY-VFX-P1-008-遥测视觉重建合成</t>
  </si>
  <si>
    <t>用于交代地形与尺度，不伪装成已部署月面相机。</t>
  </si>
  <si>
    <t>00:06:17–00:06:27</t>
  </si>
  <si>
    <t>林知夏面对镜头，身后大屏定格揽月着陆状态。</t>
  </si>
  <si>
    <t>BY-CHR-P1-002-林知夏;BY-CST-P1-004-林知夏记者服装;BY-LGT-P1-008-飞控媒体区直播光;BY-REL-P0-005-揽月构型状态链;BY-REL-P1-007-摄影来源证据层级;BY-REL-P1-008-三段直播结构链;BY-SCN-P1-003-飞控中心媒体区;BY-VEH-P0-003-揽月登月舱</t>
  </si>
  <si>
    <t>记者只在落地确认后进入。</t>
  </si>
  <si>
    <t>00:06:27–00:06:39</t>
  </si>
  <si>
    <t>媒体区专家双人</t>
  </si>
  <si>
    <t>何文澜在一张阿波罗11号任务时间轴旁解释，林知夏倾听。</t>
  </si>
  <si>
    <t>历史时间用约数，避免把艺术流程说成唯一标准。</t>
  </si>
  <si>
    <t>00:06:39–00:06:44</t>
  </si>
  <si>
    <t>揽月舱内准备蒙太奇一</t>
  </si>
  <si>
    <t>两人解除约束、进食补水、完成身体状态自检，并检查舱内生命保障和通信。</t>
  </si>
  <si>
    <t>不是把无人探测器简化为“只需落地自检”。</t>
  </si>
  <si>
    <t>00:06:44–00:06:49</t>
  </si>
  <si>
    <t>揽月舱内准备蒙太奇二／字幕</t>
  </si>
  <si>
    <t>两人检查登月服接口、应急工具、舱门和舱外程序。字幕：着陆 T+06:00；出舱准备完成。</t>
  </si>
  <si>
    <t>BY-ANM-P0-002-揽月下降出舱起飞链;BY-CHR-P0-001-杨凛;BY-CHR-P0-002-陈砚;BY-LGT-P0-002-揽月下降任务光;BY-LGT-P0-004-月面艺术化任务日光;BY-PRP-P1-006-舱内操作界面与任务屏;BY-REL-P0-005-揽月构型状态链;BY-REL-P0-012-月面艺术化光照与声明;BY-REL-P1-001-月面空间总图;BY-REL-P1-007-摄影来源证据层级;BY-SCN-P0-003-揽月登月舱舱内;BY-SCN-P0-004-月面着陆与作业区;BY-VEH-P0-003-揽月登月舱</t>
  </si>
  <si>
    <t>时间码从着陆瞬间起算。</t>
  </si>
  <si>
    <t>出舱与中国航天员首次踏上月面</t>
  </si>
  <si>
    <t>00:06:49–00:06:59</t>
  </si>
  <si>
    <t>媒体区直播近景</t>
  </si>
  <si>
    <t>林知夏身后大屏显示揽月舱门状态和五分钟倒计时，媒体区工作人员安静等待。</t>
  </si>
  <si>
    <t>BY-REL-P1-003-声音来源真实性;BY-SND-P1-009-媒体区直播现场声</t>
  </si>
  <si>
    <t>BY-SYM-P1-003-任务阶段与时间跳跃标牌;BY-SYM-P1-007-直播进口出口与倒计时</t>
  </si>
  <si>
    <t>情绪克制但明确；说完后退出关键动作。</t>
  </si>
  <si>
    <t>00:06:59–00:07:07</t>
  </si>
  <si>
    <t>飞控／梦舟／揽月三方交叉</t>
  </si>
  <si>
    <t>北京席位、梦舟刘定槎和揽月两人依次确认通信、生命保障与舱外任务状态。</t>
  </si>
  <si>
    <t>BY-CHR-P0-001-杨凛;BY-CHR-P0-002-陈砚;BY-CHR-P0-003-刘定槎;BY-CRO-P1-001-北京飞控任务团队;BY-CST-P0-003-刘定槎舱内飞行服;BY-LGT-P0-004-月面艺术化任务日光;BY-LGT-P1-003-飞控大厅任务光;BY-REL-P0-005-揽月构型状态链;BY-REL-P0-012-月面艺术化光照与声明;BY-REL-P1-001-月面空间总图;BY-REL-P1-007-摄影来源证据层级;BY-SCN-P0-004-月面着陆与作业区;BY-SCN-P0-006-北京飞控大厅与任务主屏;BY-VEH-P0-001-梦舟载人飞船;BY-VEH-P0-003-揽月登月舱</t>
  </si>
  <si>
    <t>BY-VOI-P0-001-杨凛声音;BY-VOI-P0-003-刘定槎声音;BY-VOI-P1-004-北京飞控主调度声音</t>
  </si>
  <si>
    <t>重复确认压缩为三方一次状态闭合。</t>
  </si>
  <si>
    <t>00:07:07–00:07:15</t>
  </si>
  <si>
    <t>揽月舱内固定机位</t>
  </si>
  <si>
    <t>杨凛完成泄压与舱门操作，舱口开启到单人通行宽度；陈砚留在舱内保障位置。</t>
  </si>
  <si>
    <t>BY-ANM-P0-002-揽月下降出舱起飞链;BY-CHR-P0-001-杨凛;BY-CHR-P0-002-陈砚;BY-CST-P0-001-杨凛舱内飞行服;BY-CST-P0-002-陈砚舱内飞行服;BY-CST-P0-004-杨凛望宇登月服;BY-CST-P0-005-陈砚望宇登月服;BY-LGT-P0-002-揽月下降任务光;BY-PRP-P1-006-舱内操作界面与任务屏;BY-REL-P0-005-揽月构型状态链;BY-REL-P1-007-摄影来源证据层级;BY-SCN-P0-003-揽月登月舱舱内;BY-VEH-P0-003-揽月登月舱</t>
  </si>
  <si>
    <t>BY-REL-P1-003-声音来源真实性;BY-SND-P0-001-舱内生命保障与设备底噪;BY-SND-P1-002-登月服内部呼吸与结构声</t>
  </si>
  <si>
    <t>舱口不能同时容纳两人。</t>
  </si>
  <si>
    <t>00:07:15–00:07:24</t>
  </si>
  <si>
    <t>揽月外部固定相机</t>
  </si>
  <si>
    <t>杨凛背向外部相机缓慢探出舱口，确认扶手、脚踏和安全绳后转移到扶梯。</t>
  </si>
  <si>
    <t>BY-CHR-P0-001-杨凛;BY-CHR-P0-002-陈砚;BY-CST-P0-001-杨凛舱内飞行服;BY-CST-P0-004-杨凛望宇登月服;BY-CST-P0-005-陈砚望宇登月服;BY-LGT-P0-004-月面艺术化任务日光;BY-PRP-P0-002-揽月舷梯与扶手系统;BY-PRP-P1-004-月面工具包与载荷固定系统;BY-PRP-P1-015-航天器任务相机组;BY-REL-P0-005-揽月构型状态链;BY-REL-P0-012-月面艺术化光照与声明;BY-REL-P1-001-月面空间总图;BY-REL-P1-007-摄影来源证据层级;BY-SCN-P0-004-月面着陆与作业区;BY-VEH-P0-003-揽月登月舱</t>
  </si>
  <si>
    <t>BY-REL-P1-003-声音来源真实性;BY-SND-P1-002-登月服内部呼吸与结构声</t>
  </si>
  <si>
    <t>第一名航天员全程由任务相机证明。</t>
  </si>
  <si>
    <t>00:07:24–00:07:32</t>
  </si>
  <si>
    <t>宇航服相机／扶梯</t>
  </si>
  <si>
    <t>杨凛向下移动，在最后一级停顿，低头确认足下地形。</t>
  </si>
  <si>
    <t>BY-CHR-P0-001-杨凛;BY-CHR-P0-002-陈砚;BY-CST-P0-001-杨凛舱内飞行服;BY-CST-P0-004-杨凛望宇登月服;BY-CST-P0-005-陈砚望宇登月服;BY-LGT-P0-004-月面艺术化任务日光;BY-PRP-P0-002-揽月舷梯与扶手系统;BY-PRP-P1-014-宇航服任务相机;BY-REL-P0-012-月面艺术化光照与声明;BY-REL-P1-001-月面空间总图;BY-REL-P1-007-摄影来源证据层级;BY-SCN-P0-004-月面着陆与作业区</t>
  </si>
  <si>
    <t>月面外部没有脚步声。</t>
  </si>
  <si>
    <t>00:07:32–00:07:42</t>
  </si>
  <si>
    <t>揽月外部固定相机／近全景</t>
  </si>
  <si>
    <t>杨凛一只脚接触月面，重心缓慢转移，站稳后停顿并抬头。</t>
  </si>
  <si>
    <t>BY-CHR-P0-001-杨凛;BY-CHR-P0-002-陈砚;BY-CST-P0-001-杨凛舱内飞行服;BY-CST-P0-004-杨凛望宇登月服;BY-CST-P0-005-陈砚望宇登月服;BY-LGT-P0-004-月面艺术化任务日光;BY-PRP-P1-015-航天器任务相机组;BY-REL-P0-005-揽月构型状态链;BY-REL-P0-012-月面艺术化光照与声明;BY-REL-P1-001-月面空间总图;BY-REL-P1-007-摄影来源证据层级;BY-SCN-P0-004-月面着陆与作业区;BY-VEH-P0-003-揽月登月舱;BY-VFX-P0-002-触月关机与月尘回落;BY-VFX-P0-003-第一足印月壤形变</t>
  </si>
  <si>
    <t>BY-REL-P1-003-声音来源真实性;BY-SND-P1-002-登月服内部呼吸与结构声;BY-SND-P1-003-发动机舱内结构振动</t>
  </si>
  <si>
    <t>不虚构口号；给身体动作和通信延迟留出完整时间。</t>
  </si>
  <si>
    <t>00:07:42–00:07:50</t>
  </si>
  <si>
    <t>宇航服相机／月面小范围</t>
  </si>
  <si>
    <t>杨凛检查足下承载、转身幅度和安全绳活动范围，随后移至舱梯侧方安全位置。</t>
  </si>
  <si>
    <t>BY-CHR-P0-001-杨凛;BY-CHR-P0-002-陈砚;BY-CST-P0-001-杨凛舱内飞行服;BY-CST-P0-004-杨凛望宇登月服;BY-CST-P0-005-陈砚望宇登月服;BY-LGT-P0-004-月面艺术化任务日光;BY-PRP-P1-004-月面工具包与载荷固定系统;BY-PRP-P1-014-宇航服任务相机;BY-REL-P0-012-月面艺术化光照与声明;BY-REL-P1-001-月面空间总图;BY-REL-P1-007-摄影来源证据层级;BY-SCN-P0-004-月面着陆与作业区</t>
  </si>
  <si>
    <t>专业上先完成安全检查，再允许第二人下梯。</t>
  </si>
  <si>
    <t>00:07:50–00:07:58</t>
  </si>
  <si>
    <t>陈砚按同一路径单人出舱并下梯；杨凛在安全距离监护。</t>
  </si>
  <si>
    <t>BY-CHR-P0-001-杨凛;BY-CHR-P0-002-陈砚;BY-CST-P0-001-杨凛舱内飞行服;BY-CST-P0-002-陈砚舱内飞行服;BY-CST-P0-004-杨凛望宇登月服;BY-CST-P0-005-陈砚望宇登月服;BY-PRP-P1-015-航天器任务相机组;BY-REL-P0-005-揽月构型状态链;BY-REL-P1-007-摄影来源证据层级;BY-VEH-P0-003-揽月登月舱</t>
  </si>
  <si>
    <t>不让两人同时挤在舱口或扶梯。</t>
  </si>
  <si>
    <t>00:07:58–00:08:04</t>
  </si>
  <si>
    <t>两人在落脚区相互检查生命保障外观，随后面向相机短暂挥手。</t>
  </si>
  <si>
    <t>BY-CHR-P0-001-杨凛;BY-CHR-P0-002-陈砚;BY-CST-P0-004-杨凛望宇登月服;BY-CST-P0-005-陈砚望宇登月服;BY-PRP-P1-015-航天器任务相机组;BY-REL-P0-005-揽月构型状态链;BY-REL-P1-007-摄影来源证据层级;BY-VEH-P0-003-揽月登月舱</t>
  </si>
  <si>
    <t>挥手发生在安全检查之后。</t>
  </si>
  <si>
    <t>00:08:04–00:08:11</t>
  </si>
  <si>
    <t>宇航服相机／低机位</t>
  </si>
  <si>
    <t>两人从揽月外部取出折叠三脚架和便携月面相机，在着陆器侧前方安全距离固定并对准揽月与工作区。</t>
  </si>
  <si>
    <t>BY-CHR-P0-001-杨凛;BY-CHR-P0-002-陈砚;BY-CST-P0-004-杨凛望宇登月服;BY-CST-P0-005-陈砚望宇登月服;BY-LGT-P0-004-月面艺术化任务日光;BY-PRP-P0-003-便携式月面摄像机;BY-PRP-P1-014-宇航服任务相机;BY-REL-P0-005-揽月构型状态链;BY-REL-P0-006-月面摄像机摄影来源;BY-REL-P0-012-月面艺术化光照与声明;BY-REL-P1-001-月面空间总图;BY-REL-P1-007-摄影来源证据层级;BY-SCN-P0-004-月面着陆与作业区;BY-VEH-P0-003-揽月登月舱</t>
  </si>
  <si>
    <t>从下一场起，第三视角可由这台真实任务相机提供。</t>
  </si>
  <si>
    <t>国旗展示与科学任务说明</t>
  </si>
  <si>
    <t>00:08:11–00:08:17</t>
  </si>
  <si>
    <t>便携月面相机固定全景</t>
  </si>
  <si>
    <t>两名航天员、完整揽月和工作区同时入画；陈砚在相机前做链路手势，杨凛转向着陆腿。</t>
  </si>
  <si>
    <t>同一便携月面相机｜机位连续</t>
  </si>
  <si>
    <t>BY-ANM-P1-001-月面科研时间压缩;BY-CHR-P0-001-杨凛;BY-CHR-P0-002-陈砚;BY-CST-P0-001-杨凛舱内飞行服;BY-CST-P0-002-陈砚舱内飞行服;BY-CST-P0-004-杨凛望宇登月服;BY-CST-P0-005-陈砚望宇登月服;BY-LGT-P0-004-月面艺术化任务日光;BY-PRP-P0-003-便携式月面摄像机;BY-REL-P0-005-揽月构型状态链;BY-REL-P0-006-月面摄像机摄影来源;BY-REL-P0-012-月面艺术化光照与声明;BY-REL-P1-001-月面空间总图;BY-REL-P1-007-摄影来源证据层级;BY-SCN-P0-004-月面着陆与作业区;BY-VEH-P0-003-揽月登月舱</t>
  </si>
  <si>
    <t>第一次使用真实部署的第三视角。</t>
  </si>
  <si>
    <t>00:08:17–00:08:24</t>
  </si>
  <si>
    <t>宇航服相机／着陆腿侧</t>
  </si>
  <si>
    <t>杨凛巡视着陆腿、喷流影响区和舱体外观；陈砚用样品袋完成近舱紧急样品采集。</t>
  </si>
  <si>
    <t>BY-ANM-P1-001-月面科研时间压缩;BY-CHR-P0-001-杨凛;BY-CHR-P0-002-陈砚;BY-CST-P0-001-杨凛舱内飞行服;BY-CST-P0-002-陈砚舱内飞行服;BY-CST-P0-004-杨凛望宇登月服;BY-CST-P0-005-陈砚望宇登月服;BY-CST-P1-001-杨凛登月服轻度月尘状态;BY-CST-P1-002-陈砚登月服轻度月尘状态;BY-PRP-P1-002-月壤样品容器;BY-PRP-P1-014-宇航服任务相机;BY-REL-P1-006-月面科学路线与样品链;BY-REL-P1-007-摄影来源证据层级;BY-SCN-P1-005-月面后段科考区</t>
  </si>
  <si>
    <t>先保证安全与最低限度样品，再展开后续任务。</t>
  </si>
  <si>
    <t>00:08:24–00:08:31</t>
  </si>
  <si>
    <t>便携月面相机中远景</t>
  </si>
  <si>
    <t>两人从揽月外部释放月球车与采样箱，随后展开折叠式国旗展示装置。</t>
  </si>
  <si>
    <t>BY-ANM-P1-001-月面科研时间压缩;BY-CHR-P0-001-杨凛;BY-CHR-P0-002-陈砚;BY-CST-P0-004-杨凛望宇登月服;BY-CST-P0-005-陈砚望宇登月服;BY-CST-P1-001-杨凛登月服轻度月尘状态;BY-CST-P1-002-陈砚登月服轻度月尘状态;BY-LGT-P0-004-月面艺术化任务日光;BY-PRP-P0-003-便携式月面摄像机;BY-PRP-P0-004-工程化国旗展示装置;BY-PRP-P1-012-月球车任务相机组;BY-REL-P0-005-揽月构型状态链;BY-REL-P0-006-月面摄像机摄影来源;BY-REL-P0-007-国旗装置部署链;BY-REL-P0-012-月面艺术化光照与声明;BY-REL-P1-001-月面空间总图;BY-REL-P1-006-月面科学路线与样品链;BY-REL-P1-007-摄影来源证据层级;BY-SCN-P0-004-月面着陆与作业区;BY-SCN-P1-005-月面后段科考区;BY-SYM-P0-001-中华人民共和国国旗图形;BY-VEH-P0-003-揽月登月舱;BY-VEH-P0-004-探索载人月球车;BY-VFX-P1-007-月球车轮迹与低重力扬尘</t>
  </si>
  <si>
    <t>BY-REL-P1-003-声音来源真实性;BY-SND-P1-002-登月服内部呼吸与结构声;BY-SND-P1-007-月球车设备链路结构声</t>
  </si>
  <si>
    <t>国旗装置保持工程化和可操作尺度。</t>
  </si>
  <si>
    <t>00:08:31–00:08:40</t>
  </si>
  <si>
    <t>五星红旗在横杆支撑下完整展开，两名航天员分立两侧，揽月位于后方。</t>
  </si>
  <si>
    <t>BY-ANM-P1-001-月面科研时间压缩;BY-CHR-P0-001-杨凛;BY-CHR-P0-002-陈砚;BY-CST-P0-004-杨凛望宇登月服;BY-CST-P0-005-陈砚望宇登月服;BY-CST-P1-001-杨凛登月服轻度月尘状态;BY-CST-P1-002-陈砚登月服轻度月尘状态;BY-LGT-P0-004-月面艺术化任务日光;BY-PRP-P0-003-便携式月面摄像机;BY-REL-P0-005-揽月构型状态链;BY-REL-P0-006-月面摄像机摄影来源;BY-REL-P0-012-月面艺术化光照与声明;BY-REL-P1-001-月面空间总图;BY-REL-P1-007-摄影来源证据层级;BY-SCN-P0-004-月面着陆与作业区;BY-VEH-P0-003-揽月登月舱</t>
  </si>
  <si>
    <t>月面无风，旗面不自行飘动。</t>
  </si>
  <si>
    <t>00:08:40–00:08:51</t>
  </si>
  <si>
    <t>媒体区记者近景</t>
  </si>
  <si>
    <t>林知夏身后大屏是国旗、航天员和揽月同框画面。</t>
  </si>
  <si>
    <t>BY-ANM-P1-001-月面科研时间压缩;BY-CHR-P0-001-杨凛;BY-CHR-P0-002-陈砚;BY-CHR-P1-002-林知夏;BY-CST-P0-004-杨凛望宇登月服;BY-CST-P0-005-陈砚望宇登月服;BY-CST-P1-001-杨凛登月服轻度月尘状态;BY-CST-P1-002-陈砚登月服轻度月尘状态;BY-CST-P1-004-林知夏记者服装;BY-LGT-P0-004-月面艺术化任务日光;BY-LGT-P1-008-飞控媒体区直播光;BY-PRP-P0-004-工程化国旗展示装置;BY-REL-P0-005-揽月构型状态链;BY-REL-P0-007-国旗装置部署链;BY-REL-P0-012-月面艺术化光照与声明;BY-REL-P1-001-月面空间总图;BY-REL-P1-007-摄影来源证据层级;BY-REL-P1-008-三段直播结构链;BY-SCN-P0-004-月面着陆与作业区;BY-SCN-P1-003-飞控中心媒体区;BY-SYM-P0-001-中华人民共和国国旗图形;BY-VEH-P0-003-揽月登月舱</t>
  </si>
  <si>
    <t>BY-REL-P1-003-声音来源真实性;BY-SND-P1-002-登月服内部呼吸与结构声;BY-SND-P1-009-媒体区直播现场声</t>
  </si>
  <si>
    <t>载人登月国旗的具体实现仍属于艺术推演；不写成官方已公布方案。</t>
  </si>
  <si>
    <t>00:08:51–00:09:05</t>
  </si>
  <si>
    <t>顾青岚指向着陆区地质图，图上显示附近不同颜色的地质单元和短程活动范围。</t>
  </si>
  <si>
    <t>BY-ANM-P1-001-月面科研时间压缩;BY-CHR-P1-002-林知夏;BY-CHR-P1-006-顾青岚;BY-CST-P1-001-杨凛登月服轻度月尘状态;BY-CST-P1-002-陈砚登月服轻度月尘状态;BY-CST-P1-004-林知夏记者服装;BY-CST-P1-008-顾青岚专家服装;BY-LGT-P0-004-月面艺术化任务日光;BY-LGT-P1-008-飞控媒体区直播光;BY-REL-P0-012-月面艺术化光照与声明;BY-REL-P1-001-月面空间总图;BY-REL-P1-006-月面科学路线与样品链;BY-REL-P1-007-摄影来源证据层级;BY-REL-P1-008-三段直播结构链;BY-SCN-P0-004-月面着陆与作业区;BY-SCN-P1-003-飞控中心媒体区;BY-SCN-P1-005-月面后段科考区</t>
  </si>
  <si>
    <t>BY-REL-P1-003-声音来源真实性;BY-SND-P1-002-登月服内部呼吸与结构声;BY-SND-P1-003-发动机舱内结构振动;BY-SND-P1-009-媒体区直播现场声</t>
  </si>
  <si>
    <t>项目坐标是艺术锁定点，不说成官方着陆点。</t>
  </si>
  <si>
    <t>00:09:05–00:09:11</t>
  </si>
  <si>
    <t>地质图卡／任务路线</t>
  </si>
  <si>
    <t>路线依次标出表取样、岩芯钻取和科学载荷部署点。</t>
  </si>
  <si>
    <t>BY-ANM-P1-001-月面科研时间压缩;BY-CST-P1-001-杨凛登月服轻度月尘状态;BY-CST-P1-002-陈砚登月服轻度月尘状态;BY-PRP-P1-002-月壤样品容器;BY-PRP-P1-003-月面科学观测设备;BY-REL-P1-006-月面科学路线与样品链;BY-REL-P1-007-摄影来源证据层级;BY-SCN-P1-005-月面后段科考区</t>
  </si>
  <si>
    <t>图卡文字由后期制作。</t>
  </si>
  <si>
    <t>00:09:11–00:09:16</t>
  </si>
  <si>
    <t>月球车侧向固定相机</t>
  </si>
  <si>
    <t>两名航天员将采样箱固定到月球车，沿预定路线离开着陆器近区。</t>
  </si>
  <si>
    <t>BY-ANM-P1-001-月面科研时间压缩;BY-CHR-P0-001-杨凛;BY-CHR-P0-002-陈砚;BY-CST-P0-004-杨凛望宇登月服;BY-CST-P0-005-陈砚望宇登月服;BY-CST-P1-001-杨凛登月服轻度月尘状态;BY-CST-P1-002-陈砚登月服轻度月尘状态;BY-LGT-P0-004-月面艺术化任务日光;BY-PRP-P1-012-月球车任务相机组;BY-REL-P0-012-月面艺术化光照与声明;BY-REL-P1-001-月面空间总图;BY-REL-P1-006-月面科学路线与样品链;BY-REL-P1-007-摄影来源证据层级;BY-SCN-P0-004-月面着陆与作业区;BY-SCN-P1-005-月面后段科考区;BY-VEH-P0-004-探索载人月球车;BY-VFX-P1-007-月球车轮迹与低重力扬尘</t>
  </si>
  <si>
    <t>BY-REL-P1-003-声音来源真实性;BY-SND-P1-002-登月服内部呼吸与结构声;BY-SND-P1-003-发动机舱内结构振动;BY-SND-P1-007-月球车设备链路结构声</t>
  </si>
  <si>
    <t>进入约7小时40分的主舱外活动。</t>
  </si>
  <si>
    <t>月面科研时间压缩</t>
  </si>
  <si>
    <t>00:09:16–00:09:24</t>
  </si>
  <si>
    <t>便携月面相机固定延时／后期时间码</t>
  </si>
  <si>
    <t>画面保留揽月、国旗和工作区；两名航天员与月球车多次进出画面。时间码由T+06:20推进到T+08:20。</t>
  </si>
  <si>
    <t>BY-ANM-P1-001-月面科研时间压缩;BY-CHR-P0-001-杨凛;BY-CHR-P0-002-陈砚;BY-CST-P0-004-杨凛望宇登月服;BY-CST-P0-005-陈砚望宇登月服;BY-CST-P1-001-杨凛登月服轻度月尘状态;BY-CST-P1-002-陈砚登月服轻度月尘状态;BY-LGT-P0-004-月面艺术化任务日光;BY-PRP-P0-003-便携式月面摄像机;BY-PRP-P0-004-工程化国旗展示装置;BY-PRP-P1-012-月球车任务相机组;BY-REL-P0-005-揽月构型状态链;BY-REL-P0-006-月面摄像机摄影来源;BY-REL-P0-007-国旗装置部署链;BY-REL-P0-012-月面艺术化光照与声明;BY-REL-P1-001-月面空间总图;BY-REL-P1-007-摄影来源证据层级;BY-SCN-P0-004-月面着陆与作业区;BY-SYM-P0-001-中华人民共和国国旗图形;BY-VEH-P0-003-揽月登月舱;BY-VEH-P0-004-探索载人月球车;BY-VFX-P1-007-月球车轮迹与低重力扬尘</t>
  </si>
  <si>
    <t>时间压缩由后期完成，不把月面外部动作声带入。</t>
  </si>
  <si>
    <t>00:09:24–00:09:32</t>
  </si>
  <si>
    <t>月球车前向相机</t>
  </si>
  <si>
    <t>月球车以低速驶过浅坑与细碎岩块，远处揽月和国旗逐渐缩小。</t>
  </si>
  <si>
    <t>月面T+时间线连续</t>
  </si>
  <si>
    <t>BY-ANM-P1-001-月面科研时间压缩;BY-CST-P1-001-杨凛登月服轻度月尘状态;BY-CST-P1-002-陈砚登月服轻度月尘状态;BY-LGT-P0-004-月面艺术化任务日光;BY-PRP-P0-004-工程化国旗展示装置;BY-PRP-P1-012-月球车任务相机组;BY-REL-P0-005-揽月构型状态链;BY-REL-P0-007-国旗装置部署链;BY-REL-P0-012-月面艺术化光照与声明;BY-REL-P1-001-月面空间总图;BY-REL-P1-007-摄影来源证据层级;BY-SCN-P0-004-月面着陆与作业区;BY-SYM-P0-001-中华人民共和国国旗图形;BY-VEH-P0-003-揽月登月舱;BY-VEH-P0-004-探索载人月球车;BY-VFX-P1-007-月球车轮迹与低重力扬尘</t>
  </si>
  <si>
    <t>车辆运动无外部轰鸣和轮胎声。</t>
  </si>
  <si>
    <t>00:09:32–00:09:40</t>
  </si>
  <si>
    <t>宇航服相机／第一工作点</t>
  </si>
  <si>
    <t>陈砚夹取表层样品，杨凛拍摄样品原位、方向标和附近地形。</t>
  </si>
  <si>
    <t>BY-ANM-P1-001-月面科研时间压缩;BY-CHR-P0-001-杨凛;BY-CHR-P0-002-陈砚;BY-CST-P0-001-杨凛舱内飞行服;BY-CST-P0-002-陈砚舱内飞行服;BY-CST-P0-004-杨凛望宇登月服;BY-CST-P0-005-陈砚望宇登月服;BY-CST-P1-001-杨凛登月服轻度月尘状态;BY-CST-P1-002-陈砚登月服轻度月尘状态;BY-PRP-P1-001-月面采样工具;BY-PRP-P1-014-宇航服任务相机;BY-REL-P1-006-月面科学路线与样品链;BY-REL-P1-007-摄影来源证据层级;BY-SCN-P1-005-月面后段科考区</t>
  </si>
  <si>
    <t>采样前先记录原位信息。</t>
  </si>
  <si>
    <t>00:09:40–00:09:48</t>
  </si>
  <si>
    <t>月球车侧后固定相机</t>
  </si>
  <si>
    <t>两人在不同地貌交界处展开工具，背景中车轮轨迹和近坡地层次清楚。</t>
  </si>
  <si>
    <t>BY-ANM-P1-001-月面科研时间压缩;BY-CHR-P0-001-杨凛;BY-CHR-P0-002-陈砚;BY-CST-P0-004-杨凛望宇登月服;BY-CST-P0-005-陈砚望宇登月服;BY-CST-P1-001-杨凛登月服轻度月尘状态;BY-CST-P1-002-陈砚登月服轻度月尘状态;BY-LGT-P0-004-月面艺术化任务日光;BY-PRP-P1-012-月球车任务相机组;BY-REL-P0-012-月面艺术化光照与声明;BY-REL-P1-001-月面空间总图;BY-REL-P1-007-摄影来源证据层级;BY-SCN-P0-004-月面着陆与作业区;BY-VEH-P0-004-探索载人月球车;BY-VFX-P1-007-月球车轮迹与低重力扬尘</t>
  </si>
  <si>
    <t>第三视角来自月球车固定相机。</t>
  </si>
  <si>
    <t>00:09:48–00:09:57</t>
  </si>
  <si>
    <t>宇航服相机／岩芯钻取</t>
  </si>
  <si>
    <t>杨凛稳定钻机，陈砚监看深度标记并接收岩芯套管。</t>
  </si>
  <si>
    <t>钻具声只通过服体结构传导和通信拾音体现。</t>
  </si>
  <si>
    <t>00:09:57–00:10:06</t>
  </si>
  <si>
    <t>宇航服与月球车相机交叉</t>
  </si>
  <si>
    <t>两人展开一组科学载荷，调平、连接和自检指示依次完成。</t>
  </si>
  <si>
    <t>BY-ANM-P1-001-月面科研时间压缩;BY-CHR-P0-001-杨凛;BY-CHR-P0-002-陈砚;BY-CST-P0-004-杨凛望宇登月服;BY-CST-P0-005-陈砚望宇登月服;BY-CST-P1-001-杨凛登月服轻度月尘状态;BY-CST-P1-002-陈砚登月服轻度月尘状态;BY-LGT-P0-004-月面艺术化任务日光;BY-PRP-P1-003-月面科学观测设备;BY-PRP-P1-012-月球车任务相机组;BY-REL-P0-012-月面艺术化光照与声明;BY-REL-P1-001-月面空间总图;BY-REL-P1-006-月面科学路线与样品链;BY-REL-P1-007-摄影来源证据层级;BY-SCN-P0-004-月面着陆与作业区;BY-SCN-P1-005-月面后段科考区;BY-VEH-P0-004-探索载人月球车;BY-VFX-P1-007-月球车轮迹与低重力扬尘</t>
  </si>
  <si>
    <t>不虚构具体未公开载荷型号。</t>
  </si>
  <si>
    <t>00:10:06–00:10:16</t>
  </si>
  <si>
    <t>任务相机蒙太奇／后期时间码</t>
  </si>
  <si>
    <t>表取样、岩芯封装、载荷检查和月球车返程交叉出现。时间码由T+10:40推进到T+12:50。</t>
  </si>
  <si>
    <t>BY-ANM-P1-001-月面科研时间压缩;BY-CST-P1-001-杨凛登月服轻度月尘状态;BY-CST-P1-002-陈砚登月服轻度月尘状态;BY-LGT-P0-004-月面艺术化任务日光;BY-PRP-P1-002-月壤样品容器;BY-PRP-P1-012-月球车任务相机组;BY-REL-P0-012-月面艺术化光照与声明;BY-REL-P1-001-月面空间总图;BY-REL-P1-006-月面科学路线与样品链;BY-REL-P1-007-摄影来源证据层级;BY-SCN-P0-004-月面着陆与作业区;BY-SCN-P1-005-月面后段科考区;BY-VEH-P0-004-探索载人月球车;BY-VFX-P1-007-月球车轮迹与低重力扬尘</t>
  </si>
  <si>
    <t>只保留可识别的关键动作链。</t>
  </si>
  <si>
    <t>00:10:16–00:10:26</t>
  </si>
  <si>
    <t>便携月面相机固定全景／后期时间码</t>
  </si>
  <si>
    <t>两人和月球车返回揽月近区，样品箱转移到舱梯旁；最后一次舱外巡视结束。字幕：T+13:40，主舱外活动结束。</t>
  </si>
  <si>
    <t>BY-ANM-P1-001-月面科研时间压缩;BY-CHR-P0-001-杨凛;BY-CHR-P0-002-陈砚;BY-CST-P0-004-杨凛望宇登月服;BY-CST-P0-005-陈砚望宇登月服;BY-CST-P1-001-杨凛登月服轻度月尘状态;BY-CST-P1-002-陈砚登月服轻度月尘状态;BY-LGT-P0-004-月面艺术化任务日光;BY-PRP-P0-003-便携式月面摄像机;BY-PRP-P0-005-密封样品转移容器;BY-PRP-P1-008-主样品容器编号与固定座;BY-PRP-P1-012-月球车任务相机组;BY-REL-P0-005-揽月构型状态链;BY-REL-P0-006-月面摄像机摄影来源;BY-REL-P0-008-样品转移链;BY-REL-P0-012-月面艺术化光照与声明;BY-REL-P1-001-月面空间总图;BY-REL-P1-006-月面科学路线与样品链;BY-REL-P1-007-摄影来源证据层级;BY-SCN-P0-004-月面着陆与作业区;BY-SCN-P1-005-月面后段科考区;BY-VEH-P0-003-揽月登月舱;BY-VEH-P0-004-探索载人月球车;BY-VFX-P1-007-月球车轮迹与低重力扬尘</t>
  </si>
  <si>
    <t>BY-SYM-P1-003-任务阶段与时间跳跃标牌;BY-SYM-P1-005-样品编号与封签模板</t>
  </si>
  <si>
    <t>明确关闭约7小时40分主舱外活动时间线。</t>
  </si>
  <si>
    <t>回舱、月面起飞与再对接</t>
  </si>
  <si>
    <t>00:10:26–00:10:34</t>
  </si>
  <si>
    <t>样品箱和工具包沿回收索先进入舱内，陈砚随后单人上梯，杨凛在月面完成最后检查。</t>
  </si>
  <si>
    <t>BY-CHR-P0-001-杨凛;BY-CHR-P0-002-陈砚;BY-CST-P0-001-杨凛舱内飞行服;BY-CST-P0-002-陈砚舱内飞行服;BY-CST-P0-004-杨凛望宇登月服;BY-CST-P0-005-陈砚望宇登月服;BY-CST-P1-001-杨凛登月服轻度月尘状态;BY-CST-P1-002-陈砚登月服轻度月尘状态;BY-LGT-P0-004-月面艺术化任务日光;BY-PRP-P0-005-密封样品转移容器;BY-PRP-P1-004-月面工具包与载荷固定系统;BY-PRP-P1-008-主样品容器编号与固定座;BY-PRP-P1-015-航天器任务相机组;BY-REL-P0-005-揽月构型状态链;BY-REL-P0-008-样品转移链;BY-REL-P0-012-月面艺术化光照与声明;BY-REL-P1-001-月面空间总图;BY-REL-P1-006-月面科学路线与样品链;BY-REL-P1-007-摄影来源证据层级;BY-SCN-P0-004-月面着陆与作业区;BY-SCN-P1-005-月面后段科考区;BY-VEH-P0-003-揽月登月舱</t>
  </si>
  <si>
    <t>先样品与工具、后人员。</t>
  </si>
  <si>
    <t>00:10:34–00:10:42</t>
  </si>
  <si>
    <t>舱口与舱内固定机位</t>
  </si>
  <si>
    <t>杨凛最后进入舱内，舱门关闭；两人完成增压、舱外服清洁隔离和样品固定。</t>
  </si>
  <si>
    <t>BY-CHR-P0-001-杨凛;BY-CHR-P0-002-陈砚;BY-CST-P0-001-杨凛舱内飞行服;BY-CST-P0-004-杨凛望宇登月服;BY-CST-P0-005-陈砚望宇登月服;BY-CST-P1-001-杨凛登月服轻度月尘状态;BY-CST-P1-002-陈砚登月服轻度月尘状态;BY-LGT-P0-004-月面艺术化任务日光;BY-PRP-P0-005-密封样品转移容器;BY-PRP-P1-008-主样品容器编号与固定座;BY-PRP-P1-009-污染控制用品;BY-REL-P0-008-样品转移链;BY-REL-P0-012-月面艺术化光照与声明;BY-REL-P1-001-月面空间总图;BY-REL-P1-006-月面科学路线与样品链;BY-REL-P1-007-摄影来源证据层级;BY-SCN-P0-004-月面着陆与作业区;BY-SCN-P1-005-月面后段科考区</t>
  </si>
  <si>
    <t>月尘处置只保留公开可解释的最低流程。</t>
  </si>
  <si>
    <t>00:10:42–00:10:52</t>
  </si>
  <si>
    <t>揽月舱内时间压缩／后期字幕</t>
  </si>
  <si>
    <t>两人补水进食、医学自检、整理样品、轮换休息并复核起飞程序。字幕由T+14:00推进到T+27:30。</t>
  </si>
  <si>
    <t>BY-ANM-P0-002-揽月下降出舱起飞链;BY-CHR-P0-001-杨凛;BY-CHR-P0-002-陈砚;BY-LGT-P0-002-揽月下降任务光;BY-PRP-P0-006-东风医监转移设备;BY-PRP-P1-006-舱内操作界面与任务屏;BY-REL-P0-005-揽月构型状态链;BY-REL-P1-006-月面科学路线与样品链;BY-REL-P1-007-摄影来源证据层级;BY-SCN-P0-003-揽月登月舱舱内;BY-SCN-P1-005-月面后段科考区;BY-VEH-P0-003-揽月登月舱</t>
  </si>
  <si>
    <t>把总驻留时间闭合到约28小时。</t>
  </si>
  <si>
    <t>00:10:52–00:11:00</t>
  </si>
  <si>
    <t>两人穿舱内压力服固定，起飞和再交会页面完成最后检查。</t>
  </si>
  <si>
    <t>BY-ANM-P0-002-揽月下降出舱起飞链;BY-CHR-P0-001-杨凛;BY-CHR-P0-002-陈砚;BY-LGT-P0-002-揽月下降任务光;BY-PRP-P1-005-两器舱门与对接锁止结果件;BY-PRP-P1-006-舱内操作界面与任务屏;BY-REL-P0-005-揽月构型状态链;BY-REL-P1-007-摄影来源证据层级;BY-SCN-P0-003-揽月登月舱舱内;BY-VEH-P0-003-揽月登月舱;BY-VFX-P1-002-环月轨道交会与对接</t>
  </si>
  <si>
    <t>BY-REL-P1-003-声音来源真实性;BY-SND-P0-001-舱内生命保障与设备底噪;BY-SND-P1-001-舱门对接机构结构传导;BY-SND-P1-003-发动机舱内结构振动</t>
  </si>
  <si>
    <t>关键动作开始后停止专家解释。</t>
  </si>
  <si>
    <t>00:11:00–00:11:10</t>
  </si>
  <si>
    <t>字幕：着陆T+28:00。揽月上升级点火离开月面，迅速升出画面；相机继续停留，国旗、脚印、车辙和留置设备在黑色天空下保持不动。</t>
  </si>
  <si>
    <t>BY-LGT-P0-004-月面艺术化任务日光;BY-PRP-P0-003-便携式月面摄像机;BY-PRP-P0-004-工程化国旗展示装置;BY-REL-P0-005-揽月构型状态链;BY-REL-P0-006-月面摄像机摄影来源;BY-REL-P0-007-国旗装置部署链;BY-REL-P0-012-月面艺术化光照与声明;BY-REL-P1-001-月面空间总图;BY-REL-P1-007-摄影来源证据层级;BY-SCN-P0-004-月面着陆与作业区;BY-SYM-P0-001-中华人民共和国国旗图形;BY-VEH-P0-003-揽月登月舱;BY-VEH-P1-004-揽月月面起飞状态;BY-VFX-P0-003-第一足印月壤形变;BY-VFX-P0-004-月面起飞羽流与留场余景</t>
  </si>
  <si>
    <t>同一台已部署相机完成视觉回报；离画后保留2—3秒空镜。</t>
  </si>
  <si>
    <t>00:11:10–00:11:18</t>
  </si>
  <si>
    <t>北京飞控／佳木斯／梦舟交叉</t>
  </si>
  <si>
    <t>飞控轨迹由月面上升转为环月交会；佳木斯链路连续；刘定槎在两张空座之间监看目标。</t>
  </si>
  <si>
    <t>BY-ANM-P0-001-梦舟四种乘员状态;BY-CHR-P0-003-刘定槎;BY-CRO-P1-001-北京飞控任务团队;BY-CRO-P1-002-深空测控值班团队;BY-CST-P0-003-刘定槎舱内飞行服;BY-LGT-P0-001-梦舟舱内任务光;BY-LGT-P0-004-月面艺术化任务日光;BY-LGT-P1-003-飞控大厅任务光;BY-LGT-P1-004-环月轨道太阳光;BY-LGT-P1-006-深空测控站任务光;BY-PRP-P0-001-梦舟三座椅与束缚系统;BY-PRP-P1-005-两器舱门与对接锁止结果件;BY-PRP-P1-006-舱内操作界面与任务屏;BY-REL-P0-009-梦舟三座返航承载与环月工作位;BY-REL-P0-012-月面艺术化光照与声明;BY-REL-P1-001-月面空间总图;BY-REL-P1-004-地面测控接力链;BY-REL-P1-007-摄影来源证据层级;BY-REL-P1-010-地月视觉尺度连续性;BY-SCN-P0-001-梦舟舱内三座布局;BY-SCN-P0-004-月面着陆与作业区;BY-SCN-P0-005-梦舟环月工作位;BY-SCN-P0-006-北京飞控大厅与任务主屏;BY-SCN-P1-006-环月轨道外部环境;BY-SCN-P1-007-佳木斯66米深空测控站;BY-VEH-P0-001-梦舟载人飞船;BY-VFX-P1-002-环月轨道交会与对接</t>
  </si>
  <si>
    <t>BY-VOI-P0-003-刘定槎声音;BY-VOI-P1-004-北京飞控主调度声音;BY-VOI-P1-005-林海深空测控声音</t>
  </si>
  <si>
    <t>BY-REL-P1-003-声音来源真实性;BY-SND-P0-001-舱内生命保障与设备底噪;BY-SND-P1-001-舱门对接机构结构传导;BY-SND-P1-008-飞控与测控大厅底噪</t>
  </si>
  <si>
    <t>深空地面站和梦舟共同建立再交会状态。</t>
  </si>
  <si>
    <t>00:11:18–00:11:25</t>
  </si>
  <si>
    <t>月轨上升侧视／视觉重建</t>
  </si>
  <si>
    <t>揽月上升级越过月球弧面进入交会轨道，梦舟在远处沿同向飞行；标注：基于实时遥测的视觉重建。</t>
  </si>
  <si>
    <t>BY-LGT-P1-004-环月轨道太阳光;BY-PRP-P1-005-两器舱门与对接锁止结果件;BY-REL-P0-005-揽月构型状态链;BY-REL-P1-007-摄影来源证据层级;BY-REL-P1-010-地月视觉尺度连续性;BY-SCN-P1-006-环月轨道外部环境;BY-VEH-P0-001-梦舟载人飞船;BY-VEH-P0-003-揽月登月舱;BY-VEH-P1-004-揽月月面起飞状态;BY-VEH-P1-005-揽月月轨再对接状态;BY-VFX-P1-002-环月轨道交会与对接;BY-VFX-P1-008-遥测视觉重建合成</t>
  </si>
  <si>
    <t>只补充尺度和轨道关系。</t>
  </si>
  <si>
    <t>00:11:25–00:11:32</t>
  </si>
  <si>
    <t>深空画面／后期字幕</t>
  </si>
  <si>
    <t>月球弧面和双目标轨迹叠加。字幕：月面起飞后约3小时40分；进入最终交会。</t>
  </si>
  <si>
    <t>BY-LGT-P0-004-月面艺术化任务日光;BY-LGT-P1-004-环月轨道太阳光;BY-PRP-P1-005-两器舱门与对接锁止结果件;BY-REL-P0-012-月面艺术化光照与声明;BY-REL-P1-001-月面空间总图;BY-REL-P1-007-摄影来源证据层级;BY-REL-P1-010-地月视觉尺度连续性;BY-SCN-P0-004-月面着陆与作业区;BY-SCN-P1-006-环月轨道外部环境;BY-VFX-P1-002-环月轨道交会与对接</t>
  </si>
  <si>
    <t>BY-SYM-P1-003-任务阶段与时间跳跃标牌;BY-SYM-P1-004-任务轨迹与相位图模板</t>
  </si>
  <si>
    <t>具体时间为本片艺术流程。</t>
  </si>
  <si>
    <t>00:11:32–00:11:42</t>
  </si>
  <si>
    <t>对接口监视相机／舱内交叉</t>
  </si>
  <si>
    <t>揽月目标沿轴线闭合，完成接触捕获、硬连接和密封检查；三方只报关键状态。</t>
  </si>
  <si>
    <t>BY-PRP-P1-005-两器舱门与对接锁止结果件;BY-PRP-P1-015-航天器任务相机组;BY-REL-P0-005-揽月构型状态链;BY-REL-P1-007-摄影来源证据层级;BY-VEH-P0-003-揽月登月舱;BY-VEH-P1-004-揽月月面起飞状态;BY-VEH-P1-005-揽月月轨再对接状态;BY-VFX-P1-002-环月轨道交会与对接</t>
  </si>
  <si>
    <t>再对接以任务证据相机主导。</t>
  </si>
  <si>
    <t>00:11:42–00:11:51</t>
  </si>
  <si>
    <t>舱门开启后，杨凛、陈砚携样品依次进入梦舟并固定；三把座椅重新全部有人，刘定槎与两人短暂对视。</t>
  </si>
  <si>
    <t>梦舟C｜三人重聚／样品归舱</t>
  </si>
  <si>
    <t>BY-ANM-P0-001-梦舟四种乘员状态;BY-CHR-P0-001-杨凛;BY-CHR-P0-002-陈砚;BY-CHR-P0-003-刘定槎;BY-CST-P0-001-杨凛舱内飞行服;BY-CST-P0-002-陈砚舱内飞行服;BY-CST-P0-003-刘定槎舱内飞行服;BY-LGT-P0-001-梦舟舱内任务光;BY-PRP-P0-001-梦舟三座椅与束缚系统;BY-PRP-P1-006-舱内操作界面与任务屏;BY-REL-P0-009-梦舟三座返航承载与环月工作位;BY-REL-P1-006-月面科学路线与样品链;BY-REL-P1-007-摄影来源证据层级;BY-SCN-P0-001-梦舟舱内三座布局;BY-SCN-P0-005-梦舟环月工作位;BY-SCN-P1-005-月面后段科考区;BY-VEH-P0-001-梦舟载人飞船</t>
  </si>
  <si>
    <t>第三次建立三座满员，完成视觉母题回收。</t>
  </si>
  <si>
    <t>直播二结束：三人重聚</t>
  </si>
  <si>
    <t>00:11:51–00:12:00</t>
  </si>
  <si>
    <t>媒体区记者中景</t>
  </si>
  <si>
    <t>林知夏身后大屏显示三人已返回梦舟和样品状态。</t>
  </si>
  <si>
    <t>BY-CHR-P0-001-杨凛;BY-CHR-P0-002-陈砚;BY-CHR-P0-003-刘定槎;BY-CHR-P1-002-林知夏;BY-CST-P0-001-杨凛舱内飞行服;BY-CST-P0-002-陈砚舱内飞行服;BY-CST-P0-003-刘定槎舱内飞行服;BY-CST-P1-004-林知夏记者服装;BY-LGT-P1-008-飞控媒体区直播光;BY-REL-P1-006-月面科学路线与样品链;BY-REL-P1-007-摄影来源证据层级;BY-REL-P1-008-三段直播结构链;BY-SCN-P1-003-飞控中心媒体区;BY-SCN-P1-005-月面后段科考区;BY-VEH-P0-001-梦舟载人飞船</t>
  </si>
  <si>
    <t>明确直播出口。</t>
  </si>
  <si>
    <t>00:12:00–00:12:16</t>
  </si>
  <si>
    <t>孙亦川站在地月返回轨迹图前，轨迹依次标出离月、途中修正和再入入口。</t>
  </si>
  <si>
    <t>BY-CHR-P1-002-林知夏;BY-CHR-P1-005-孙亦川;BY-CST-P1-004-林知夏记者服装;BY-CST-P1-007-孙亦川专家服装;BY-LGT-P0-005-返回舱再入等离子辉光;BY-LGT-P1-008-飞控媒体区直播光;BY-REL-P0-011-梦舟返地构型状态链;BY-REL-P0-013-返回舱再入搜救状态链;BY-REL-P1-007-摄影来源证据层级;BY-REL-P1-008-三段直播结构链;BY-SCN-P0-007-返回舱再入视觉环境;BY-SCN-P1-003-飞控中心媒体区;BY-VEH-P0-005-梦舟月轨组合体;BY-VEH-P0-006-梦舟返回舱独立再入构型;BY-VFX-P0-005-返回舱等离子辉光与黑障视觉;BY-VFX-P1-003-月地转移点火与月球远离;BY-VFX-P1-005-半弹道跳跃式再入轨迹</t>
  </si>
  <si>
    <t>BY-REL-P1-003-声音来源真实性;BY-SND-P1-004-再入结构与通信衰减;BY-SND-P1-009-媒体区直播现场声</t>
  </si>
  <si>
    <t>不给返航段冠以“相对平静”而省略工程工作。</t>
  </si>
  <si>
    <t>00:12:16–00:12:21</t>
  </si>
  <si>
    <t>梦舟离开月球轨道，月球在画面中缓慢远去；字幕：本段直播结束。</t>
  </si>
  <si>
    <t>BY-LGT-P1-004-环月轨道太阳光;BY-REL-P0-011-梦舟返地构型状态链;BY-REL-P1-007-摄影来源证据层级;BY-REL-P1-010-地月视觉尺度连续性;BY-SCN-P1-006-环月轨道外部环境;BY-VEH-P0-001-梦舟载人飞船;BY-VEH-P0-005-梦舟月轨组合体;BY-VFX-P1-003-月地转移点火与月球远离;BY-VFX-P1-008-遥测视觉重建合成</t>
  </si>
  <si>
    <t>揽月后续处置不作未公开细节展示。</t>
  </si>
  <si>
    <t>直播三开场：进入地球再入走廊</t>
  </si>
  <si>
    <t>00:12:21–00:12:29</t>
  </si>
  <si>
    <t>深空／后期字幕</t>
  </si>
  <si>
    <t>地球由远处蓝白圆盘逐渐扩大。字幕：2029年4月13日；离开月球轨道约三天；梦舟接近再入入口。</t>
  </si>
  <si>
    <t>BY-LGT-P0-005-返回舱再入等离子辉光;BY-LGT-P1-004-环月轨道太阳光;BY-REL-P0-011-梦舟返地构型状态链;BY-REL-P0-013-返回舱再入搜救状态链;BY-REL-P1-007-摄影来源证据层级;BY-REL-P1-010-地月视觉尺度连续性;BY-SCN-P0-007-返回舱再入视觉环境;BY-SCN-P1-006-环月轨道外部环境;BY-VEH-P0-001-梦舟载人飞船;BY-VEH-P0-005-梦舟月轨组合体;BY-VEH-P0-006-梦舟返回舱独立再入构型;BY-VFX-P0-005-返回舱等离子辉光与黑障视觉;BY-VFX-P1-003-月地转移点火与月球远离;BY-VFX-P1-005-半弹道跳跃式再入轨迹</t>
  </si>
  <si>
    <t>BY-REL-P1-003-声音来源真实性;BY-SND-P1-004-再入结构与通信衰减</t>
  </si>
  <si>
    <t>地球视觉尺度随距离变化，不表现为静止小蓝点。</t>
  </si>
  <si>
    <t>00:12:29–00:12:37</t>
  </si>
  <si>
    <t>北京飞控大厅广角</t>
  </si>
  <si>
    <t>主屏显示地月返回末段、再入走廊和东风着陆场天气；返回、轨道、测控和着陆场协调席位同步工作。</t>
  </si>
  <si>
    <t>BY-CRO-P1-001-北京飞控任务团队;BY-CRO-P1-003-搜救与医疗团队;BY-LGT-P0-005-返回舱再入等离子辉光;BY-LGT-P1-003-飞控大厅任务光;BY-LGT-P1-007-搜救着陆区日间自然光;BY-REL-P0-011-梦舟返地构型状态链;BY-REL-P0-013-返回舱再入搜救状态链;BY-REL-P1-007-摄影来源证据层级;BY-REL-P1-009-东风医监与样品双线;BY-SCN-P0-006-北京飞控大厅与任务主屏;BY-SCN-P0-007-返回舱再入视觉环境;BY-SCN-P0-008-预定着陆区与搜救现场;BY-VEH-P0-005-梦舟月轨组合体;BY-VEH-P0-006-梦舟返回舱独立再入构型;BY-VFX-P0-005-返回舱等离子辉光与黑障视觉;BY-VFX-P1-003-月地转移点火与月球远离;BY-VFX-P1-005-半弹道跳跃式再入轨迹</t>
  </si>
  <si>
    <t>BY-REL-P1-003-声音来源真实性;BY-SND-P1-003-发动机舱内结构振动;BY-SND-P1-004-再入结构与通信衰减;BY-SND-P1-006-搜救现场声;BY-SND-P1-008-飞控与测控大厅底噪</t>
  </si>
  <si>
    <t>飞控大厅保持工作状态，不提前庆祝。</t>
  </si>
  <si>
    <t>00:12:37–00:12:47</t>
  </si>
  <si>
    <t>林知夏站在再入轨迹图旁，东风搜救画面出现在副屏。</t>
  </si>
  <si>
    <t>BY-CHR-P1-002-林知夏;BY-CRO-P1-003-搜救与医疗团队;BY-CST-P1-004-林知夏记者服装;BY-LGT-P0-005-返回舱再入等离子辉光;BY-LGT-P1-007-搜救着陆区日间自然光;BY-LGT-P1-008-飞控媒体区直播光;BY-REL-P0-011-梦舟返地构型状态链;BY-REL-P0-013-返回舱再入搜救状态链;BY-REL-P1-007-摄影来源证据层级;BY-REL-P1-008-三段直播结构链;BY-REL-P1-009-东风医监与样品双线;BY-SCN-P0-007-返回舱再入视觉环境;BY-SCN-P0-008-预定着陆区与搜救现场;BY-SCN-P1-003-飞控中心媒体区;BY-VEH-P0-006-梦舟返回舱独立再入构型;BY-VFX-P0-005-返回舱等离子辉光与黑障视觉;BY-VFX-P1-005-半弹道跳跃式再入轨迹</t>
  </si>
  <si>
    <t>BY-REL-P1-003-声音来源真实性;BY-SND-P1-004-再入结构与通信衰减;BY-SND-P1-006-搜救现场声;BY-SND-P1-009-媒体区直播现场声</t>
  </si>
  <si>
    <t>用观众能理解的语言说明下一事件。</t>
  </si>
  <si>
    <t>00:12:47–00:13:03</t>
  </si>
  <si>
    <t>孙亦川用两条速度标尺和半弹道跳跃式再入示意解释，林知夏在旁倾听。</t>
  </si>
  <si>
    <t>BY-CHR-P1-002-林知夏;BY-CHR-P1-005-孙亦川;BY-CST-P1-004-林知夏记者服装;BY-CST-P1-007-孙亦川专家服装;BY-LGT-P0-005-返回舱再入等离子辉光;BY-LGT-P1-008-飞控媒体区直播光;BY-REL-P0-011-梦舟返地构型状态链;BY-REL-P0-013-返回舱再入搜救状态链;BY-REL-P1-007-摄影来源证据层级;BY-REL-P1-008-三段直播结构链;BY-SCN-P0-007-返回舱再入视觉环境;BY-SCN-P1-003-飞控中心媒体区;BY-VEH-P0-006-梦舟返回舱独立再入构型;BY-VFX-P0-005-返回舱等离子辉光与黑障视觉;BY-VFX-P1-005-半弹道跳跃式再入轨迹</t>
  </si>
  <si>
    <t>不使用“以第二宇宙速度撞向大气层”的错误说法。</t>
  </si>
  <si>
    <t>00:13:03–00:13:13</t>
  </si>
  <si>
    <t>东风着陆场任务画面</t>
  </si>
  <si>
    <t>地面雷达、光学测量、终端红外、直升机和地面搜救车组进入待命；医监医保舱和样品接收箱完成检查。</t>
  </si>
  <si>
    <t>BY-CRO-P1-003-搜救与医疗团队;BY-LGT-P1-007-搜救着陆区日间自然光;BY-PRP-P1-013-东风样品接收设备;BY-REL-P0-013-返回舱再入搜救状态链;BY-REL-P1-006-月面科学路线与样品链;BY-REL-P1-007-摄影来源证据层级;BY-REL-P1-009-东风医监与样品双线;BY-SCN-P0-008-预定着陆区与搜救现场;BY-SCN-P1-005-月面后段科考区;BY-VEH-P1-008-搜救直升机与地面车辆</t>
  </si>
  <si>
    <t>BY-REL-P1-003-声音来源真实性;BY-SND-P1-003-发动机舱内结构振动;BY-SND-P1-006-搜救现场声</t>
  </si>
  <si>
    <t>主着陆场锁定东风。</t>
  </si>
  <si>
    <t>00:13:13–00:13:21</t>
  </si>
  <si>
    <t>轨迹仿真／任务图卡</t>
  </si>
  <si>
    <t>返回舱、两次再入段、黑障区和预报落区在同一张简化图上依次点亮。</t>
  </si>
  <si>
    <t>BY-LGT-P0-005-返回舱再入等离子辉光;BY-REL-P0-011-梦舟返地构型状态链;BY-REL-P0-013-返回舱再入搜救状态链;BY-REL-P1-007-摄影来源证据层级;BY-SCN-P0-007-返回舱再入视觉环境;BY-VEH-P0-006-梦舟返回舱独立再入构型;BY-VFX-P0-005-返回舱等离子辉光与黑障视觉;BY-VFX-P1-005-半弹道跳跃式再入轨迹</t>
  </si>
  <si>
    <t>图卡文字和标识由后期完成。</t>
  </si>
  <si>
    <t>半弹道跳跃式再入与黑障</t>
  </si>
  <si>
    <t>00:13:21–00:13:30</t>
  </si>
  <si>
    <t>梦舟外部任务相机／视觉重建交叉</t>
  </si>
  <si>
    <t>返回舱与服务舱按程序分离，返回舱调整为再入姿态；外部全景角落标注视觉重建。</t>
  </si>
  <si>
    <t>BY-LGT-P0-005-返回舱再入等离子辉光;BY-PRP-P1-015-航天器任务相机组;BY-REL-P0-011-梦舟返地构型状态链;BY-REL-P0-013-返回舱再入搜救状态链;BY-REL-P1-007-摄影来源证据层级;BY-SCN-P0-007-返回舱再入视觉环境;BY-VEH-P0-001-梦舟载人飞船;BY-VEH-P0-006-梦舟返回舱独立再入构型;BY-VEH-P1-007-梦舟服务舱近地分离状态;BY-VFX-P0-005-返回舱等离子辉光与黑障视觉;BY-VFX-P1-005-半弹道跳跃式再入轨迹;BY-VFX-P1-008-遥测视觉重建合成</t>
  </si>
  <si>
    <t>梦舟返回舱是唯一载人密封舱。</t>
  </si>
  <si>
    <t>00:13:30–00:13:39</t>
  </si>
  <si>
    <t>三人固定在承力座椅，面窗外可见地球弧面；陈砚确认样品箱锁定，刘定槎监看入口参数。</t>
  </si>
  <si>
    <t>梦舟D｜三人返航承载／再入着陆</t>
  </si>
  <si>
    <t>BY-ANM-P0-001-梦舟四种乘员状态;BY-CHR-P0-001-杨凛;BY-CHR-P0-002-陈砚;BY-CHR-P0-003-刘定槎;BY-CST-P0-001-杨凛舱内飞行服;BY-CST-P0-002-陈砚舱内飞行服;BY-CST-P0-003-刘定槎舱内飞行服;BY-LGT-P0-001-梦舟舱内任务光;BY-PRP-P0-001-梦舟三座椅与束缚系统;BY-PRP-P0-005-密封样品转移容器;BY-PRP-P1-006-舱内操作界面与任务屏;BY-PRP-P1-008-主样品容器编号与固定座;BY-REL-P0-008-样品转移链;BY-REL-P0-009-梦舟三座返航承载与环月工作位;BY-REL-P1-006-月面科学路线与样品链;BY-REL-P1-007-摄影来源证据层级;BY-SCN-P0-001-梦舟舱内三座布局;BY-SCN-P0-005-梦舟环月工作位;BY-SCN-P1-005-月面后段科考区;BY-VEH-P0-001-梦舟载人飞船</t>
  </si>
  <si>
    <t>BY-VOI-P0-002-陈砚声音;BY-VOI-P0-003-刘定槎声音</t>
  </si>
  <si>
    <t>第四次出现三座满员，进入返航兑现。</t>
  </si>
  <si>
    <t>00:13:39–00:13:48</t>
  </si>
  <si>
    <t>再入外景／视觉重建</t>
  </si>
  <si>
    <t>返回舱首次进入稀薄大气，等离子辉光从前缘建立，地球弧面快速移动。</t>
  </si>
  <si>
    <t>BY-LGT-P0-005-返回舱再入等离子辉光;BY-REL-P0-011-梦舟返地构型状态链;BY-REL-P0-013-返回舱再入搜救状态链;BY-REL-P1-007-摄影来源证据层级;BY-SCN-P0-007-返回舱再入视觉环境;BY-VEH-P0-006-梦舟返回舱独立再入构型;BY-VFX-P0-005-返回舱等离子辉光与黑障视觉;BY-VFX-P1-005-半弹道跳跃式再入轨迹;BY-VFX-P1-008-遥测视觉重建合成</t>
  </si>
  <si>
    <t>BY-REL-P1-003-声音来源真实性;BY-SND-P1-003-发动机舱内结构振动;BY-SND-P1-004-再入结构与通信衰减</t>
  </si>
  <si>
    <t>视觉重建不替代舱内与地面遥测。</t>
  </si>
  <si>
    <t>00:13:48–00:13:57</t>
  </si>
  <si>
    <t>舱内固定近景</t>
  </si>
  <si>
    <t>三名航天员承受载荷，座椅与肩带变形克制；杨凛按节奏呼吸，刘定槎读数。</t>
  </si>
  <si>
    <t>BY-CHR-P0-001-杨凛;BY-CHR-P0-002-陈砚;BY-CHR-P0-003-刘定槎;BY-CST-P0-001-杨凛舱内飞行服;BY-CST-P0-002-陈砚舱内飞行服;BY-CST-P0-003-刘定槎舱内飞行服;BY-REL-P1-007-摄影来源证据层级</t>
  </si>
  <si>
    <t>不使用夸张摇晃和尖叫。</t>
  </si>
  <si>
    <t>00:13:57–00:14:08</t>
  </si>
  <si>
    <t>轨迹仿真／专家画外</t>
  </si>
  <si>
    <t>仿真图显示返回舱在首次减速后短暂抬升，再进入第二段大气减速。</t>
  </si>
  <si>
    <t>专家解释放在相对可读的轨迹段。</t>
  </si>
  <si>
    <t>00:14:08–00:14:17</t>
  </si>
  <si>
    <t>返回舱再次压入稠密大气，等离子辉光增强，姿态控制小幅变化。</t>
  </si>
  <si>
    <t>BY-LGT-P0-005-返回舱再入等离子辉光;BY-REL-P0-011-梦舟返地构型状态链;BY-REL-P0-013-返回舱再入搜救状态链;BY-REL-P1-007-摄影来源证据层级;BY-SCN-P0-007-返回舱再入视觉环境;BY-VEH-P0-006-梦舟返回舱独立再入构型;BY-VFX-P0-005-返回舱等离子辉光与黑障视觉;BY-VFX-P1-004-姿控喷流;BY-VFX-P1-005-半弹道跳跃式再入轨迹;BY-VFX-P1-008-遥测视觉重建合成</t>
  </si>
  <si>
    <t>随后进入黑障，不再加入专家整段解说。</t>
  </si>
  <si>
    <t>00:14:17–00:14:29</t>
  </si>
  <si>
    <t>梦舟舱内固定长镜头</t>
  </si>
  <si>
    <t>舷窗外被橙白辉光覆盖，通信指示转为不可用；三人保持程序化呼吸和监控，只有身体细微受力。</t>
  </si>
  <si>
    <t>黑障期以沉默和乘组状态承压。</t>
  </si>
  <si>
    <t>00:14:29–00:14:39</t>
  </si>
  <si>
    <t>北京飞控／地面外测交叉</t>
  </si>
  <si>
    <t>飞控主屏上通信链路变灰，但惯导预测、入口解算和外测搜索区仍在更新；雷达和光学系统指向预报走廊。</t>
  </si>
  <si>
    <t>黑障不是地面完全失去一切判断。</t>
  </si>
  <si>
    <t>00:14:39–00:14:48</t>
  </si>
  <si>
    <t>东风终端红外任务画面</t>
  </si>
  <si>
    <t>红外画面在预报走廊中出现高温目标，跟踪框稳定后给出方位和速度趋势。</t>
  </si>
  <si>
    <t>BY-CRO-P1-003-搜救与医疗团队;BY-LGT-P1-007-搜救着陆区日间自然光;BY-REL-P0-013-返回舱再入搜救状态链;BY-REL-P1-007-摄影来源证据层级;BY-REL-P1-009-东风医监与样品双线;BY-SCN-P0-008-预定着陆区与搜救现场</t>
  </si>
  <si>
    <t>BY-REL-P1-003-声音来源真实性;BY-SND-P1-006-搜救现场声</t>
  </si>
  <si>
    <t>红外是外测发现，不宣称恢复舱内通信。</t>
  </si>
  <si>
    <t>00:14:48–00:14:57</t>
  </si>
  <si>
    <t>北京飞控与梦舟舱内交叉</t>
  </si>
  <si>
    <t>通信状态重新点亮；三人听见地面呼叫后依次确认。</t>
  </si>
  <si>
    <t>BY-ANM-P0-001-梦舟四种乘员状态;BY-CHR-P0-001-杨凛;BY-CHR-P0-002-陈砚;BY-CHR-P0-003-刘定槎;BY-CRO-P1-001-北京飞控任务团队;BY-CST-P0-001-杨凛舱内飞行服;BY-CST-P0-002-陈砚舱内飞行服;BY-CST-P0-003-刘定槎舱内飞行服;BY-LGT-P0-001-梦舟舱内任务光;BY-LGT-P1-003-飞控大厅任务光;BY-PRP-P0-001-梦舟三座椅与束缚系统;BY-PRP-P1-006-舱内操作界面与任务屏;BY-REL-P0-009-梦舟三座返航承载与环月工作位;BY-REL-P1-007-摄影来源证据层级;BY-SCN-P0-001-梦舟舱内三座布局;BY-SCN-P0-005-梦舟环月工作位;BY-SCN-P0-006-北京飞控大厅与任务主屏;BY-VEH-P0-001-梦舟载人飞船</t>
  </si>
  <si>
    <t>BY-REL-P1-003-声音来源真实性;BY-SND-P0-001-舱内生命保障与设备底噪;BY-SND-P1-008-飞控与测控大厅底噪</t>
  </si>
  <si>
    <t>黑障恢复是明确事件点。</t>
  </si>
  <si>
    <t>00:14:57–00:15:06</t>
  </si>
  <si>
    <t>返回舱外部任务画面</t>
  </si>
  <si>
    <t>引导伞、主伞依次展开，伞衣充气稳定；返回舱姿态由高速下降转为垂直稳定。</t>
  </si>
  <si>
    <t>BY-LGT-P0-004-月面艺术化任务日光;BY-PRP-P1-015-航天器任务相机组;BY-REL-P0-012-月面艺术化光照与声明;BY-REL-P1-001-月面空间总图;BY-REL-P1-007-摄影来源证据层级;BY-SCN-P0-004-月面着陆与作业区;BY-VEH-P0-007-返回舱群伞气囊着陆构型;BY-VFX-P0-006-稳定伞与主伞展开</t>
  </si>
  <si>
    <t>BY-VOI-P1-004-北京飞控主调度声音;BY-VOI-P1-008-搜救指挥声音</t>
  </si>
  <si>
    <t>BY-REL-P1-003-声音来源真实性;BY-SND-P1-003-发动机舱内结构振动;BY-SND-P1-005-降落伞与着陆冲击</t>
  </si>
  <si>
    <t>外部声采用任务机位拾音，不加配乐。</t>
  </si>
  <si>
    <t>东风着陆、搜救与任务完成</t>
  </si>
  <si>
    <t>00:15:06–00:15:15</t>
  </si>
  <si>
    <t>空中远摄／黎明</t>
  </si>
  <si>
    <t>主伞下的返回舱掠过东风着陆场荒漠上空，远处搜救直升机保持安全距离。</t>
  </si>
  <si>
    <t>BY-CRO-P1-003-搜救与医疗团队;BY-LGT-P1-007-搜救着陆区日间自然光;BY-REL-P0-013-返回舱再入搜救状态链;BY-REL-P1-007-摄影来源证据层级;BY-REL-P1-009-东风医监与样品双线;BY-SCN-P0-008-预定着陆区与搜救现场;BY-VEH-P0-007-返回舱群伞气囊着陆构型;BY-VEH-P1-008-搜救直升机与地面车辆;BY-VFX-P0-006-稳定伞与主伞展开</t>
  </si>
  <si>
    <t>BY-REL-P1-003-声音来源真实性;BY-SND-P1-003-发动机舱内结构振动;BY-SND-P1-005-降落伞与着陆冲击;BY-SND-P1-006-搜救现场声</t>
  </si>
  <si>
    <t>任务机位；不使用英雄化配乐。</t>
  </si>
  <si>
    <t>00:15:15–00:15:23</t>
  </si>
  <si>
    <t>三人进入着陆姿态，杨凛确认缓冲程序，刘定槎读出高度，陈砚保护样品状态。</t>
  </si>
  <si>
    <t>三座满员母题持续到落地。</t>
  </si>
  <si>
    <t>00:15:23–00:15:32</t>
  </si>
  <si>
    <t>地面长焦／舱内交叉</t>
  </si>
  <si>
    <t>返回舱接地扬尘并短距离稳定；舱内座椅吸收冲击，三人完成着陆后自检。</t>
  </si>
  <si>
    <t>BY-CHR-P0-001-杨凛;BY-CHR-P0-002-陈砚;BY-CHR-P0-003-刘定槎;BY-CRO-P1-003-搜救与医疗团队;BY-CST-P0-001-杨凛舱内飞行服;BY-CST-P0-002-陈砚舱内飞行服;BY-CST-P0-003-刘定槎舱内飞行服;BY-LGT-P1-007-搜救着陆区日间自然光;BY-REL-P0-013-返回舱再入搜救状态链;BY-REL-P1-007-摄影来源证据层级;BY-REL-P1-009-东风医监与样品双线;BY-SCN-P0-008-预定着陆区与搜救现场;BY-VEH-P0-007-返回舱群伞气囊着陆构型;BY-VFX-P0-007-气囊触地滚摆</t>
  </si>
  <si>
    <t>BY-VOI-P0-001-杨凛声音;BY-VOI-P1-008-搜救指挥声音</t>
  </si>
  <si>
    <t>接地以任务画面和舱内状态双重证明。</t>
  </si>
  <si>
    <t>00:15:32–00:15:40</t>
  </si>
  <si>
    <t>黑场与任务画面转场／后期字幕</t>
  </si>
  <si>
    <t>字幕：时间压缩｜搜救分队抵达并完成初步安全处置。画面转为直升机和地面车队接近返回舱。</t>
  </si>
  <si>
    <t>东风回收｜时间压缩后专业处置</t>
  </si>
  <si>
    <t>BY-ANM-P1-002-东风搜救开舱转移;BY-CRO-P1-003-搜救与医疗团队;BY-LGT-P1-007-搜救着陆区日间自然光;BY-REL-P0-013-返回舱再入搜救状态链;BY-REL-P1-007-摄影来源证据层级;BY-REL-P1-009-东风医监与样品双线;BY-SCN-P0-008-预定着陆区与搜救现场;BY-SCN-P1-012-东风医监开舱作业区;BY-VEH-P1-008-搜救直升机与地面车辆</t>
  </si>
  <si>
    <t>BY-SYM-P1-003-任务阶段与时间跳跃标牌;BY-SYM-P1-008-东风搜救时间压缩</t>
  </si>
  <si>
    <t>避免把真实搜救抵达时间压缩成几秒的假实时。</t>
  </si>
  <si>
    <t>00:15:40–00:15:47</t>
  </si>
  <si>
    <t>空中搜救任务机位</t>
  </si>
  <si>
    <t>直升机俯视返回舱、警戒区和地面车队，红外窗口确认舱体热状态。</t>
  </si>
  <si>
    <t>展示着陆场系统专业视角。</t>
  </si>
  <si>
    <t>00:15:47–00:15:55</t>
  </si>
  <si>
    <t>地面搜救近景</t>
  </si>
  <si>
    <t>处置人员检测外部环境、确认舱体姿态和危险源，随后建立开舱作业区。</t>
  </si>
  <si>
    <t>BY-ANM-P1-002-东风搜救开舱转移;BY-CRO-P1-003-搜救与医疗团队;BY-LGT-P1-007-搜救着陆区日间自然光;BY-PRP-P1-011-返回舱信标与现场安全工具;BY-REL-P0-013-返回舱再入搜救状态链;BY-REL-P1-007-摄影来源证据层级;BY-REL-P1-009-东风医监与样品双线;BY-SCN-P0-008-预定着陆区与搜救现场;BY-SCN-P1-012-东风医监开舱作业区</t>
  </si>
  <si>
    <t>先安全处置，后开舱。</t>
  </si>
  <si>
    <t>00:15:55–00:16:09</t>
  </si>
  <si>
    <t>现场医监画面／何文澜画外</t>
  </si>
  <si>
    <t>医监人员在舱外准备座椅、担架、生命体征设备和遮护；返回舱舱门尚未开启。</t>
  </si>
  <si>
    <t>BY-ANM-P1-002-东风搜救开舱转移;BY-CRO-P1-003-搜救与医疗团队;BY-LGT-P0-004-月面艺术化任务日光;BY-LGT-P1-007-搜救着陆区日间自然光;BY-PRP-P0-006-东风医监转移设备;BY-REL-P0-012-月面艺术化光照与声明;BY-REL-P0-013-返回舱再入搜救状态链;BY-REL-P1-001-月面空间总图;BY-REL-P1-007-摄影来源证据层级;BY-REL-P1-009-东风医监与样品双线;BY-SCN-P0-004-月面着陆与作业区;BY-SCN-P0-008-预定着陆区与搜救现场;BY-SCN-P1-012-东风医监开舱作业区</t>
  </si>
  <si>
    <t>解释发生在处置画面上，不占用开舱关键口令。</t>
  </si>
  <si>
    <t>00:16:09–00:16:18</t>
  </si>
  <si>
    <t>开舱任务机位</t>
  </si>
  <si>
    <t>舱门按程序开启，医监人员先与乘组建立目视和语音联系，再进入初步评估。</t>
  </si>
  <si>
    <t>BY-ANM-P1-002-东风搜救开舱转移;BY-CRO-P1-003-搜救与医疗团队;BY-LGT-P1-007-搜救着陆区日间自然光;BY-REL-P0-013-返回舱再入搜救状态链;BY-REL-P1-007-摄影来源证据层级;BY-REL-P1-009-东风医监与样品双线;BY-SCN-P0-008-预定着陆区与搜救现场;BY-SCN-P1-012-东风医监开舱作业区</t>
  </si>
  <si>
    <t>不让航天员立即自行走出返回舱。</t>
  </si>
  <si>
    <t>00:16:18–00:16:29</t>
  </si>
  <si>
    <t>地面中景</t>
  </si>
  <si>
    <t>三名航天员按评估结果依次转移到支撑座椅或担架，现场人员保持遮护和固定。</t>
  </si>
  <si>
    <t>BY-ANM-P1-002-东风搜救开舱转移;BY-CHR-P0-001-杨凛;BY-CHR-P0-002-陈砚;BY-CHR-P0-003-刘定槎;BY-CST-P0-001-杨凛舱内飞行服;BY-CST-P0-002-陈砚舱内飞行服;BY-CST-P0-003-刘定槎舱内飞行服;BY-PRP-P0-006-东风医监转移设备;BY-REL-P1-007-摄影来源证据层级;BY-SCN-P1-012-东风医监开舱作业区</t>
  </si>
  <si>
    <t>具体转移方式按人物状态分别处理。</t>
  </si>
  <si>
    <t>00:16:29–00:16:36</t>
  </si>
  <si>
    <t>地面近景</t>
  </si>
  <si>
    <t>三名航天员坐在支撑座椅上面向任务相机挥手，救援人员仍在旁监护。</t>
  </si>
  <si>
    <t>挥手不等于已经完成医学处置。</t>
  </si>
  <si>
    <t>00:16:36–00:16:44</t>
  </si>
  <si>
    <t>样品接收与北京飞控交叉</t>
  </si>
  <si>
    <t>密封样品箱由专门人员完成编号、交接和转运；北京飞控主屏同时显示乘组安全与样品接收。</t>
  </si>
  <si>
    <t>BY-ANM-P1-002-东风搜救开舱转移;BY-CRO-P1-001-北京飞控任务团队;BY-LGT-P1-003-飞控大厅任务光;BY-PRP-P0-005-密封样品转移容器;BY-PRP-P1-008-主样品容器编号与固定座;BY-PRP-P1-013-东风样品接收设备;BY-REL-P0-008-样品转移链;BY-REL-P1-006-月面科学路线与样品链;BY-REL-P1-007-摄影来源证据层级;BY-SCN-P0-006-北京飞控大厅与任务主屏;BY-SCN-P1-005-月面后段科考区;BY-SCN-P1-012-东风医监开舱作业区</t>
  </si>
  <si>
    <t>任务完成由人员和样品两条线共同成立。</t>
  </si>
  <si>
    <t>00:16:44–00:16:54</t>
  </si>
  <si>
    <t>媒体区记者收束</t>
  </si>
  <si>
    <t>林知夏面向镜头，身后大屏是三名航天员挥手与返回舱现场。</t>
  </si>
  <si>
    <t>BY-CHR-P0-001-杨凛;BY-CHR-P0-002-陈砚;BY-CHR-P0-003-刘定槎;BY-CHR-P1-002-林知夏;BY-CST-P0-001-杨凛舱内飞行服;BY-CST-P0-002-陈砚舱内飞行服;BY-CST-P0-003-刘定槎舱内飞行服;BY-CST-P1-004-林知夏记者服装;BY-LGT-P1-008-飞控媒体区直播光;BY-REL-P1-007-摄影来源证据层级;BY-REL-P1-008-三段直播结构链;BY-SCN-P1-003-飞控中心媒体区</t>
  </si>
  <si>
    <t>避免把艺术推演说成已经发生的现实事件。</t>
  </si>
  <si>
    <t>00:16:54–00:17:00</t>
  </si>
  <si>
    <t>黑场／片尾推演声明</t>
  </si>
  <si>
    <t>黑场字幕重申：本片依据公开信息进行合理艺术推演；任务日期、人物、呼号、着陆坐标、未公开构型及部分流程为艺术创作。</t>
  </si>
  <si>
    <t>片尾声明计入素材时长；最终剪辑可与片尾字幕合并。</t>
  </si>
  <si>
    <t>场次编号</t>
  </si>
  <si>
    <t>镜号范围</t>
  </si>
  <si>
    <t>镜头数</t>
  </si>
  <si>
    <t>素材时长秒</t>
  </si>
  <si>
    <t>阶段2B资产状态</t>
  </si>
  <si>
    <t>001—007</t>
  </si>
  <si>
    <t>BY-ANM-P0-001-梦舟四种乘员状态;BY-CHR-P0-001-杨凛;BY-CHR-P0-002-陈砚;BY-CHR-P0-003-刘定槎;BY-CHR-P1-002-林知夏;BY-CRO-P1-001-北京飞控任务团队;BY-CRO-P1-002-深空测控值班团队;BY-CST-P0-001-杨凛舱内飞行服;BY-CST-P0-002-陈砚舱内飞行服;BY-CST-P0-003-刘定槎舱内飞行服;BY-CST-P1-004-林知夏记者服装;BY-LGT-P0-001-梦舟舱内任务光;BY-LGT-P1-003-飞控大厅任务光;BY-LGT-P1-004-环月轨道太阳光;BY-LGT-P1-006-深空测控站任务光;BY-LGT-P1-008-飞控媒体区直播光;BY-PRP-P0-001-梦舟三座椅与束缚系统;BY-PRP-P1-005-两器舱门与对接锁止结果件;BY-PRP-P1-006-舱内操作界面与任务屏;BY-REL-P0-005-揽月构型状态链;BY-REL-P0-009-梦舟三座返航承载与环月工作位;BY-REL-P0-010-梦舟轴向转移顺序;BY-REL-P1-002-两侧舱门顺序;BY-REL-P1-004-地面测控接力链;BY-REL-P1-007-摄影来源证据层级;BY-REL-P1-008-三段直播结构链;BY-REL-P1-010-地月视觉尺度连续性;BY-SCN-P0-001-梦舟舱内三座布局;BY-SCN-P0-002-梦舟对接通道与舱门区;BY-SCN-P0-005-梦舟环月工作位;BY-SCN-P0-006-北京飞控大厅与任务主屏;BY-SCN-P1-003-飞控中心媒体区;BY-SCN-P1-006-环月轨道外部环境;BY-SCN-P1-007-佳木斯66米深空测控站;BY-VEH-P0-001-梦舟载人飞船;BY-VEH-P0-002-揽月完整构型;BY-VEH-P0-003-揽月登月舱;BY-VFX-P1-008-遥测视觉重建合成</t>
  </si>
  <si>
    <t>BY-VOI-P0-001-杨凛声音;BY-VOI-P0-002-陈砚声音;BY-VOI-P0-003-刘定槎声音;BY-VOI-P1-002-林知夏声音;BY-VOI-P1-004-北京飞控主调度声音;BY-VOI-P1-005-林海深空测控声音</t>
  </si>
  <si>
    <t>BY-REL-P1-003-声音来源真实性;BY-SND-P0-001-舱内生命保障与设备底噪;BY-SND-P1-001-舱门对接机构结构传导;BY-SND-P1-008-飞控与测控大厅底噪;BY-SND-P1-009-媒体区直播现场声</t>
  </si>
  <si>
    <t>BY-SYM-P0-002-艺术化光照偏差推演声明;BY-SYM-P1-001-未来纪实推演标识;BY-SYM-P1-003-任务阶段与时间跳跃标牌;BY-SYM-P1-004-任务轨迹与相位图模板;BY-SYM-P1-006-视觉重建来源标识;BY-SYM-P1-007-直播进口出口与倒计时</t>
  </si>
  <si>
    <t>可进入阶段2B｜优先按场次资产包生产</t>
  </si>
  <si>
    <t>008—015</t>
  </si>
  <si>
    <t>BY-ANM-P0-001-梦舟四种乘员状态;BY-CHR-P0-001-杨凛;BY-CHR-P0-002-陈砚;BY-CHR-P0-003-刘定槎;BY-CRO-P1-001-北京飞控任务团队;BY-CST-P0-001-杨凛舱内飞行服;BY-CST-P0-002-陈砚舱内飞行服;BY-CST-P0-003-刘定槎舱内飞行服;BY-LGT-P0-001-梦舟舱内任务光;BY-LGT-P1-003-飞控大厅任务光;BY-PRP-P0-001-梦舟三座椅与束缚系统;BY-PRP-P1-005-两器舱门与对接锁止结果件;BY-PRP-P1-006-舱内操作界面与任务屏;BY-PRP-P1-015-航天器任务相机组;BY-REL-P0-005-揽月构型状态链;BY-REL-P0-009-梦舟三座返航承载与环月工作位;BY-REL-P1-007-摄影来源证据层级;BY-SCN-P0-001-梦舟舱内三座布局;BY-SCN-P0-005-梦舟环月工作位;BY-SCN-P0-006-北京飞控大厅与任务主屏;BY-VEH-P0-001-梦舟载人飞船;BY-VEH-P0-002-揽月完整构型;BY-VEH-P0-003-揽月登月舱;BY-VFX-P1-002-环月轨道交会与对接;BY-VFX-P1-004-姿控喷流;BY-VFX-P1-008-遥测视觉重建合成</t>
  </si>
  <si>
    <t>BY-VOI-P0-001-杨凛声音;BY-VOI-P0-002-陈砚声音;BY-VOI-P0-003-刘定槎声音;BY-VOI-P1-004-北京飞控主调度声音</t>
  </si>
  <si>
    <t>016—022</t>
  </si>
  <si>
    <t>BY-ANM-P0-001-梦舟四种乘员状态;BY-ANM-P0-002-揽月下降出舱起飞链;BY-CHR-P0-001-杨凛;BY-CHR-P0-002-陈砚;BY-CHR-P0-003-刘定槎;BY-CHR-P1-002-林知夏;BY-CHR-P1-004-何文澜;BY-CST-P0-001-杨凛舱内飞行服;BY-CST-P0-002-陈砚舱内飞行服;BY-CST-P0-003-刘定槎舱内飞行服;BY-CST-P1-004-林知夏记者服装;BY-CST-P1-006-何文澜专家服装;BY-LGT-P0-001-梦舟舱内任务光;BY-LGT-P0-002-揽月下降任务光;BY-LGT-P0-004-月面艺术化任务日光;BY-LGT-P1-004-环月轨道太阳光;BY-LGT-P1-008-飞控媒体区直播光;BY-PRP-P0-001-梦舟三座椅与束缚系统;BY-PRP-P1-005-两器舱门与对接锁止结果件;BY-PRP-P1-006-舱内操作界面与任务屏;BY-REL-P0-005-揽月构型状态链;BY-REL-P0-009-梦舟三座返航承载与环月工作位;BY-REL-P0-010-梦舟轴向转移顺序;BY-REL-P0-012-月面艺术化光照与声明;BY-REL-P1-001-月面空间总图;BY-REL-P1-002-两侧舱门顺序;BY-REL-P1-007-摄影来源证据层级;BY-REL-P1-008-三段直播结构链;BY-REL-P1-010-地月视觉尺度连续性;BY-SCN-P0-001-梦舟舱内三座布局;BY-SCN-P0-002-梦舟对接通道与舱门区;BY-SCN-P0-003-揽月登月舱舱内;BY-SCN-P0-004-月面着陆与作业区;BY-SCN-P0-005-梦舟环月工作位;BY-SCN-P1-003-飞控中心媒体区;BY-SCN-P1-006-环月轨道外部环境;BY-VEH-P0-001-梦舟载人飞船;BY-VEH-P0-002-揽月完整构型;BY-VEH-P0-003-揽月登月舱;BY-VFX-P1-002-环月轨道交会与对接</t>
  </si>
  <si>
    <t>BY-VOI-P0-001-杨凛声音;BY-VOI-P0-003-刘定槎声音;BY-VOI-P1-002-林知夏声音;BY-VOI-P1-012-何文澜声音</t>
  </si>
  <si>
    <t>BY-REL-P1-003-声音来源真实性;BY-SND-P0-001-舱内生命保障与设备底噪;BY-SND-P1-001-舱门对接机构结构传导;BY-SND-P1-003-发动机舱内结构振动;BY-SND-P1-009-媒体区直播现场声</t>
  </si>
  <si>
    <t>023—023</t>
  </si>
  <si>
    <t>024—031</t>
  </si>
  <si>
    <t>BY-ANM-P0-001-梦舟四种乘员状态;BY-ANM-P0-002-揽月下降出舱起飞链;BY-CHR-P0-001-杨凛;BY-CHR-P0-002-陈砚;BY-CHR-P0-003-刘定槎;BY-CHR-P1-002-林知夏;BY-CRO-P1-001-北京飞控任务团队;BY-CST-P0-001-杨凛舱内飞行服;BY-CST-P0-002-陈砚舱内飞行服;BY-CST-P0-003-刘定槎舱内飞行服;BY-CST-P1-004-林知夏记者服装;BY-LGT-P0-001-梦舟舱内任务光;BY-LGT-P0-002-揽月下降任务光;BY-LGT-P0-004-月面艺术化任务日光;BY-LGT-P1-003-飞控大厅任务光;BY-LGT-P1-004-环月轨道太阳光;BY-LGT-P1-008-飞控媒体区直播光;BY-PRP-P0-001-梦舟三座椅与束缚系统;BY-PRP-P1-005-两器舱门与对接锁止结果件;BY-PRP-P1-006-舱内操作界面与任务屏;BY-PRP-P1-015-航天器任务相机组;BY-REL-P0-005-揽月构型状态链;BY-REL-P0-009-梦舟三座返航承载与环月工作位;BY-REL-P0-012-月面艺术化光照与声明;BY-REL-P1-001-月面空间总图;BY-REL-P1-007-摄影来源证据层级;BY-REL-P1-008-三段直播结构链;BY-REL-P1-010-地月视觉尺度连续性;BY-SCN-P0-001-梦舟舱内三座布局;BY-SCN-P0-003-揽月登月舱舱内;BY-SCN-P0-004-月面着陆与作业区;BY-SCN-P0-005-梦舟环月工作位;BY-SCN-P0-006-北京飞控大厅与任务主屏;BY-SCN-P1-003-飞控中心媒体区;BY-SCN-P1-006-环月轨道外部环境;BY-VEH-P0-001-梦舟载人飞船;BY-VEH-P0-002-揽月完整构型;BY-VEH-P0-003-揽月登月舱;BY-VFX-P1-002-环月轨道交会与对接;BY-VFX-P1-008-遥测视觉重建合成</t>
  </si>
  <si>
    <t>BY-VOI-P0-001-杨凛声音;BY-VOI-P0-002-陈砚声音;BY-VOI-P0-003-刘定槎声音;BY-VOI-P1-002-林知夏声音;BY-VOI-P1-004-北京飞控主调度声音</t>
  </si>
  <si>
    <t>BY-REL-P1-003-声音来源真实性;BY-SND-P0-001-舱内生命保障与设备底噪;BY-SND-P1-001-舱门对接机构结构传导;BY-SND-P1-003-发动机舱内结构振动;BY-SND-P1-008-飞控与测控大厅底噪;BY-SND-P1-009-媒体区直播现场声</t>
  </si>
  <si>
    <t>BY-SYM-P1-004-任务轨迹与相位图模板;BY-SYM-P1-006-视觉重建来源标识;BY-SYM-P1-007-直播进口出口与倒计时</t>
  </si>
  <si>
    <t>032—042</t>
  </si>
  <si>
    <t>BY-ANM-P0-002-揽月下降出舱起飞链;BY-CHR-P0-001-杨凛;BY-CHR-P0-002-陈砚;BY-CHR-P1-002-林知夏;BY-CHR-P1-005-孙亦川;BY-CRO-P1-001-北京飞控任务团队;BY-CST-P0-001-杨凛舱内飞行服;BY-CST-P0-002-陈砚舱内飞行服;BY-CST-P1-004-林知夏记者服装;BY-CST-P1-007-孙亦川专家服装;BY-LGT-P0-002-揽月下降任务光;BY-LGT-P0-004-月面艺术化任务日光;BY-LGT-P1-003-飞控大厅任务光;BY-LGT-P1-008-飞控媒体区直播光;BY-PRP-P1-006-舱内操作界面与任务屏;BY-PRP-P1-015-航天器任务相机组;BY-REL-P0-005-揽月构型状态链;BY-REL-P0-012-月面艺术化光照与声明;BY-REL-P1-001-月面空间总图;BY-REL-P1-007-摄影来源证据层级;BY-REL-P1-008-三段直播结构链;BY-SCN-P0-003-揽月登月舱舱内;BY-SCN-P0-004-月面着陆与作业区;BY-SCN-P0-006-北京飞控大厅与任务主屏;BY-SCN-P1-003-飞控中心媒体区;BY-VEH-P0-002-揽月完整构型;BY-VEH-P0-003-揽月登月舱;BY-VEH-P1-003-揽月推进舱分离状态;BY-VFX-P0-001-月面下降羽流与贴地月尘;BY-VFX-P1-008-遥测视觉重建合成</t>
  </si>
  <si>
    <t>BY-VOI-P0-001-杨凛声音;BY-VOI-P0-002-陈砚声音;BY-VOI-P1-004-北京飞控主调度声音;BY-VOI-P1-005-林海深空测控声音;BY-VOI-P1-009-小天任务智能体声音;BY-VOI-P1-013-孙亦川声音</t>
  </si>
  <si>
    <t>BY-REL-P1-003-声音来源真实性;BY-SND-P0-001-舱内生命保障与设备底噪;BY-SND-P1-003-发动机舱内结构振动;BY-SND-P1-008-飞控与测控大厅底噪;BY-SND-P1-009-媒体区直播现场声</t>
  </si>
  <si>
    <t>043—050</t>
  </si>
  <si>
    <t>BY-ANM-P0-002-揽月下降出舱起飞链;BY-CHR-P0-001-杨凛;BY-CHR-P0-002-陈砚;BY-CHR-P1-002-林知夏;BY-CHR-P1-004-何文澜;BY-CRO-P1-001-北京飞控任务团队;BY-CST-P1-004-林知夏记者服装;BY-CST-P1-006-何文澜专家服装;BY-LGT-P0-002-揽月下降任务光;BY-LGT-P0-004-月面艺术化任务日光;BY-LGT-P1-003-飞控大厅任务光;BY-LGT-P1-008-飞控媒体区直播光;BY-PRP-P1-006-舱内操作界面与任务屏;BY-PRP-P1-015-航天器任务相机组;BY-REL-P0-005-揽月构型状态链;BY-REL-P0-012-月面艺术化光照与声明;BY-REL-P1-001-月面空间总图;BY-REL-P1-007-摄影来源证据层级;BY-REL-P1-008-三段直播结构链;BY-SCN-P0-003-揽月登月舱舱内;BY-SCN-P0-004-月面着陆与作业区;BY-SCN-P0-006-北京飞控大厅与任务主屏;BY-SCN-P1-003-飞控中心媒体区;BY-VEH-P0-003-揽月登月舱;BY-VFX-P0-001-月面下降羽流与贴地月尘;BY-VFX-P0-002-触月关机与月尘回落;BY-VFX-P1-008-遥测视觉重建合成</t>
  </si>
  <si>
    <t>BY-VOI-P0-001-杨凛声音;BY-VOI-P0-002-陈砚声音;BY-VOI-P1-002-林知夏声音;BY-VOI-P1-004-北京飞控主调度声音;BY-VOI-P1-012-何文澜声音</t>
  </si>
  <si>
    <t>BY-SYM-P1-003-任务阶段与时间跳跃标牌;BY-SYM-P1-006-视觉重建来源标识;BY-SYM-P1-007-直播进口出口与倒计时</t>
  </si>
  <si>
    <t>051—060</t>
  </si>
  <si>
    <t>BY-ANM-P0-002-揽月下降出舱起飞链;BY-CHR-P0-001-杨凛;BY-CHR-P0-002-陈砚;BY-CHR-P0-003-刘定槎;BY-CHR-P1-002-林知夏;BY-CRO-P1-001-北京飞控任务团队;BY-CST-P0-001-杨凛舱内飞行服;BY-CST-P0-002-陈砚舱内飞行服;BY-CST-P0-003-刘定槎舱内飞行服;BY-CST-P0-004-杨凛望宇登月服;BY-CST-P0-005-陈砚望宇登月服;BY-CST-P1-004-林知夏记者服装;BY-LGT-P0-002-揽月下降任务光;BY-LGT-P0-004-月面艺术化任务日光;BY-LGT-P1-003-飞控大厅任务光;BY-LGT-P1-008-飞控媒体区直播光;BY-PRP-P0-002-揽月舷梯与扶手系统;BY-PRP-P0-003-便携式月面摄像机;BY-PRP-P1-004-月面工具包与载荷固定系统;BY-PRP-P1-006-舱内操作界面与任务屏;BY-PRP-P1-014-宇航服任务相机;BY-PRP-P1-015-航天器任务相机组;BY-REL-P0-005-揽月构型状态链;BY-REL-P0-006-月面摄像机摄影来源;BY-REL-P0-012-月面艺术化光照与声明;BY-REL-P1-001-月面空间总图;BY-REL-P1-007-摄影来源证据层级;BY-REL-P1-008-三段直播结构链;BY-SCN-P0-003-揽月登月舱舱内;BY-SCN-P0-004-月面着陆与作业区;BY-SCN-P0-006-北京飞控大厅与任务主屏;BY-SCN-P1-003-飞控中心媒体区;BY-VEH-P0-001-梦舟载人飞船;BY-VEH-P0-003-揽月登月舱;BY-VFX-P0-002-触月关机与月尘回落;BY-VFX-P0-003-第一足印月壤形变</t>
  </si>
  <si>
    <t>BY-REL-P1-003-声音来源真实性;BY-SND-P0-001-舱内生命保障与设备底噪;BY-SND-P1-002-登月服内部呼吸与结构声;BY-SND-P1-003-发动机舱内结构振动;BY-SND-P1-008-飞控与测控大厅底噪;BY-SND-P1-009-媒体区直播现场声</t>
  </si>
  <si>
    <t>061—068</t>
  </si>
  <si>
    <t>BY-ANM-P1-001-月面科研时间压缩;BY-CHR-P0-001-杨凛;BY-CHR-P0-002-陈砚;BY-CHR-P1-002-林知夏;BY-CHR-P1-006-顾青岚;BY-CST-P0-001-杨凛舱内飞行服;BY-CST-P0-002-陈砚舱内飞行服;BY-CST-P0-004-杨凛望宇登月服;BY-CST-P0-005-陈砚望宇登月服;BY-CST-P1-001-杨凛登月服轻度月尘状态;BY-CST-P1-002-陈砚登月服轻度月尘状态;BY-CST-P1-004-林知夏记者服装;BY-CST-P1-008-顾青岚专家服装;BY-LGT-P0-004-月面艺术化任务日光;BY-LGT-P1-008-飞控媒体区直播光;BY-PRP-P0-003-便携式月面摄像机;BY-PRP-P0-004-工程化国旗展示装置;BY-PRP-P1-002-月壤样品容器;BY-PRP-P1-003-月面科学观测设备;BY-PRP-P1-012-月球车任务相机组;BY-PRP-P1-014-宇航服任务相机;BY-REL-P0-005-揽月构型状态链;BY-REL-P0-006-月面摄像机摄影来源;BY-REL-P0-007-国旗装置部署链;BY-REL-P0-012-月面艺术化光照与声明;BY-REL-P1-001-月面空间总图;BY-REL-P1-006-月面科学路线与样品链;BY-REL-P1-007-摄影来源证据层级;BY-REL-P1-008-三段直播结构链;BY-SCN-P0-004-月面着陆与作业区;BY-SCN-P1-003-飞控中心媒体区;BY-SCN-P1-005-月面后段科考区;BY-SYM-P0-001-中华人民共和国国旗图形;BY-VEH-P0-003-揽月登月舱;BY-VEH-P0-004-探索载人月球车;BY-VFX-P1-007-月球车轮迹与低重力扬尘</t>
  </si>
  <si>
    <t>BY-VOI-P0-001-杨凛声音;BY-VOI-P1-002-林知夏声音;BY-VOI-P1-004-北京飞控主调度声音;BY-VOI-P1-014-顾青岚声音</t>
  </si>
  <si>
    <t>BY-REL-P1-003-声音来源真实性;BY-SND-P1-002-登月服内部呼吸与结构声;BY-SND-P1-003-发动机舱内结构振动;BY-SND-P1-007-月球车设备链路结构声;BY-SND-P1-009-媒体区直播现场声</t>
  </si>
  <si>
    <t>069—076</t>
  </si>
  <si>
    <t>BY-ANM-P1-001-月面科研时间压缩;BY-CHR-P0-001-杨凛;BY-CHR-P0-002-陈砚;BY-CST-P0-001-杨凛舱内飞行服;BY-CST-P0-002-陈砚舱内飞行服;BY-CST-P0-004-杨凛望宇登月服;BY-CST-P0-005-陈砚望宇登月服;BY-CST-P1-001-杨凛登月服轻度月尘状态;BY-CST-P1-002-陈砚登月服轻度月尘状态;BY-LGT-P0-004-月面艺术化任务日光;BY-PRP-P0-003-便携式月面摄像机;BY-PRP-P0-004-工程化国旗展示装置;BY-PRP-P0-005-密封样品转移容器;BY-PRP-P1-001-月面采样工具;BY-PRP-P1-002-月壤样品容器;BY-PRP-P1-003-月面科学观测设备;BY-PRP-P1-008-主样品容器编号与固定座;BY-PRP-P1-012-月球车任务相机组;BY-PRP-P1-014-宇航服任务相机;BY-REL-P0-005-揽月构型状态链;BY-REL-P0-006-月面摄像机摄影来源;BY-REL-P0-007-国旗装置部署链;BY-REL-P0-008-样品转移链;BY-REL-P0-012-月面艺术化光照与声明;BY-REL-P1-001-月面空间总图;BY-REL-P1-006-月面科学路线与样品链;BY-REL-P1-007-摄影来源证据层级;BY-SCN-P0-004-月面着陆与作业区;BY-SCN-P1-005-月面后段科考区;BY-SYM-P0-001-中华人民共和国国旗图形;BY-VEH-P0-003-揽月登月舱;BY-VEH-P0-004-探索载人月球车;BY-VFX-P1-007-月球车轮迹与低重力扬尘</t>
  </si>
  <si>
    <t>BY-VOI-P0-001-杨凛声音;BY-VOI-P0-002-陈砚声音;BY-VOI-P1-004-北京飞控主调度声音;BY-VOI-P1-014-顾青岚声音</t>
  </si>
  <si>
    <t>BY-SYM-P1-003-任务阶段与时间跳跃标牌;BY-SYM-P1-004-任务轨迹与相位图模板;BY-SYM-P1-005-样品编号与封签模板</t>
  </si>
  <si>
    <t>077—086</t>
  </si>
  <si>
    <t>BY-ANM-P0-001-梦舟四种乘员状态;BY-ANM-P0-002-揽月下降出舱起飞链;BY-CHR-P0-001-杨凛;BY-CHR-P0-002-陈砚;BY-CHR-P0-003-刘定槎;BY-CRO-P1-001-北京飞控任务团队;BY-CRO-P1-002-深空测控值班团队;BY-CST-P0-001-杨凛舱内飞行服;BY-CST-P0-002-陈砚舱内飞行服;BY-CST-P0-003-刘定槎舱内飞行服;BY-CST-P0-004-杨凛望宇登月服;BY-CST-P0-005-陈砚望宇登月服;BY-CST-P1-001-杨凛登月服轻度月尘状态;BY-CST-P1-002-陈砚登月服轻度月尘状态;BY-LGT-P0-001-梦舟舱内任务光;BY-LGT-P0-002-揽月下降任务光;BY-LGT-P0-004-月面艺术化任务日光;BY-LGT-P1-003-飞控大厅任务光;BY-LGT-P1-004-环月轨道太阳光;BY-LGT-P1-006-深空测控站任务光;BY-PRP-P0-001-梦舟三座椅与束缚系统;BY-PRP-P0-003-便携式月面摄像机;BY-PRP-P0-004-工程化国旗展示装置;BY-PRP-P0-005-密封样品转移容器;BY-PRP-P0-006-东风医监转移设备;BY-PRP-P1-004-月面工具包与载荷固定系统;BY-PRP-P1-005-两器舱门与对接锁止结果件;BY-PRP-P1-006-舱内操作界面与任务屏;BY-PRP-P1-008-主样品容器编号与固定座;BY-PRP-P1-009-污染控制用品;BY-PRP-P1-015-航天器任务相机组;BY-REL-P0-005-揽月构型状态链;BY-REL-P0-006-月面摄像机摄影来源;BY-REL-P0-007-国旗装置部署链;BY-REL-P0-008-样品转移链;BY-REL-P0-009-梦舟三座返航承载与环月工作位;BY-REL-P0-012-月面艺术化光照与声明;BY-REL-P1-001-月面空间总图;BY-REL-P1-004-地面测控接力链;BY-REL-P1-006-月面科学路线与样品链;BY-REL-P1-007-摄影来源证据层级;BY-REL-P1-010-地月视觉尺度连续性;BY-SCN-P0-001-梦舟舱内三座布局;BY-SCN-P0-003-揽月登月舱舱内;BY-SCN-P0-004-月面着陆与作业区;BY-SCN-P0-005-梦舟环月工作位;BY-SCN-P0-006-北京飞控大厅与任务主屏;BY-SCN-P1-005-月面后段科考区;BY-SCN-P1-006-环月轨道外部环境;BY-SCN-P1-007-佳木斯66米深空测控站;BY-SYM-P0-001-中华人民共和国国旗图形;BY-VEH-P0-001-梦舟载人飞船;BY-VEH-P0-003-揽月登月舱;BY-VEH-P1-004-揽月月面起飞状态;BY-VEH-P1-005-揽月月轨再对接状态;BY-VFX-P0-003-第一足印月壤形变;BY-VFX-P0-004-月面起飞羽流与留场余景;BY-VFX-P1-002-环月轨道交会与对接;BY-VFX-P1-008-遥测视觉重建合成</t>
  </si>
  <si>
    <t>BY-VOI-P0-001-杨凛声音;BY-VOI-P0-002-陈砚声音;BY-VOI-P0-003-刘定槎声音;BY-VOI-P1-004-北京飞控主调度声音;BY-VOI-P1-005-林海深空测控声音;BY-VOI-P1-012-何文澜声音</t>
  </si>
  <si>
    <t>BY-REL-P1-003-声音来源真实性;BY-SND-P0-001-舱内生命保障与设备底噪;BY-SND-P1-001-舱门对接机构结构传导;BY-SND-P1-002-登月服内部呼吸与结构声;BY-SND-P1-003-发动机舱内结构振动;BY-SND-P1-008-飞控与测控大厅底噪</t>
  </si>
  <si>
    <t>BY-SYM-P1-003-任务阶段与时间跳跃标牌;BY-SYM-P1-004-任务轨迹与相位图模板;BY-SYM-P1-005-样品编号与封签模板;BY-SYM-P1-006-视觉重建来源标识</t>
  </si>
  <si>
    <t>087—089</t>
  </si>
  <si>
    <t>BY-CHR-P0-001-杨凛;BY-CHR-P0-002-陈砚;BY-CHR-P0-003-刘定槎;BY-CHR-P1-002-林知夏;BY-CHR-P1-005-孙亦川;BY-CST-P0-001-杨凛舱内飞行服;BY-CST-P0-002-陈砚舱内飞行服;BY-CST-P0-003-刘定槎舱内飞行服;BY-CST-P1-004-林知夏记者服装;BY-CST-P1-007-孙亦川专家服装;BY-LGT-P0-005-返回舱再入等离子辉光;BY-LGT-P1-004-环月轨道太阳光;BY-LGT-P1-008-飞控媒体区直播光;BY-REL-P0-011-梦舟返地构型状态链;BY-REL-P0-013-返回舱再入搜救状态链;BY-REL-P1-006-月面科学路线与样品链;BY-REL-P1-007-摄影来源证据层级;BY-REL-P1-008-三段直播结构链;BY-REL-P1-010-地月视觉尺度连续性;BY-SCN-P0-007-返回舱再入视觉环境;BY-SCN-P1-003-飞控中心媒体区;BY-SCN-P1-005-月面后段科考区;BY-SCN-P1-006-环月轨道外部环境;BY-VEH-P0-001-梦舟载人飞船;BY-VEH-P0-005-梦舟月轨组合体;BY-VEH-P0-006-梦舟返回舱独立再入构型;BY-VFX-P0-005-返回舱等离子辉光与黑障视觉;BY-VFX-P1-003-月地转移点火与月球远离;BY-VFX-P1-005-半弹道跳跃式再入轨迹;BY-VFX-P1-008-遥测视觉重建合成</t>
  </si>
  <si>
    <t>BY-VOI-P1-002-林知夏声音;BY-VOI-P1-013-孙亦川声音</t>
  </si>
  <si>
    <t>BY-SYM-P1-003-任务阶段与时间跳跃标牌;BY-SYM-P1-004-任务轨迹与相位图模板;BY-SYM-P1-006-视觉重建来源标识;BY-SYM-P1-007-直播进口出口与倒计时</t>
  </si>
  <si>
    <t>090—095</t>
  </si>
  <si>
    <t>BY-CHR-P1-002-林知夏;BY-CHR-P1-005-孙亦川;BY-CRO-P1-001-北京飞控任务团队;BY-CRO-P1-003-搜救与医疗团队;BY-CST-P1-004-林知夏记者服装;BY-CST-P1-007-孙亦川专家服装;BY-LGT-P0-005-返回舱再入等离子辉光;BY-LGT-P1-003-飞控大厅任务光;BY-LGT-P1-004-环月轨道太阳光;BY-LGT-P1-007-搜救着陆区日间自然光;BY-LGT-P1-008-飞控媒体区直播光;BY-PRP-P1-013-东风样品接收设备;BY-REL-P0-011-梦舟返地构型状态链;BY-REL-P0-013-返回舱再入搜救状态链;BY-REL-P1-006-月面科学路线与样品链;BY-REL-P1-007-摄影来源证据层级;BY-REL-P1-008-三段直播结构链;BY-REL-P1-009-东风医监与样品双线;BY-REL-P1-010-地月视觉尺度连续性;BY-SCN-P0-006-北京飞控大厅与任务主屏;BY-SCN-P0-007-返回舱再入视觉环境;BY-SCN-P0-008-预定着陆区与搜救现场;BY-SCN-P1-003-飞控中心媒体区;BY-SCN-P1-005-月面后段科考区;BY-SCN-P1-006-环月轨道外部环境;BY-VEH-P0-001-梦舟载人飞船;BY-VEH-P0-005-梦舟月轨组合体;BY-VEH-P0-006-梦舟返回舱独立再入构型;BY-VEH-P1-008-搜救直升机与地面车辆;BY-VFX-P0-005-返回舱等离子辉光与黑障视觉;BY-VFX-P1-003-月地转移点火与月球远离;BY-VFX-P1-005-半弹道跳跃式再入轨迹</t>
  </si>
  <si>
    <t>BY-VOI-P1-002-林知夏声音;BY-VOI-P1-004-北京飞控主调度声音;BY-VOI-P1-008-搜救指挥声音;BY-VOI-P1-013-孙亦川声音</t>
  </si>
  <si>
    <t>BY-REL-P1-003-声音来源真实性;BY-SND-P1-003-发动机舱内结构振动;BY-SND-P1-004-再入结构与通信衰减;BY-SND-P1-006-搜救现场声;BY-SND-P1-008-飞控与测控大厅底噪;BY-SND-P1-009-媒体区直播现场声</t>
  </si>
  <si>
    <t>BY-SYM-P1-003-任务阶段与时间跳跃标牌;BY-SYM-P1-004-任务轨迹与相位图模板;BY-SYM-P1-005-样品编号与封签模板;BY-SYM-P1-007-直播进口出口与倒计时</t>
  </si>
  <si>
    <t>096—106</t>
  </si>
  <si>
    <t>BY-ANM-P0-001-梦舟四种乘员状态;BY-CHR-P0-001-杨凛;BY-CHR-P0-002-陈砚;BY-CHR-P0-003-刘定槎;BY-CRO-P1-001-北京飞控任务团队;BY-CRO-P1-003-搜救与医疗团队;BY-CST-P0-001-杨凛舱内飞行服;BY-CST-P0-002-陈砚舱内飞行服;BY-CST-P0-003-刘定槎舱内飞行服;BY-LGT-P0-001-梦舟舱内任务光;BY-LGT-P0-004-月面艺术化任务日光;BY-LGT-P0-005-返回舱再入等离子辉光;BY-LGT-P1-003-飞控大厅任务光;BY-LGT-P1-007-搜救着陆区日间自然光;BY-PRP-P0-001-梦舟三座椅与束缚系统;BY-PRP-P0-005-密封样品转移容器;BY-PRP-P1-006-舱内操作界面与任务屏;BY-PRP-P1-008-主样品容器编号与固定座;BY-PRP-P1-015-航天器任务相机组;BY-REL-P0-008-样品转移链;BY-REL-P0-009-梦舟三座返航承载与环月工作位;BY-REL-P0-011-梦舟返地构型状态链;BY-REL-P0-012-月面艺术化光照与声明;BY-REL-P0-013-返回舱再入搜救状态链;BY-REL-P1-001-月面空间总图;BY-REL-P1-006-月面科学路线与样品链;BY-REL-P1-007-摄影来源证据层级;BY-REL-P1-009-东风医监与样品双线;BY-SCN-P0-001-梦舟舱内三座布局;BY-SCN-P0-004-月面着陆与作业区;BY-SCN-P0-005-梦舟环月工作位;BY-SCN-P0-006-北京飞控大厅与任务主屏;BY-SCN-P0-007-返回舱再入视觉环境;BY-SCN-P0-008-预定着陆区与搜救现场;BY-SCN-P1-005-月面后段科考区;BY-VEH-P0-001-梦舟载人飞船;BY-VEH-P0-006-梦舟返回舱独立再入构型;BY-VEH-P0-007-返回舱群伞气囊着陆构型;BY-VEH-P1-007-梦舟服务舱近地分离状态;BY-VFX-P0-005-返回舱等离子辉光与黑障视觉;BY-VFX-P0-006-稳定伞与主伞展开;BY-VFX-P1-004-姿控喷流;BY-VFX-P1-005-半弹道跳跃式再入轨迹;BY-VFX-P1-008-遥测视觉重建合成</t>
  </si>
  <si>
    <t>BY-VOI-P0-001-杨凛声音;BY-VOI-P0-002-陈砚声音;BY-VOI-P0-003-刘定槎声音;BY-VOI-P1-004-北京飞控主调度声音;BY-VOI-P1-008-搜救指挥声音;BY-VOI-P1-013-孙亦川声音</t>
  </si>
  <si>
    <t>BY-REL-P1-003-声音来源真实性;BY-SND-P0-001-舱内生命保障与设备底噪;BY-SND-P1-003-发动机舱内结构振动;BY-SND-P1-004-再入结构与通信衰减;BY-SND-P1-005-降落伞与着陆冲击;BY-SND-P1-006-搜救现场声;BY-SND-P1-008-飞控与测控大厅底噪</t>
  </si>
  <si>
    <t>BY-SYM-P1-004-任务轨迹与相位图模板;BY-SYM-P1-005-样品编号与封签模板;BY-SYM-P1-006-视觉重建来源标识</t>
  </si>
  <si>
    <t>107—119</t>
  </si>
  <si>
    <t>BY-ANM-P0-001-梦舟四种乘员状态;BY-ANM-P1-002-东风搜救开舱转移;BY-CHR-P0-001-杨凛;BY-CHR-P0-002-陈砚;BY-CHR-P0-003-刘定槎;BY-CHR-P1-002-林知夏;BY-CRO-P1-001-北京飞控任务团队;BY-CRO-P1-003-搜救与医疗团队;BY-CST-P0-001-杨凛舱内飞行服;BY-CST-P0-002-陈砚舱内飞行服;BY-CST-P0-003-刘定槎舱内飞行服;BY-CST-P1-004-林知夏记者服装;BY-LGT-P0-001-梦舟舱内任务光;BY-LGT-P0-004-月面艺术化任务日光;BY-LGT-P1-003-飞控大厅任务光;BY-LGT-P1-007-搜救着陆区日间自然光;BY-LGT-P1-008-飞控媒体区直播光;BY-PRP-P0-001-梦舟三座椅与束缚系统;BY-PRP-P0-005-密封样品转移容器;BY-PRP-P0-006-东风医监转移设备;BY-PRP-P1-006-舱内操作界面与任务屏;BY-PRP-P1-008-主样品容器编号与固定座;BY-PRP-P1-011-返回舱信标与现场安全工具;BY-PRP-P1-013-东风样品接收设备;BY-REL-P0-008-样品转移链;BY-REL-P0-009-梦舟三座返航承载与环月工作位;BY-REL-P0-012-月面艺术化光照与声明;BY-REL-P0-013-返回舱再入搜救状态链;BY-REL-P1-001-月面空间总图;BY-REL-P1-006-月面科学路线与样品链;BY-REL-P1-007-摄影来源证据层级;BY-REL-P1-008-三段直播结构链;BY-REL-P1-009-东风医监与样品双线;BY-SCN-P0-001-梦舟舱内三座布局;BY-SCN-P0-004-月面着陆与作业区;BY-SCN-P0-005-梦舟环月工作位;BY-SCN-P0-006-北京飞控大厅与任务主屏;BY-SCN-P0-008-预定着陆区与搜救现场;BY-SCN-P1-003-飞控中心媒体区;BY-SCN-P1-005-月面后段科考区;BY-SCN-P1-012-东风医监开舱作业区;BY-VEH-P0-001-梦舟载人飞船;BY-VEH-P0-007-返回舱群伞气囊着陆构型;BY-VEH-P1-008-搜救直升机与地面车辆;BY-VFX-P0-006-稳定伞与主伞展开;BY-VFX-P0-007-气囊触地滚摆</t>
  </si>
  <si>
    <t>BY-VOI-P0-001-杨凛声音;BY-VOI-P0-003-刘定槎声音;BY-VOI-P1-002-林知夏声音;BY-VOI-P1-004-北京飞控主调度声音;BY-VOI-P1-008-搜救指挥声音;BY-VOI-P1-011-现场指挥声音;BY-VOI-P1-012-何文澜声音;BY-VOI-P1-015-医监人员声音</t>
  </si>
  <si>
    <t>BY-REL-P1-003-声音来源真实性;BY-SND-P0-001-舱内生命保障与设备底噪;BY-SND-P1-003-发动机舱内结构振动;BY-SND-P1-005-降落伞与着陆冲击;BY-SND-P1-006-搜救现场声;BY-SND-P1-008-飞控与测控大厅底噪;BY-SND-P1-009-媒体区直播现场声</t>
  </si>
  <si>
    <t>BY-SYM-P0-002-艺术化光照偏差推演声明;BY-SYM-P1-001-未来纪实推演标识;BY-SYM-P1-003-任务阶段与时间跳跃标牌;BY-SYM-P1-005-样品编号与封签模板;BY-SYM-P1-007-直播进口出口与倒计时;BY-SYM-P1-008-东风搜救时间压缩</t>
  </si>
  <si>
    <t>原生产资产ID</t>
  </si>
  <si>
    <t>V1.3.1处置</t>
  </si>
  <si>
    <t>现生产资产ID</t>
  </si>
  <si>
    <t>原因</t>
  </si>
  <si>
    <t>影响镜号</t>
  </si>
  <si>
    <t>历史继承</t>
  </si>
  <si>
    <t>升级并替代</t>
  </si>
  <si>
    <t>V1.2贯穿关键节点，升级为P0</t>
  </si>
  <si>
    <t>语义失效并替代</t>
  </si>
  <si>
    <t>保留日期并显式承担天文偏差</t>
  </si>
  <si>
    <t>叙事关系失效并替代</t>
  </si>
  <si>
    <t>空座椅仅等待乘组归位</t>
  </si>
  <si>
    <t>语义扩展</t>
  </si>
  <si>
    <t>四种乘员状态共用同一舱体几何</t>
  </si>
  <si>
    <t>005;008;012;017;019;025;082;086;097—109</t>
  </si>
  <si>
    <t>明确单人值守与两座空置关系</t>
  </si>
  <si>
    <t>019;025;082</t>
  </si>
  <si>
    <t>正式锁定</t>
  </si>
  <si>
    <t>主着陆场改为并锁定东风着陆场</t>
  </si>
  <si>
    <t>094;104;107—118</t>
  </si>
  <si>
    <t>语义校正</t>
  </si>
  <si>
    <t>脚本为黎明至清晨，不再写笼统日间</t>
  </si>
  <si>
    <t>107—118</t>
  </si>
  <si>
    <t>状态扩展</t>
  </si>
  <si>
    <t>同一相机从部署连续复用到起飞空镜</t>
  </si>
  <si>
    <t>060—061;063—064;069;076;081</t>
  </si>
  <si>
    <t>建立三座满员—两座空置—三座重聚—返航承载链</t>
  </si>
  <si>
    <t>005—019;025;082;086;097—109</t>
  </si>
  <si>
    <t>新增</t>
  </si>
  <si>
    <t>生产包ID</t>
  </si>
  <si>
    <t>生产包</t>
  </si>
  <si>
    <t>内容</t>
  </si>
  <si>
    <t>级别</t>
  </si>
  <si>
    <t>顺序</t>
  </si>
  <si>
    <t>P13-01</t>
  </si>
  <si>
    <t>人物、服装与稳定音色</t>
  </si>
  <si>
    <t>林知夏、何文澜、孙亦川、顾青岚及三名航天员；先确认三位新增专家脸、服装和独立音色</t>
  </si>
  <si>
    <t>P0/P1</t>
  </si>
  <si>
    <t>先行</t>
  </si>
  <si>
    <t>同一返回舱母图、三座承力区、环月工作位、轴向通道、四种乘员状态</t>
  </si>
  <si>
    <t>揽月构型与动作链</t>
  </si>
  <si>
    <t>无人月轨状态、下降、着陆、单人出舱、回舱、整器起飞、再对接</t>
  </si>
  <si>
    <t>摄影来源与遥测视觉重建</t>
  </si>
  <si>
    <t>任务相机组、视觉重建合成、来源角标、地月尺度连续</t>
  </si>
  <si>
    <t>月面相机与空间连续</t>
  </si>
  <si>
    <t>便携相机部署、同机位复用、宇航服相机、月球车前向和侧后相机</t>
  </si>
  <si>
    <t>P13-06</t>
  </si>
  <si>
    <t>国旗与月面科学任务</t>
  </si>
  <si>
    <t>国旗装置、月球车、采样、岩芯、载荷、样品与月尘状态</t>
  </si>
  <si>
    <t>第二优先</t>
  </si>
  <si>
    <t>P13-07</t>
  </si>
  <si>
    <t>飞控、媒体区与深空测控</t>
  </si>
  <si>
    <t>飞控大厅、媒体区直播、专家采访、佳木斯链路、任务UI与图卡</t>
  </si>
  <si>
    <t>P13-08</t>
  </si>
  <si>
    <t>梦舟返回与再入</t>
  </si>
  <si>
    <t>离月、服务舱分离、两段再入、黑障、红外发现和主伞</t>
  </si>
  <si>
    <t>P13-09</t>
  </si>
  <si>
    <t>东风着陆与医监回收</t>
  </si>
  <si>
    <t>着陆场、直升机车组、安全处置、开舱、座椅／担架、样品交接</t>
  </si>
  <si>
    <t>P13-10</t>
  </si>
  <si>
    <t>声音与后期图形约束</t>
  </si>
  <si>
    <t>无配乐、月面外部静音、独立音色、直播图形、时间码与推演声明</t>
  </si>
  <si>
    <t>贯穿</t>
  </si>
  <si>
    <t>P13-11</t>
  </si>
  <si>
    <t>119镜映射与QA</t>
  </si>
  <si>
    <t>逐镜ID校验、摄影来源、状态变体、停用资产隔离和场次聚合</t>
  </si>
  <si>
    <t>阶段2B入口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</si>
</sst>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name val="Carlito"/>
      <charset val="134"/>
    </font>
    <font>
      <b/>
      <sz val="10"/>
      <color rgb="FFFFFFFF"/>
      <name val="Carlito"/>
      <charset val="134"/>
    </font>
    <font>
      <sz val="9"/>
      <color rgb="FF1D2B34"/>
      <name val="Carlito"/>
      <charset val="134"/>
    </font>
    <font>
      <b/>
      <sz val="18"/>
      <color rgb="FFFFFFFF"/>
      <name val="Carlito"/>
      <charset val="134"/>
    </font>
    <font>
      <b/>
      <sz val="9"/>
      <color rgb="FF215D7A"/>
      <name val="Carlito"/>
      <charset val="134"/>
    </font>
    <font>
      <b/>
      <sz val="9"/>
      <color rgb="FF14283B"/>
      <name val="Carlito"/>
      <charset val="134"/>
    </font>
    <font>
      <b/>
      <i/>
      <sz val="9"/>
      <color rgb="FF667784"/>
      <name val="Carlito"/>
      <charset val="134"/>
    </font>
    <font>
      <b/>
      <sz val="9"/>
      <color rgb="FF2F7D61"/>
      <name val="Carlito"/>
      <charset val="134"/>
    </font>
    <font>
      <i/>
      <sz val="9"/>
      <color rgb="FF667784"/>
      <name val="Carlito"/>
      <charset val="134"/>
    </font>
    <font>
      <b/>
      <sz val="20"/>
      <color rgb="FFFFFFFF"/>
      <name val="Carlito"/>
      <charset val="134"/>
    </font>
    <font>
      <b/>
      <sz val="10"/>
      <color rgb="FF215D7A"/>
      <name val="Carlito"/>
      <charset val="134"/>
    </font>
    <font>
      <b/>
      <sz val="11"/>
      <color rgb="FFFFFFFF"/>
      <name val="Carlito"/>
      <charset val="134"/>
    </font>
    <font>
      <b/>
      <sz val="11"/>
      <color rgb="FF667784"/>
      <name val="Carlito"/>
      <charset val="134"/>
    </font>
    <font>
      <b/>
      <sz val="15"/>
      <color rgb="FF14283B"/>
      <name val="Carlito"/>
      <charset val="134"/>
    </font>
    <font>
      <sz val="11"/>
      <color rgb="FF1D2B34"/>
      <name val="Carlito"/>
      <charset val="134"/>
    </font>
    <font>
      <b/>
      <sz val="11"/>
      <color rgb="FF2F7D6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4283B"/>
        <bgColor indexed="64"/>
      </patternFill>
    </fill>
    <fill>
      <patternFill patternType="solid">
        <fgColor rgb="FFEAF2F5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E8F4EE"/>
        <bgColor indexed="64"/>
      </patternFill>
    </fill>
    <fill>
      <patternFill patternType="solid">
        <fgColor rgb="FFF7FBF9"/>
        <bgColor indexed="64"/>
      </patternFill>
    </fill>
    <fill>
      <patternFill patternType="solid">
        <fgColor rgb="FFFFF7E8"/>
        <bgColor indexed="64"/>
      </patternFill>
    </fill>
    <fill>
      <patternFill patternType="solid">
        <fgColor rgb="FF215D7A"/>
        <bgColor indexed="64"/>
      </patternFill>
    </fill>
    <fill>
      <patternFill patternType="solid">
        <fgColor rgb="FF4CA6A8"/>
        <bgColor indexed="64"/>
      </patternFill>
    </fill>
    <fill>
      <patternFill patternType="solid">
        <fgColor rgb="FFF4F7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14283B"/>
      </left>
      <right/>
      <top style="medium">
        <color rgb="FF14283B"/>
      </top>
      <bottom style="medium">
        <color rgb="FF14283B"/>
      </bottom>
      <diagonal/>
    </border>
    <border>
      <left/>
      <right/>
      <top style="medium">
        <color rgb="FF14283B"/>
      </top>
      <bottom style="medium">
        <color rgb="FF14283B"/>
      </bottom>
      <diagonal/>
    </border>
    <border>
      <left/>
      <right style="medium">
        <color rgb="FF14283B"/>
      </right>
      <top style="medium">
        <color rgb="FF14283B"/>
      </top>
      <bottom style="medium">
        <color rgb="FF14283B"/>
      </bottom>
      <diagonal/>
    </border>
    <border>
      <left/>
      <right/>
      <top/>
      <bottom style="thin">
        <color rgb="FFE2E8EC"/>
      </bottom>
      <diagonal/>
    </border>
    <border>
      <left/>
      <right/>
      <top style="thin">
        <color rgb="FFE2E8EC"/>
      </top>
      <bottom style="thin">
        <color rgb="FFE2E8EC"/>
      </bottom>
      <diagonal/>
    </border>
    <border>
      <left/>
      <right/>
      <top style="thin">
        <color rgb="FFE2E8EC"/>
      </top>
      <bottom style="thin">
        <color rgb="FFC9D5DB"/>
      </bottom>
      <diagonal/>
    </border>
    <border>
      <left/>
      <right/>
      <top style="medium">
        <color rgb="FF215D7A"/>
      </top>
      <bottom style="thin">
        <color rgb="FFC9D5DB"/>
      </bottom>
      <diagonal/>
    </border>
    <border>
      <left/>
      <right/>
      <top style="thin">
        <color rgb="FFA7CDBD"/>
      </top>
      <bottom style="thin">
        <color rgb="FFCFE3D9"/>
      </bottom>
      <diagonal/>
    </border>
    <border>
      <left style="medium">
        <color rgb="FFC9D5DB"/>
      </left>
      <right/>
      <top style="medium">
        <color rgb="FFC9D5DB"/>
      </top>
      <bottom/>
      <diagonal/>
    </border>
    <border>
      <left/>
      <right style="medium">
        <color rgb="FFC9D5DB"/>
      </right>
      <top style="medium">
        <color rgb="FFC9D5DB"/>
      </top>
      <bottom/>
      <diagonal/>
    </border>
    <border>
      <left/>
      <right/>
      <top style="medium">
        <color rgb="FFC9D5DB"/>
      </top>
      <bottom/>
      <diagonal/>
    </border>
    <border>
      <left style="thin">
        <color rgb="FFC9D5DB"/>
      </left>
      <right/>
      <top style="thin">
        <color rgb="FFC9D5DB"/>
      </top>
      <bottom/>
      <diagonal/>
    </border>
    <border>
      <left/>
      <right/>
      <top style="thin">
        <color rgb="FFC9D5DB"/>
      </top>
      <bottom/>
      <diagonal/>
    </border>
    <border>
      <left/>
      <right style="thin">
        <color rgb="FFC9D5DB"/>
      </right>
      <top style="thin">
        <color rgb="FFC9D5DB"/>
      </top>
      <bottom/>
      <diagonal/>
    </border>
    <border>
      <left style="medium">
        <color rgb="FFC9D5DB"/>
      </left>
      <right/>
      <top/>
      <bottom/>
      <diagonal/>
    </border>
    <border>
      <left/>
      <right style="medium">
        <color rgb="FFC9D5DB"/>
      </right>
      <top/>
      <bottom/>
      <diagonal/>
    </border>
    <border>
      <left style="thin">
        <color rgb="FFC9D5DB"/>
      </left>
      <right/>
      <top/>
      <bottom/>
      <diagonal/>
    </border>
    <border>
      <left/>
      <right style="thin">
        <color rgb="FFC9D5DB"/>
      </right>
      <top/>
      <bottom/>
      <diagonal/>
    </border>
    <border>
      <left style="thin">
        <color rgb="FFC9D5DB"/>
      </left>
      <right/>
      <top/>
      <bottom style="thin">
        <color rgb="FFC9D5DB"/>
      </bottom>
      <diagonal/>
    </border>
    <border>
      <left/>
      <right/>
      <top/>
      <bottom style="thin">
        <color rgb="FFC9D5DB"/>
      </bottom>
      <diagonal/>
    </border>
    <border>
      <left/>
      <right style="thin">
        <color rgb="FFC9D5DB"/>
      </right>
      <top/>
      <bottom style="thin">
        <color rgb="FFC9D5DB"/>
      </bottom>
      <diagonal/>
    </border>
    <border>
      <left style="medium">
        <color rgb="FFC9D5DB"/>
      </left>
      <right/>
      <top/>
      <bottom style="medium">
        <color rgb="FFC9D5DB"/>
      </bottom>
      <diagonal/>
    </border>
    <border>
      <left/>
      <right style="medium">
        <color rgb="FFC9D5DB"/>
      </right>
      <top/>
      <bottom style="medium">
        <color rgb="FFC9D5DB"/>
      </bottom>
      <diagonal/>
    </border>
    <border>
      <left/>
      <right/>
      <top/>
      <bottom style="medium">
        <color rgb="FFC9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6" fillId="0" borderId="0">
      <alignment vertical="center"/>
    </xf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2" borderId="2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6" applyNumberFormat="0" applyFill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3" borderId="28" applyNumberFormat="0" applyAlignment="0" applyProtection="0">
      <alignment vertical="center"/>
    </xf>
    <xf numFmtId="0" fontId="26" fillId="14" borderId="29" applyNumberFormat="0" applyAlignment="0" applyProtection="0">
      <alignment vertical="center"/>
    </xf>
    <xf numFmtId="0" fontId="27" fillId="14" borderId="28" applyNumberFormat="0" applyAlignment="0" applyProtection="0">
      <alignment vertical="center"/>
    </xf>
    <xf numFmtId="0" fontId="28" fillId="15" borderId="30" applyNumberFormat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30" fillId="0" borderId="32" applyNumberFormat="0" applyFill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0" fillId="0" borderId="0"/>
  </cellStyleXfs>
  <cellXfs count="59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1" fillId="2" borderId="3" xfId="49" applyNumberFormat="1" applyFont="1" applyFill="1" applyBorder="1" applyAlignment="1">
      <alignment horizontal="center" vertical="center" wrapText="1"/>
    </xf>
    <xf numFmtId="0" fontId="2" fillId="0" borderId="4" xfId="49" applyNumberFormat="1" applyFont="1" applyFill="1" applyBorder="1" applyAlignment="1">
      <alignment horizontal="center" vertical="top" wrapText="1"/>
    </xf>
    <xf numFmtId="0" fontId="2" fillId="0" borderId="4" xfId="49" applyNumberFormat="1" applyFont="1" applyFill="1" applyBorder="1" applyAlignment="1">
      <alignment horizontal="left" vertical="top" wrapText="1"/>
    </xf>
    <xf numFmtId="0" fontId="2" fillId="0" borderId="5" xfId="49" applyNumberFormat="1" applyFont="1" applyFill="1" applyBorder="1" applyAlignment="1">
      <alignment horizontal="center" vertical="top" wrapText="1"/>
    </xf>
    <xf numFmtId="0" fontId="2" fillId="0" borderId="5" xfId="49" applyNumberFormat="1" applyFont="1" applyFill="1" applyBorder="1" applyAlignment="1">
      <alignment horizontal="left" vertical="top" wrapText="1"/>
    </xf>
    <xf numFmtId="0" fontId="2" fillId="0" borderId="6" xfId="49" applyNumberFormat="1" applyFont="1" applyFill="1" applyBorder="1" applyAlignment="1">
      <alignment horizontal="center" vertical="top" wrapText="1"/>
    </xf>
    <xf numFmtId="0" fontId="2" fillId="0" borderId="6" xfId="49" applyNumberFormat="1" applyFont="1" applyFill="1" applyBorder="1" applyAlignment="1">
      <alignment horizontal="left" vertical="top" wrapText="1"/>
    </xf>
    <xf numFmtId="0" fontId="3" fillId="2" borderId="0" xfId="49" applyNumberFormat="1" applyFont="1" applyFill="1" applyBorder="1" applyAlignment="1">
      <alignment vertical="center"/>
    </xf>
    <xf numFmtId="0" fontId="4" fillId="3" borderId="0" xfId="49" applyNumberFormat="1" applyFont="1" applyFill="1" applyBorder="1" applyAlignment="1">
      <alignment vertical="center" wrapText="1"/>
    </xf>
    <xf numFmtId="0" fontId="5" fillId="3" borderId="7" xfId="49" applyNumberFormat="1" applyFont="1" applyFill="1" applyBorder="1" applyAlignment="1">
      <alignment horizontal="center" vertical="top" wrapText="1"/>
    </xf>
    <xf numFmtId="0" fontId="5" fillId="3" borderId="7" xfId="49" applyNumberFormat="1" applyFont="1" applyFill="1" applyBorder="1" applyAlignment="1">
      <alignment horizontal="left" vertical="top" wrapText="1"/>
    </xf>
    <xf numFmtId="0" fontId="6" fillId="4" borderId="7" xfId="49" applyNumberFormat="1" applyFont="1" applyFill="1" applyBorder="1" applyAlignment="1">
      <alignment horizontal="center" vertical="top" wrapText="1"/>
    </xf>
    <xf numFmtId="0" fontId="6" fillId="4" borderId="7" xfId="49" applyNumberFormat="1" applyFont="1" applyFill="1" applyBorder="1" applyAlignment="1">
      <alignment horizontal="left" vertical="top" wrapText="1"/>
    </xf>
    <xf numFmtId="0" fontId="7" fillId="5" borderId="8" xfId="49" applyNumberFormat="1" applyFont="1" applyFill="1" applyBorder="1" applyAlignment="1">
      <alignment horizontal="center" vertical="top" wrapText="1"/>
    </xf>
    <xf numFmtId="0" fontId="7" fillId="5" borderId="8" xfId="49" applyNumberFormat="1" applyFont="1" applyFill="1" applyBorder="1" applyAlignment="1">
      <alignment horizontal="left" vertical="top" wrapText="1"/>
    </xf>
    <xf numFmtId="0" fontId="2" fillId="6" borderId="5" xfId="49" applyNumberFormat="1" applyFont="1" applyFill="1" applyBorder="1" applyAlignment="1">
      <alignment horizontal="center" vertical="top" wrapText="1"/>
    </xf>
    <xf numFmtId="0" fontId="2" fillId="6" borderId="5" xfId="49" applyNumberFormat="1" applyFont="1" applyFill="1" applyBorder="1" applyAlignment="1">
      <alignment horizontal="left" vertical="top" wrapText="1"/>
    </xf>
    <xf numFmtId="0" fontId="2" fillId="7" borderId="5" xfId="49" applyNumberFormat="1" applyFont="1" applyFill="1" applyBorder="1" applyAlignment="1">
      <alignment horizontal="center" vertical="top" wrapText="1"/>
    </xf>
    <xf numFmtId="0" fontId="2" fillId="7" borderId="5" xfId="49" applyNumberFormat="1" applyFont="1" applyFill="1" applyBorder="1" applyAlignment="1">
      <alignment horizontal="left" vertical="top" wrapText="1"/>
    </xf>
    <xf numFmtId="0" fontId="8" fillId="4" borderId="5" xfId="49" applyNumberFormat="1" applyFont="1" applyFill="1" applyBorder="1" applyAlignment="1">
      <alignment horizontal="center" vertical="top" wrapText="1"/>
    </xf>
    <xf numFmtId="0" fontId="8" fillId="4" borderId="5" xfId="49" applyNumberFormat="1" applyFont="1" applyFill="1" applyBorder="1" applyAlignment="1">
      <alignment horizontal="left" vertical="top" wrapText="1"/>
    </xf>
    <xf numFmtId="0" fontId="9" fillId="2" borderId="0" xfId="49" applyNumberFormat="1" applyFont="1" applyFill="1" applyBorder="1" applyAlignment="1">
      <alignment horizontal="left" vertical="center"/>
    </xf>
    <xf numFmtId="0" fontId="10" fillId="3" borderId="0" xfId="49" applyNumberFormat="1" applyFont="1" applyFill="1" applyBorder="1" applyAlignment="1">
      <alignment vertical="center"/>
    </xf>
    <xf numFmtId="0" fontId="11" fillId="8" borderId="9" xfId="49" applyNumberFormat="1" applyFont="1" applyFill="1" applyBorder="1" applyAlignment="1">
      <alignment horizontal="center"/>
    </xf>
    <xf numFmtId="0" fontId="11" fillId="8" borderId="10" xfId="49" applyNumberFormat="1" applyFont="1" applyFill="1" applyBorder="1" applyAlignment="1">
      <alignment horizontal="center"/>
    </xf>
    <xf numFmtId="0" fontId="11" fillId="8" borderId="11" xfId="49" applyNumberFormat="1" applyFont="1" applyFill="1" applyBorder="1" applyAlignment="1">
      <alignment horizontal="center"/>
    </xf>
    <xf numFmtId="0" fontId="11" fillId="9" borderId="12" xfId="49" applyNumberFormat="1" applyFont="1" applyFill="1" applyBorder="1" applyAlignment="1">
      <alignment horizontal="center"/>
    </xf>
    <xf numFmtId="0" fontId="11" fillId="9" borderId="13" xfId="49" applyNumberFormat="1" applyFont="1" applyFill="1" applyBorder="1" applyAlignment="1">
      <alignment horizontal="center"/>
    </xf>
    <xf numFmtId="0" fontId="11" fillId="9" borderId="14" xfId="49" applyNumberFormat="1" applyFont="1" applyFill="1" applyBorder="1" applyAlignment="1">
      <alignment horizontal="center"/>
    </xf>
    <xf numFmtId="0" fontId="11" fillId="9" borderId="12" xfId="49" applyNumberFormat="1" applyFont="1" applyFill="1" applyBorder="1"/>
    <xf numFmtId="0" fontId="11" fillId="9" borderId="14" xfId="49" applyNumberFormat="1" applyFont="1" applyFill="1" applyBorder="1"/>
    <xf numFmtId="0" fontId="12" fillId="10" borderId="15" xfId="49" applyNumberFormat="1" applyFont="1" applyFill="1" applyBorder="1"/>
    <xf numFmtId="0" fontId="13" fillId="11" borderId="16" xfId="49" applyNumberFormat="1" applyFont="1" applyFill="1" applyBorder="1" applyAlignment="1">
      <alignment horizontal="center"/>
    </xf>
    <xf numFmtId="0" fontId="14" fillId="10" borderId="15" xfId="49" applyNumberFormat="1" applyFont="1" applyFill="1" applyBorder="1"/>
    <xf numFmtId="0" fontId="14" fillId="10" borderId="0" xfId="49" applyNumberFormat="1" applyFont="1" applyFill="1" applyBorder="1"/>
    <xf numFmtId="0" fontId="15" fillId="5" borderId="16" xfId="49" applyNumberFormat="1" applyFont="1" applyFill="1" applyBorder="1" applyAlignment="1">
      <alignment horizontal="center"/>
    </xf>
    <xf numFmtId="0" fontId="14" fillId="11" borderId="17" xfId="49" applyNumberFormat="1" applyFont="1" applyFill="1" applyBorder="1"/>
    <xf numFmtId="0" fontId="14" fillId="11" borderId="0" xfId="49" applyNumberFormat="1" applyFont="1" applyFill="1" applyBorder="1"/>
    <xf numFmtId="0" fontId="14" fillId="11" borderId="18" xfId="49" applyNumberFormat="1" applyFont="1" applyFill="1" applyBorder="1"/>
    <xf numFmtId="0" fontId="14" fillId="11" borderId="19" xfId="49" applyNumberFormat="1" applyFont="1" applyFill="1" applyBorder="1"/>
    <xf numFmtId="0" fontId="14" fillId="11" borderId="20" xfId="49" applyNumberFormat="1" applyFont="1" applyFill="1" applyBorder="1"/>
    <xf numFmtId="0" fontId="14" fillId="11" borderId="21" xfId="49" applyNumberFormat="1" applyFont="1" applyFill="1" applyBorder="1"/>
    <xf numFmtId="0" fontId="12" fillId="10" borderId="22" xfId="49" applyNumberFormat="1" applyFont="1" applyFill="1" applyBorder="1"/>
    <xf numFmtId="0" fontId="13" fillId="11" borderId="23" xfId="49" applyNumberFormat="1" applyFont="1" applyFill="1" applyBorder="1" applyAlignment="1">
      <alignment horizontal="center"/>
    </xf>
    <xf numFmtId="0" fontId="14" fillId="10" borderId="22" xfId="49" applyNumberFormat="1" applyFont="1" applyFill="1" applyBorder="1"/>
    <xf numFmtId="0" fontId="14" fillId="10" borderId="24" xfId="49" applyNumberFormat="1" applyFont="1" applyFill="1" applyBorder="1"/>
    <xf numFmtId="0" fontId="15" fillId="5" borderId="23" xfId="49" applyNumberFormat="1" applyFont="1" applyFill="1" applyBorder="1" applyAlignment="1">
      <alignment horizontal="center"/>
    </xf>
    <xf numFmtId="0" fontId="11" fillId="2" borderId="9" xfId="49" applyNumberFormat="1" applyFont="1" applyFill="1" applyBorder="1"/>
    <xf numFmtId="0" fontId="11" fillId="2" borderId="11" xfId="49" applyNumberFormat="1" applyFont="1" applyFill="1" applyBorder="1"/>
    <xf numFmtId="0" fontId="11" fillId="2" borderId="10" xfId="49" applyNumberFormat="1" applyFont="1" applyFill="1" applyBorder="1"/>
    <xf numFmtId="0" fontId="14" fillId="10" borderId="15" xfId="49" applyNumberFormat="1" applyFont="1" applyFill="1" applyBorder="1" applyAlignment="1">
      <alignment wrapText="1"/>
    </xf>
    <xf numFmtId="0" fontId="14" fillId="10" borderId="0" xfId="49" applyNumberFormat="1" applyFont="1" applyFill="1" applyBorder="1" applyAlignment="1">
      <alignment wrapText="1"/>
    </xf>
    <xf numFmtId="0" fontId="14" fillId="10" borderId="16" xfId="49" applyNumberFormat="1" applyFont="1" applyFill="1" applyBorder="1" applyAlignment="1">
      <alignment wrapText="1"/>
    </xf>
    <xf numFmtId="0" fontId="14" fillId="10" borderId="22" xfId="49" applyNumberFormat="1" applyFont="1" applyFill="1" applyBorder="1" applyAlignment="1">
      <alignment wrapText="1"/>
    </xf>
    <xf numFmtId="0" fontId="14" fillId="10" borderId="24" xfId="49" applyNumberFormat="1" applyFont="1" applyFill="1" applyBorder="1" applyAlignment="1">
      <alignment wrapText="1"/>
    </xf>
    <xf numFmtId="0" fontId="14" fillId="10" borderId="23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1">
    <dxf>
      <font>
        <b val="1"/>
        <color rgb="FFA73A37"/>
      </font>
      <fill>
        <patternFill patternType="solid">
          <bgColor rgb="FFFCE8E6"/>
        </patternFill>
      </fill>
    </dxf>
    <dxf>
      <font>
        <b val="1"/>
        <color rgb="FFD97706"/>
      </font>
      <fill>
        <patternFill patternType="solid">
          <bgColor rgb="FFFFF3CD"/>
        </patternFill>
      </fill>
    </dxf>
    <dxf>
      <font>
        <b val="1"/>
        <color rgb="FF667784"/>
      </font>
      <fill>
        <patternFill patternType="solid">
          <bgColor rgb="FFECEFF1"/>
        </patternFill>
      </fill>
    </dxf>
    <dxf>
      <font>
        <b val="1"/>
        <color rgb="FF2F7D61"/>
      </font>
      <fill>
        <patternFill patternType="solid">
          <bgColor rgb="FFE8F4E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五类资产与场景视图登记</a:t>
            </a:r>
          </a:p>
        </c:rich>
      </c:tx>
      <c:layout/>
      <c:overlay val="0"/>
    </c:title>
    <c:autoTitleDeleted val="0"/>
    <c:plotArea>
      <c:layout/>
      <c:barChart>
        <c:barDir val="col"/>
        <c:grouping val="none"/>
        <c:varyColors val="0"/>
        <c:ser>
          <c:idx val="0"/>
          <c:order val="0"/>
          <c:tx>
            <c:strRef>
              <c:f>"基础资产"</c:f>
              <c:strCache>
                <c:ptCount val="1"/>
                <c:pt idx="0">
                  <c:v>基础资产</c:v>
                </c:pt>
              </c:strCache>
            </c:strRef>
          </c:tx>
          <c:invertIfNegative val="0"/>
          <c:dLbls>
            <c:delete val="1"/>
          </c:dLbls>
          <c:cat>
            <c:strRef>
              <c:f>总览!$H$5:$H$9</c:f>
              <c:strCache>
                <c:ptCount val="5"/>
                <c:pt idx="0">
                  <c:v>人物资产</c:v>
                </c:pt>
                <c:pt idx="1">
                  <c:v>场景资产</c:v>
                </c:pt>
                <c:pt idx="2">
                  <c:v>道具资产</c:v>
                </c:pt>
                <c:pt idx="3">
                  <c:v>特殊资产</c:v>
                </c:pt>
                <c:pt idx="4">
                  <c:v>声音资产</c:v>
                </c:pt>
              </c:strCache>
            </c:strRef>
          </c:cat>
          <c:val>
            <c:numRef>
              <c:f>总览!$I$5:$I$9</c:f>
              <c:numCache>
                <c:formatCode>General</c:formatCode>
                <c:ptCount val="5"/>
                <c:pt idx="0">
                  <c:v>25</c:v>
                </c:pt>
                <c:pt idx="1">
                  <c:v>20</c:v>
                </c:pt>
                <c:pt idx="2">
                  <c:v>36</c:v>
                </c:pt>
                <c:pt idx="3">
                  <c:v>65</c:v>
                </c:pt>
                <c:pt idx="4">
                  <c:v>30</c:v>
                </c:pt>
              </c:numCache>
            </c:numRef>
          </c:val>
        </c:ser>
        <c:ser>
          <c:idx val="1"/>
          <c:order val="1"/>
          <c:tx>
            <c:strRef>
              <c:f>"视图登记"</c:f>
              <c:strCache>
                <c:ptCount val="1"/>
                <c:pt idx="0">
                  <c:v>视图登记</c:v>
                </c:pt>
              </c:strCache>
            </c:strRef>
          </c:tx>
          <c:invertIfNegative val="0"/>
          <c:dLbls>
            <c:delete val="1"/>
          </c:dLbls>
          <c:cat>
            <c:strRef>
              <c:f>总览!$H$5:$H$9</c:f>
              <c:strCache>
                <c:ptCount val="5"/>
                <c:pt idx="0">
                  <c:v>人物资产</c:v>
                </c:pt>
                <c:pt idx="1">
                  <c:v>场景资产</c:v>
                </c:pt>
                <c:pt idx="2">
                  <c:v>道具资产</c:v>
                </c:pt>
                <c:pt idx="3">
                  <c:v>特殊资产</c:v>
                </c:pt>
                <c:pt idx="4">
                  <c:v>声音资产</c:v>
                </c:pt>
              </c:strCache>
            </c:strRef>
          </c:cat>
          <c:val>
            <c:numRef>
              <c:f>总览!$J$5:$J$9</c:f>
              <c:numCache>
                <c:formatCode>General</c:formatCode>
                <c:ptCount val="5"/>
                <c:pt idx="0">
                  <c:v>0</c:v>
                </c:pt>
                <c:pt idx="1">
                  <c:v>58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1adacd3-22e8-41fb-b40c-e74b88ec1c1f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15场建议素材时长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"素材秒"</c:f>
              <c:strCache>
                <c:ptCount val="1"/>
                <c:pt idx="0">
                  <c:v>素材秒</c:v>
                </c:pt>
              </c:strCache>
            </c:strRef>
          </c:tx>
          <c:marker>
            <c:symbol val="none"/>
          </c:marker>
          <c:dLbls>
            <c:delete val="1"/>
          </c:dLbls>
          <c:cat>
            <c:numRef>
              <c:f>总览!$K$5:$K$19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总览!$L$5:$L$19</c:f>
              <c:numCache>
                <c:formatCode>General</c:formatCode>
                <c:ptCount val="15"/>
                <c:pt idx="0">
                  <c:v>62</c:v>
                </c:pt>
                <c:pt idx="1">
                  <c:v>60</c:v>
                </c:pt>
                <c:pt idx="2">
                  <c:v>58</c:v>
                </c:pt>
                <c:pt idx="3">
                  <c:v>12</c:v>
                </c:pt>
                <c:pt idx="4">
                  <c:v>62</c:v>
                </c:pt>
                <c:pt idx="5">
                  <c:v>90</c:v>
                </c:pt>
                <c:pt idx="6">
                  <c:v>65</c:v>
                </c:pt>
                <c:pt idx="7">
                  <c:v>82</c:v>
                </c:pt>
                <c:pt idx="8">
                  <c:v>65</c:v>
                </c:pt>
                <c:pt idx="9">
                  <c:v>70</c:v>
                </c:pt>
                <c:pt idx="10">
                  <c:v>85</c:v>
                </c:pt>
                <c:pt idx="11">
                  <c:v>30</c:v>
                </c:pt>
                <c:pt idx="12">
                  <c:v>60</c:v>
                </c:pt>
                <c:pt idx="13">
                  <c:v>105</c:v>
                </c:pt>
                <c:pt idx="14">
                  <c:v>114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9689d269-2919-47aa-afbc-e9b8106e41e3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12</xdr:row>
      <xdr:rowOff>0</xdr:rowOff>
    </xdr:from>
    <xdr:to>
      <xdr:col>7</xdr:col>
      <xdr:colOff>0</xdr:colOff>
      <xdr:row>29</xdr:row>
      <xdr:rowOff>0</xdr:rowOff>
    </xdr:to>
    <xdr:graphicFrame>
      <xdr:nvGraphicFramePr>
        <xdr:cNvPr id="2" name="Chart"/>
        <xdr:cNvGraphicFramePr/>
      </xdr:nvGraphicFramePr>
      <xdr:xfrm>
        <a:off x="0" y="3003550"/>
        <a:ext cx="7315200" cy="302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16</xdr:col>
      <xdr:colOff>0</xdr:colOff>
      <xdr:row>36</xdr:row>
      <xdr:rowOff>0</xdr:rowOff>
    </xdr:to>
    <xdr:graphicFrame>
      <xdr:nvGraphicFramePr>
        <xdr:cNvPr id="3" name="Chart"/>
        <xdr:cNvGraphicFramePr/>
      </xdr:nvGraphicFramePr>
      <xdr:xfrm>
        <a:off x="7315200" y="4248150"/>
        <a:ext cx="7467600" cy="33972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hotAssetMapV131" displayName="ShotAssetMapV131" ref="A1:O120" totalsRowShown="0">
  <tableColumns count="15">
    <tableColumn id="1" name="镜号"/>
    <tableColumn id="2" name="场次"/>
    <tableColumn id="3" name="场名"/>
    <tableColumn id="4" name="时间码"/>
    <tableColumn id="5" name="时长秒"/>
    <tableColumn id="6" name="景别／机位"/>
    <tableColumn id="7" name="画面动作摘要"/>
    <tableColumn id="8" name="关键状态／变体"/>
    <tableColumn id="9" name="摄影来源等级"/>
    <tableColumn id="10" name="所需视觉资产ID"/>
    <tableColumn id="11" name="所需人物音色ID"/>
    <tableColumn id="12" name="同步声音约束ID"/>
    <tableColumn id="13" name="后期文字／图形资产ID"/>
    <tableColumn id="14" name="资产状态"/>
    <tableColumn id="15" name="专业控制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eneAssetMapV131" displayName="SceneAssetMapV131" ref="A1:J16" totalsRowShown="0">
  <tableColumns count="10">
    <tableColumn id="1" name="场次编号"/>
    <tableColumn id="2" name="场名"/>
    <tableColumn id="3" name="镜号范围"/>
    <tableColumn id="4" name="镜头数"/>
    <tableColumn id="5" name="素材时长秒"/>
    <tableColumn id="6" name="所需视觉资产ID"/>
    <tableColumn id="7" name="所需人物音色ID"/>
    <tableColumn id="8" name="同步声音约束ID"/>
    <tableColumn id="9" name="后期文字／图形资产ID"/>
    <tableColumn id="10" name="阶段2B资产状态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ssetChangesV131" displayName="AssetChangesV131" ref="A1:E58" totalsRowShown="0">
  <tableColumns count="5">
    <tableColumn id="1" name="原生产资产ID"/>
    <tableColumn id="2" name="V1.3.1处置"/>
    <tableColumn id="3" name="现生产资产ID"/>
    <tableColumn id="4" name="原因"/>
    <tableColumn id="5" name="影响镜号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ductionPackagesV131" displayName="ProductionPackagesV131" ref="A1:E12" totalsRowShown="0">
  <tableColumns count="5">
    <tableColumn id="1" name="生产包ID"/>
    <tableColumn id="2" name="生产包"/>
    <tableColumn id="3" name="内容"/>
    <tableColumn id="4" name="级别"/>
    <tableColumn id="5" name="顺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6"/>
  <sheetViews>
    <sheetView showGridLines="0" topLeftCell="A8" workbookViewId="0">
      <selection activeCell="A1" sqref="A1:P1"/>
    </sheetView>
  </sheetViews>
  <sheetFormatPr defaultColWidth="9" defaultRowHeight="14"/>
  <cols>
    <col min="1" max="1" width="17" customWidth="1"/>
    <col min="2" max="2" width="23" customWidth="1"/>
    <col min="3" max="3" width="14" customWidth="1"/>
    <col min="4" max="6" width="13" customWidth="1"/>
    <col min="7" max="7" width="3" customWidth="1"/>
    <col min="8" max="8" width="16" customWidth="1"/>
    <col min="9" max="10" width="12" customWidth="1"/>
    <col min="11" max="11" width="10" customWidth="1"/>
    <col min="12" max="12" width="12" customWidth="1"/>
  </cols>
  <sheetData>
    <row r="1" ht="40" customHeight="1" spans="1:16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ht="25" customHeight="1" spans="1:16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ht="14.75"/>
    <row r="4" spans="1:16">
      <c r="A4" s="26" t="s">
        <v>2</v>
      </c>
      <c r="B4" s="27" t="s">
        <v>3</v>
      </c>
      <c r="D4" s="26" t="s">
        <v>4</v>
      </c>
      <c r="E4" s="28" t="s">
        <v>5</v>
      </c>
      <c r="F4" s="27" t="s">
        <v>6</v>
      </c>
      <c r="H4" s="29" t="s">
        <v>7</v>
      </c>
      <c r="I4" s="30" t="s">
        <v>8</v>
      </c>
      <c r="J4" s="31" t="s">
        <v>9</v>
      </c>
      <c r="K4" s="32" t="s">
        <v>10</v>
      </c>
      <c r="L4" s="33" t="s">
        <v>11</v>
      </c>
    </row>
    <row r="5" ht="19" spans="1:16">
      <c r="A5" s="34" t="s">
        <v>8</v>
      </c>
      <c r="B5" s="35">
        <f>SUM(资产总表!$W$5:$W$238)</f>
        <v>176</v>
      </c>
      <c r="D5" s="36" t="s">
        <v>12</v>
      </c>
      <c r="E5" s="37">
        <v>176</v>
      </c>
      <c r="F5" s="38" t="str">
        <f>IF(B5=E5,"通过","异常")</f>
        <v>通过</v>
      </c>
      <c r="H5" s="39" t="s">
        <v>13</v>
      </c>
      <c r="I5" s="40">
        <f>SUMIFS(资产总表!$W$5:$W$238,资产总表!$A$5:$A$238,H5)</f>
        <v>25</v>
      </c>
      <c r="J5" s="41">
        <f>COUNTIFS(资产总表!$A$5:$A$238,H5,资产总表!$W$5:$W$238,0)</f>
        <v>0</v>
      </c>
      <c r="K5" s="39">
        <v>1</v>
      </c>
      <c r="L5" s="41">
        <f>场次汇总!$E$2</f>
        <v>62</v>
      </c>
    </row>
    <row r="6" ht="19" spans="1:16">
      <c r="A6" s="34" t="s">
        <v>14</v>
      </c>
      <c r="B6" s="35">
        <f>SUMIFS(资产总表!$W$5:$W$238,资产总表!$X$5:$X$238,1)</f>
        <v>158</v>
      </c>
      <c r="D6" s="36" t="s">
        <v>9</v>
      </c>
      <c r="E6" s="37">
        <v>58</v>
      </c>
      <c r="F6" s="38" t="str">
        <f>IF(B8=E6,"通过","异常")</f>
        <v>通过</v>
      </c>
      <c r="H6" s="39" t="s">
        <v>15</v>
      </c>
      <c r="I6" s="40">
        <f>SUMIFS(资产总表!$W$5:$W$238,资产总表!$A$5:$A$238,H6)</f>
        <v>20</v>
      </c>
      <c r="J6" s="41">
        <f>COUNTIFS(资产总表!$A$5:$A$238,H6,资产总表!$W$5:$W$238,0)</f>
        <v>58</v>
      </c>
      <c r="K6" s="39">
        <v>2</v>
      </c>
      <c r="L6" s="41">
        <f>场次汇总!$E$3</f>
        <v>60</v>
      </c>
    </row>
    <row r="7" ht="19" spans="1:16">
      <c r="A7" s="34" t="s">
        <v>16</v>
      </c>
      <c r="B7" s="35">
        <f>B5-B6</f>
        <v>18</v>
      </c>
      <c r="D7" s="36" t="s">
        <v>17</v>
      </c>
      <c r="E7" s="37">
        <v>119</v>
      </c>
      <c r="F7" s="38" t="str">
        <f>IF(B10=E7,"通过","异常")</f>
        <v>通过</v>
      </c>
      <c r="H7" s="39" t="s">
        <v>18</v>
      </c>
      <c r="I7" s="40">
        <f>SUMIFS(资产总表!$W$5:$W$238,资产总表!$A$5:$A$238,H7)</f>
        <v>36</v>
      </c>
      <c r="J7" s="41">
        <f>COUNTIFS(资产总表!$A$5:$A$238,H7,资产总表!$W$5:$W$238,0)</f>
        <v>0</v>
      </c>
      <c r="K7" s="39">
        <v>3</v>
      </c>
      <c r="L7" s="41">
        <f>场次汇总!$E$4</f>
        <v>58</v>
      </c>
    </row>
    <row r="8" ht="19" spans="1:16">
      <c r="A8" s="34" t="s">
        <v>19</v>
      </c>
      <c r="B8" s="35">
        <f>COUNTIF(资产总表!$D$5:$D$238,"场景母图")+COUNTIF(资产总表!$D$5:$D$238,"场景多视角")</f>
        <v>58</v>
      </c>
      <c r="D8" s="36" t="s">
        <v>20</v>
      </c>
      <c r="E8" s="37">
        <v>1020</v>
      </c>
      <c r="F8" s="38" t="str">
        <f>IF(SUM('119镜映射'!$E$2:$E$120)=E8,"通过","异常")</f>
        <v>通过</v>
      </c>
      <c r="H8" s="39" t="s">
        <v>21</v>
      </c>
      <c r="I8" s="40">
        <f>SUMIFS(资产总表!$W$5:$W$238,资产总表!$A$5:$A$238,H8)</f>
        <v>65</v>
      </c>
      <c r="J8" s="41">
        <f>COUNTIFS(资产总表!$A$5:$A$238,H8,资产总表!$W$5:$W$238,0)</f>
        <v>0</v>
      </c>
      <c r="K8" s="39">
        <v>4</v>
      </c>
      <c r="L8" s="41">
        <f>场次汇总!$E$5</f>
        <v>12</v>
      </c>
    </row>
    <row r="9" ht="19" spans="1:16">
      <c r="A9" s="34" t="s">
        <v>22</v>
      </c>
      <c r="B9" s="35">
        <f>COUNTA(资产总表!$F$5:$F$238)</f>
        <v>234</v>
      </c>
      <c r="D9" s="36" t="s">
        <v>23</v>
      </c>
      <c r="E9" s="37">
        <v>15</v>
      </c>
      <c r="F9" s="38" t="str">
        <f>IF(COUNTA(场次汇总!$A$2:$A$16)=E9,"通过","异常")</f>
        <v>通过</v>
      </c>
      <c r="H9" s="42" t="s">
        <v>24</v>
      </c>
      <c r="I9" s="43">
        <f>SUMIFS(资产总表!$W$5:$W$238,资产总表!$A$5:$A$238,H9)</f>
        <v>30</v>
      </c>
      <c r="J9" s="44">
        <f>COUNTIFS(资产总表!$A$5:$A$238,H9,资产总表!$W$5:$W$238,0)</f>
        <v>0</v>
      </c>
      <c r="K9" s="39">
        <v>5</v>
      </c>
      <c r="L9" s="41">
        <f>场次汇总!$E$6</f>
        <v>62</v>
      </c>
    </row>
    <row r="10" ht="19.75" spans="1:16">
      <c r="A10" s="45" t="s">
        <v>25</v>
      </c>
      <c r="B10" s="46">
        <f>COUNTA('119镜映射'!$A$2:$A$120)</f>
        <v>119</v>
      </c>
      <c r="D10" s="47" t="s">
        <v>26</v>
      </c>
      <c r="E10" s="48">
        <v>0</v>
      </c>
      <c r="F10" s="49" t="s">
        <v>27</v>
      </c>
      <c r="K10" s="39">
        <v>6</v>
      </c>
      <c r="L10" s="41">
        <f>场次汇总!$E$7</f>
        <v>90</v>
      </c>
    </row>
    <row r="11" spans="1:16">
      <c r="K11" s="39">
        <v>7</v>
      </c>
      <c r="L11" s="41">
        <f>场次汇总!$E$8</f>
        <v>65</v>
      </c>
    </row>
    <row r="12" spans="1:16">
      <c r="K12" s="39">
        <v>8</v>
      </c>
      <c r="L12" s="41">
        <f>场次汇总!$E$9</f>
        <v>82</v>
      </c>
    </row>
    <row r="13" spans="1:16">
      <c r="K13" s="39">
        <v>9</v>
      </c>
      <c r="L13" s="41">
        <f>场次汇总!$E$10</f>
        <v>65</v>
      </c>
    </row>
    <row r="14" spans="1:16">
      <c r="K14" s="39">
        <v>10</v>
      </c>
      <c r="L14" s="41">
        <f>场次汇总!$E$11</f>
        <v>70</v>
      </c>
    </row>
    <row r="15" spans="1:16">
      <c r="K15" s="39">
        <v>11</v>
      </c>
      <c r="L15" s="41">
        <f>场次汇总!$E$12</f>
        <v>85</v>
      </c>
    </row>
    <row r="16" spans="1:16">
      <c r="K16" s="39">
        <v>12</v>
      </c>
      <c r="L16" s="41">
        <f>场次汇总!$E$13</f>
        <v>30</v>
      </c>
    </row>
    <row r="17" spans="1:12">
      <c r="K17" s="39">
        <v>13</v>
      </c>
      <c r="L17" s="41">
        <f>场次汇总!$E$14</f>
        <v>60</v>
      </c>
    </row>
    <row r="18" spans="1:12">
      <c r="K18" s="39">
        <v>14</v>
      </c>
      <c r="L18" s="41">
        <f>场次汇总!$E$15</f>
        <v>105</v>
      </c>
    </row>
    <row r="19" spans="1:12">
      <c r="K19" s="42">
        <v>15</v>
      </c>
      <c r="L19" s="44">
        <f>场次汇总!$E$16</f>
        <v>114</v>
      </c>
    </row>
    <row r="30" ht="14.75"/>
    <row r="31" spans="1:12">
      <c r="A31" s="50" t="s">
        <v>28</v>
      </c>
      <c r="B31" s="51" t="s">
        <v>29</v>
      </c>
      <c r="C31" s="51" t="s">
        <v>6</v>
      </c>
      <c r="D31" s="51" t="s">
        <v>30</v>
      </c>
      <c r="E31" s="51" t="s">
        <v>30</v>
      </c>
      <c r="F31" s="52" t="s">
        <v>30</v>
      </c>
    </row>
    <row r="32" spans="1:12">
      <c r="A32" s="53" t="s">
        <v>31</v>
      </c>
      <c r="B32" s="54" t="s">
        <v>32</v>
      </c>
      <c r="C32" s="54" t="s">
        <v>33</v>
      </c>
      <c r="D32" s="54" t="s">
        <v>30</v>
      </c>
      <c r="E32" s="54" t="s">
        <v>30</v>
      </c>
      <c r="F32" s="55" t="s">
        <v>30</v>
      </c>
    </row>
    <row r="33" spans="1:6">
      <c r="A33" s="53" t="s">
        <v>34</v>
      </c>
      <c r="B33" s="54" t="s">
        <v>35</v>
      </c>
      <c r="C33" s="54" t="s">
        <v>33</v>
      </c>
      <c r="D33" s="54" t="s">
        <v>30</v>
      </c>
      <c r="E33" s="54" t="s">
        <v>30</v>
      </c>
      <c r="F33" s="55" t="s">
        <v>30</v>
      </c>
    </row>
    <row r="34" spans="1:6">
      <c r="A34" s="53" t="s">
        <v>36</v>
      </c>
      <c r="B34" s="54" t="s">
        <v>37</v>
      </c>
      <c r="C34" s="54" t="s">
        <v>33</v>
      </c>
      <c r="D34" s="54" t="s">
        <v>30</v>
      </c>
      <c r="E34" s="54" t="s">
        <v>30</v>
      </c>
      <c r="F34" s="55" t="s">
        <v>30</v>
      </c>
    </row>
    <row r="35" ht="28" spans="1:6">
      <c r="A35" s="53" t="s">
        <v>38</v>
      </c>
      <c r="B35" s="54" t="s">
        <v>39</v>
      </c>
      <c r="C35" s="54" t="s">
        <v>33</v>
      </c>
      <c r="D35" s="54" t="s">
        <v>30</v>
      </c>
      <c r="E35" s="54" t="s">
        <v>30</v>
      </c>
      <c r="F35" s="55" t="s">
        <v>30</v>
      </c>
    </row>
    <row r="36" ht="28.75" spans="1:6">
      <c r="A36" s="56" t="s">
        <v>40</v>
      </c>
      <c r="B36" s="57" t="s">
        <v>41</v>
      </c>
      <c r="C36" s="57" t="s">
        <v>42</v>
      </c>
      <c r="D36" s="57" t="s">
        <v>30</v>
      </c>
      <c r="E36" s="57" t="s">
        <v>30</v>
      </c>
      <c r="F36" s="58" t="s">
        <v>30</v>
      </c>
    </row>
  </sheetData>
  <mergeCells count="2">
    <mergeCell ref="A1:P1"/>
    <mergeCell ref="A2:P2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38"/>
  <sheetViews>
    <sheetView showGridLines="0" workbookViewId="0">
      <selection activeCell="A1" sqref="A1:X1"/>
    </sheetView>
  </sheetViews>
  <sheetFormatPr defaultColWidth="9" defaultRowHeight="14"/>
  <cols>
    <col min="1" max="1" width="13" customWidth="1"/>
    <col min="2" max="2" width="8" customWidth="1"/>
    <col min="3" max="3" width="7" customWidth="1"/>
    <col min="4" max="4" width="18" customWidth="1"/>
    <col min="5" max="5" width="32" customWidth="1"/>
    <col min="6" max="7" width="44" customWidth="1"/>
    <col min="8" max="8" width="18" customWidth="1"/>
    <col min="9" max="9" width="12" customWidth="1"/>
    <col min="10" max="10" width="9" customWidth="1"/>
    <col min="11" max="11" width="24" customWidth="1"/>
    <col min="12" max="12" width="27" customWidth="1"/>
    <col min="13" max="13" width="42" customWidth="1"/>
    <col min="14" max="14" width="44" customWidth="1"/>
    <col min="15" max="15" width="36" customWidth="1"/>
    <col min="16" max="16" width="30" customWidth="1"/>
    <col min="17" max="17" width="28" customWidth="1"/>
    <col min="18" max="18" width="44" customWidth="1"/>
    <col min="19" max="19" width="24" customWidth="1"/>
    <col min="20" max="20" width="31" customWidth="1"/>
    <col min="21" max="21" width="25" customWidth="1"/>
    <col min="22" max="22" width="38" customWidth="1"/>
    <col min="23" max="24" width="10" customWidth="1"/>
  </cols>
  <sheetData>
    <row r="1" ht="38" customHeight="1" spans="1:24">
      <c r="A1" s="10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ht="30" customHeight="1" spans="1:24">
      <c r="A2" s="11" t="s">
        <v>44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ht="14.75"/>
    <row r="4" ht="34" customHeight="1" spans="1:24">
      <c r="A4" s="1" t="s">
        <v>7</v>
      </c>
      <c r="B4" s="2" t="s">
        <v>45</v>
      </c>
      <c r="C4" s="2" t="s">
        <v>46</v>
      </c>
      <c r="D4" s="2" t="s">
        <v>47</v>
      </c>
      <c r="E4" s="2" t="s">
        <v>48</v>
      </c>
      <c r="F4" s="2" t="s">
        <v>49</v>
      </c>
      <c r="G4" s="2" t="s">
        <v>50</v>
      </c>
      <c r="H4" s="2" t="s">
        <v>51</v>
      </c>
      <c r="I4" s="2" t="s">
        <v>52</v>
      </c>
      <c r="J4" s="2" t="s">
        <v>53</v>
      </c>
      <c r="K4" s="2" t="s">
        <v>54</v>
      </c>
      <c r="L4" s="2" t="s">
        <v>55</v>
      </c>
      <c r="M4" s="2" t="s">
        <v>56</v>
      </c>
      <c r="N4" s="2" t="s">
        <v>57</v>
      </c>
      <c r="O4" s="2" t="s">
        <v>58</v>
      </c>
      <c r="P4" s="2" t="s">
        <v>59</v>
      </c>
      <c r="Q4" s="2" t="s">
        <v>60</v>
      </c>
      <c r="R4" s="2" t="s">
        <v>61</v>
      </c>
      <c r="S4" s="2" t="s">
        <v>62</v>
      </c>
      <c r="T4" s="2" t="s">
        <v>63</v>
      </c>
      <c r="U4" s="2" t="s">
        <v>64</v>
      </c>
      <c r="V4" s="2" t="s">
        <v>65</v>
      </c>
      <c r="W4" s="2" t="s">
        <v>66</v>
      </c>
      <c r="X4" s="3" t="s">
        <v>67</v>
      </c>
    </row>
    <row r="5" ht="44" customHeight="1" spans="1:24">
      <c r="A5" s="12" t="s">
        <v>13</v>
      </c>
      <c r="B5" s="12">
        <v>1</v>
      </c>
      <c r="C5" s="12">
        <v>1</v>
      </c>
      <c r="D5" s="12" t="s">
        <v>68</v>
      </c>
      <c r="E5" s="13" t="s">
        <v>69</v>
      </c>
      <c r="F5" s="13" t="s">
        <v>70</v>
      </c>
      <c r="G5" s="13" t="s">
        <v>30</v>
      </c>
      <c r="H5" s="12" t="s">
        <v>30</v>
      </c>
      <c r="I5" s="12" t="s">
        <v>71</v>
      </c>
      <c r="J5" s="12" t="s">
        <v>72</v>
      </c>
      <c r="K5" s="13" t="s">
        <v>73</v>
      </c>
      <c r="L5" s="13" t="s">
        <v>74</v>
      </c>
      <c r="M5" s="13" t="s">
        <v>75</v>
      </c>
      <c r="N5" s="13" t="s">
        <v>76</v>
      </c>
      <c r="O5" s="13" t="s">
        <v>77</v>
      </c>
      <c r="P5" s="13" t="s">
        <v>78</v>
      </c>
      <c r="Q5" s="13" t="s">
        <v>79</v>
      </c>
      <c r="R5" s="13" t="s">
        <v>80</v>
      </c>
      <c r="S5" s="13" t="s">
        <v>81</v>
      </c>
      <c r="T5" s="13" t="s">
        <v>82</v>
      </c>
      <c r="U5" s="13" t="s">
        <v>83</v>
      </c>
      <c r="V5" s="13" t="s">
        <v>84</v>
      </c>
      <c r="W5" s="12">
        <f t="shared" ref="W5:W68" si="0">IF(OR(D5="场景母图",D5="场景多视角"),0,1)</f>
        <v>1</v>
      </c>
      <c r="X5" s="12">
        <f t="shared" ref="X5:X68" si="1">IF(LEFT(U5,2)="历史",0,1)</f>
        <v>1</v>
      </c>
    </row>
    <row r="6" ht="40" customHeight="1" spans="1:24">
      <c r="A6" s="20" t="s">
        <v>13</v>
      </c>
      <c r="B6" s="20">
        <v>2</v>
      </c>
      <c r="C6" s="20">
        <v>2</v>
      </c>
      <c r="D6" s="20" t="s">
        <v>85</v>
      </c>
      <c r="E6" s="21" t="s">
        <v>86</v>
      </c>
      <c r="F6" s="21" t="s">
        <v>87</v>
      </c>
      <c r="G6" s="21" t="s">
        <v>70</v>
      </c>
      <c r="H6" s="20" t="s">
        <v>30</v>
      </c>
      <c r="I6" s="20" t="s">
        <v>88</v>
      </c>
      <c r="J6" s="20" t="s">
        <v>72</v>
      </c>
      <c r="K6" s="21" t="s">
        <v>73</v>
      </c>
      <c r="L6" s="21" t="s">
        <v>89</v>
      </c>
      <c r="M6" s="21" t="s">
        <v>90</v>
      </c>
      <c r="N6" s="21" t="s">
        <v>91</v>
      </c>
      <c r="O6" s="21" t="s">
        <v>92</v>
      </c>
      <c r="P6" s="21" t="s">
        <v>93</v>
      </c>
      <c r="Q6" s="21" t="s">
        <v>94</v>
      </c>
      <c r="R6" s="21" t="s">
        <v>95</v>
      </c>
      <c r="S6" s="21" t="s">
        <v>96</v>
      </c>
      <c r="T6" s="21" t="s">
        <v>82</v>
      </c>
      <c r="U6" s="21" t="s">
        <v>83</v>
      </c>
      <c r="V6" s="21" t="s">
        <v>97</v>
      </c>
      <c r="W6" s="20">
        <f t="shared" si="0"/>
        <v>1</v>
      </c>
      <c r="X6" s="20">
        <f t="shared" si="1"/>
        <v>1</v>
      </c>
    </row>
    <row r="7" ht="40" customHeight="1" spans="1:24">
      <c r="A7" s="20" t="s">
        <v>13</v>
      </c>
      <c r="B7" s="20">
        <v>3</v>
      </c>
      <c r="C7" s="20">
        <v>2</v>
      </c>
      <c r="D7" s="20" t="s">
        <v>85</v>
      </c>
      <c r="E7" s="21" t="s">
        <v>98</v>
      </c>
      <c r="F7" s="21" t="s">
        <v>99</v>
      </c>
      <c r="G7" s="21" t="s">
        <v>70</v>
      </c>
      <c r="H7" s="20" t="s">
        <v>30</v>
      </c>
      <c r="I7" s="20" t="s">
        <v>88</v>
      </c>
      <c r="J7" s="20" t="s">
        <v>72</v>
      </c>
      <c r="K7" s="21" t="s">
        <v>73</v>
      </c>
      <c r="L7" s="21" t="s">
        <v>100</v>
      </c>
      <c r="M7" s="21" t="s">
        <v>101</v>
      </c>
      <c r="N7" s="21" t="s">
        <v>102</v>
      </c>
      <c r="O7" s="21" t="s">
        <v>103</v>
      </c>
      <c r="P7" s="21" t="s">
        <v>104</v>
      </c>
      <c r="Q7" s="21" t="s">
        <v>105</v>
      </c>
      <c r="R7" s="21" t="s">
        <v>106</v>
      </c>
      <c r="S7" s="21" t="s">
        <v>107</v>
      </c>
      <c r="T7" s="21" t="s">
        <v>108</v>
      </c>
      <c r="U7" s="21" t="s">
        <v>83</v>
      </c>
      <c r="V7" s="21" t="s">
        <v>109</v>
      </c>
      <c r="W7" s="20">
        <f t="shared" si="0"/>
        <v>1</v>
      </c>
      <c r="X7" s="20">
        <f t="shared" si="1"/>
        <v>1</v>
      </c>
    </row>
    <row r="8" ht="40" customHeight="1" spans="1:24">
      <c r="A8" s="20" t="s">
        <v>13</v>
      </c>
      <c r="B8" s="20">
        <v>4</v>
      </c>
      <c r="C8" s="20">
        <v>2</v>
      </c>
      <c r="D8" s="20" t="s">
        <v>85</v>
      </c>
      <c r="E8" s="21" t="s">
        <v>110</v>
      </c>
      <c r="F8" s="21" t="s">
        <v>111</v>
      </c>
      <c r="G8" s="21" t="s">
        <v>70</v>
      </c>
      <c r="H8" s="20" t="s">
        <v>30</v>
      </c>
      <c r="I8" s="20" t="s">
        <v>88</v>
      </c>
      <c r="J8" s="20" t="s">
        <v>112</v>
      </c>
      <c r="K8" s="21" t="s">
        <v>73</v>
      </c>
      <c r="L8" s="21" t="s">
        <v>113</v>
      </c>
      <c r="M8" s="21" t="s">
        <v>114</v>
      </c>
      <c r="N8" s="21" t="s">
        <v>115</v>
      </c>
      <c r="O8" s="21" t="s">
        <v>116</v>
      </c>
      <c r="P8" s="21" t="s">
        <v>117</v>
      </c>
      <c r="Q8" s="21" t="s">
        <v>118</v>
      </c>
      <c r="R8" s="21" t="s">
        <v>119</v>
      </c>
      <c r="S8" s="21" t="s">
        <v>120</v>
      </c>
      <c r="T8" s="21" t="s">
        <v>121</v>
      </c>
      <c r="U8" s="21" t="s">
        <v>122</v>
      </c>
      <c r="V8" s="21" t="s">
        <v>123</v>
      </c>
      <c r="W8" s="20">
        <f t="shared" si="0"/>
        <v>1</v>
      </c>
      <c r="X8" s="20">
        <f t="shared" si="1"/>
        <v>1</v>
      </c>
    </row>
    <row r="9" ht="44" customHeight="1" spans="1:24">
      <c r="A9" s="12" t="s">
        <v>13</v>
      </c>
      <c r="B9" s="12">
        <v>5</v>
      </c>
      <c r="C9" s="12">
        <v>1</v>
      </c>
      <c r="D9" s="12" t="s">
        <v>68</v>
      </c>
      <c r="E9" s="13" t="s">
        <v>124</v>
      </c>
      <c r="F9" s="13" t="s">
        <v>125</v>
      </c>
      <c r="G9" s="13" t="s">
        <v>30</v>
      </c>
      <c r="H9" s="12" t="s">
        <v>30</v>
      </c>
      <c r="I9" s="12" t="s">
        <v>71</v>
      </c>
      <c r="J9" s="12" t="s">
        <v>72</v>
      </c>
      <c r="K9" s="13" t="s">
        <v>73</v>
      </c>
      <c r="L9" s="13" t="s">
        <v>126</v>
      </c>
      <c r="M9" s="13" t="s">
        <v>127</v>
      </c>
      <c r="N9" s="13" t="s">
        <v>128</v>
      </c>
      <c r="O9" s="13" t="s">
        <v>77</v>
      </c>
      <c r="P9" s="13" t="s">
        <v>129</v>
      </c>
      <c r="Q9" s="13" t="s">
        <v>79</v>
      </c>
      <c r="R9" s="13" t="s">
        <v>80</v>
      </c>
      <c r="S9" s="13" t="s">
        <v>81</v>
      </c>
      <c r="T9" s="13" t="s">
        <v>82</v>
      </c>
      <c r="U9" s="13" t="s">
        <v>83</v>
      </c>
      <c r="V9" s="13" t="s">
        <v>130</v>
      </c>
      <c r="W9" s="12">
        <f t="shared" si="0"/>
        <v>1</v>
      </c>
      <c r="X9" s="12">
        <f t="shared" si="1"/>
        <v>1</v>
      </c>
    </row>
    <row r="10" ht="40" customHeight="1" spans="1:24">
      <c r="A10" s="20" t="s">
        <v>13</v>
      </c>
      <c r="B10" s="20">
        <v>6</v>
      </c>
      <c r="C10" s="20">
        <v>2</v>
      </c>
      <c r="D10" s="20" t="s">
        <v>85</v>
      </c>
      <c r="E10" s="21" t="s">
        <v>131</v>
      </c>
      <c r="F10" s="21" t="s">
        <v>132</v>
      </c>
      <c r="G10" s="21" t="s">
        <v>125</v>
      </c>
      <c r="H10" s="20" t="s">
        <v>30</v>
      </c>
      <c r="I10" s="20" t="s">
        <v>88</v>
      </c>
      <c r="J10" s="20" t="s">
        <v>72</v>
      </c>
      <c r="K10" s="21" t="s">
        <v>73</v>
      </c>
      <c r="L10" s="21" t="s">
        <v>133</v>
      </c>
      <c r="M10" s="21" t="s">
        <v>134</v>
      </c>
      <c r="N10" s="21" t="s">
        <v>135</v>
      </c>
      <c r="O10" s="21" t="s">
        <v>92</v>
      </c>
      <c r="P10" s="21" t="s">
        <v>93</v>
      </c>
      <c r="Q10" s="21" t="s">
        <v>94</v>
      </c>
      <c r="R10" s="21" t="s">
        <v>95</v>
      </c>
      <c r="S10" s="21" t="s">
        <v>96</v>
      </c>
      <c r="T10" s="21" t="s">
        <v>82</v>
      </c>
      <c r="U10" s="21" t="s">
        <v>83</v>
      </c>
      <c r="V10" s="21" t="s">
        <v>136</v>
      </c>
      <c r="W10" s="20">
        <f t="shared" si="0"/>
        <v>1</v>
      </c>
      <c r="X10" s="20">
        <f t="shared" si="1"/>
        <v>1</v>
      </c>
    </row>
    <row r="11" ht="40" customHeight="1" spans="1:24">
      <c r="A11" s="20" t="s">
        <v>13</v>
      </c>
      <c r="B11" s="20">
        <v>7</v>
      </c>
      <c r="C11" s="20">
        <v>2</v>
      </c>
      <c r="D11" s="20" t="s">
        <v>85</v>
      </c>
      <c r="E11" s="21" t="s">
        <v>137</v>
      </c>
      <c r="F11" s="21" t="s">
        <v>138</v>
      </c>
      <c r="G11" s="21" t="s">
        <v>125</v>
      </c>
      <c r="H11" s="20" t="s">
        <v>30</v>
      </c>
      <c r="I11" s="20" t="s">
        <v>88</v>
      </c>
      <c r="J11" s="20" t="s">
        <v>72</v>
      </c>
      <c r="K11" s="21" t="s">
        <v>73</v>
      </c>
      <c r="L11" s="21" t="s">
        <v>139</v>
      </c>
      <c r="M11" s="21" t="s">
        <v>140</v>
      </c>
      <c r="N11" s="21" t="s">
        <v>141</v>
      </c>
      <c r="O11" s="21" t="s">
        <v>103</v>
      </c>
      <c r="P11" s="21" t="s">
        <v>104</v>
      </c>
      <c r="Q11" s="21" t="s">
        <v>105</v>
      </c>
      <c r="R11" s="21" t="s">
        <v>142</v>
      </c>
      <c r="S11" s="21" t="s">
        <v>107</v>
      </c>
      <c r="T11" s="21" t="s">
        <v>108</v>
      </c>
      <c r="U11" s="21" t="s">
        <v>83</v>
      </c>
      <c r="V11" s="21" t="s">
        <v>109</v>
      </c>
      <c r="W11" s="20">
        <f t="shared" si="0"/>
        <v>1</v>
      </c>
      <c r="X11" s="20">
        <f t="shared" si="1"/>
        <v>1</v>
      </c>
    </row>
    <row r="12" ht="40" customHeight="1" spans="1:24">
      <c r="A12" s="20" t="s">
        <v>13</v>
      </c>
      <c r="B12" s="20">
        <v>8</v>
      </c>
      <c r="C12" s="20">
        <v>2</v>
      </c>
      <c r="D12" s="20" t="s">
        <v>85</v>
      </c>
      <c r="E12" s="21" t="s">
        <v>143</v>
      </c>
      <c r="F12" s="21" t="s">
        <v>144</v>
      </c>
      <c r="G12" s="21" t="s">
        <v>125</v>
      </c>
      <c r="H12" s="20" t="s">
        <v>30</v>
      </c>
      <c r="I12" s="20" t="s">
        <v>88</v>
      </c>
      <c r="J12" s="20" t="s">
        <v>112</v>
      </c>
      <c r="K12" s="21" t="s">
        <v>73</v>
      </c>
      <c r="L12" s="21" t="s">
        <v>113</v>
      </c>
      <c r="M12" s="21" t="s">
        <v>145</v>
      </c>
      <c r="N12" s="21" t="s">
        <v>146</v>
      </c>
      <c r="O12" s="21" t="s">
        <v>116</v>
      </c>
      <c r="P12" s="21" t="s">
        <v>117</v>
      </c>
      <c r="Q12" s="21" t="s">
        <v>118</v>
      </c>
      <c r="R12" s="21" t="s">
        <v>119</v>
      </c>
      <c r="S12" s="21" t="s">
        <v>120</v>
      </c>
      <c r="T12" s="21" t="s">
        <v>121</v>
      </c>
      <c r="U12" s="21" t="s">
        <v>122</v>
      </c>
      <c r="V12" s="21" t="s">
        <v>123</v>
      </c>
      <c r="W12" s="20">
        <f t="shared" si="0"/>
        <v>1</v>
      </c>
      <c r="X12" s="20">
        <f t="shared" si="1"/>
        <v>1</v>
      </c>
    </row>
    <row r="13" ht="44" customHeight="1" spans="1:24">
      <c r="A13" s="12" t="s">
        <v>13</v>
      </c>
      <c r="B13" s="12">
        <v>9</v>
      </c>
      <c r="C13" s="12">
        <v>1</v>
      </c>
      <c r="D13" s="12" t="s">
        <v>68</v>
      </c>
      <c r="E13" s="13" t="s">
        <v>147</v>
      </c>
      <c r="F13" s="13" t="s">
        <v>148</v>
      </c>
      <c r="G13" s="13" t="s">
        <v>30</v>
      </c>
      <c r="H13" s="12" t="s">
        <v>30</v>
      </c>
      <c r="I13" s="12" t="s">
        <v>71</v>
      </c>
      <c r="J13" s="12" t="s">
        <v>72</v>
      </c>
      <c r="K13" s="13" t="s">
        <v>73</v>
      </c>
      <c r="L13" s="13" t="s">
        <v>149</v>
      </c>
      <c r="M13" s="13" t="s">
        <v>150</v>
      </c>
      <c r="N13" s="13" t="s">
        <v>151</v>
      </c>
      <c r="O13" s="13" t="s">
        <v>152</v>
      </c>
      <c r="P13" s="13" t="s">
        <v>153</v>
      </c>
      <c r="Q13" s="13" t="s">
        <v>154</v>
      </c>
      <c r="R13" s="13" t="s">
        <v>155</v>
      </c>
      <c r="S13" s="13" t="s">
        <v>81</v>
      </c>
      <c r="T13" s="13" t="s">
        <v>82</v>
      </c>
      <c r="U13" s="13" t="s">
        <v>83</v>
      </c>
      <c r="V13" s="13" t="s">
        <v>130</v>
      </c>
      <c r="W13" s="12">
        <f t="shared" si="0"/>
        <v>1</v>
      </c>
      <c r="X13" s="12">
        <f t="shared" si="1"/>
        <v>1</v>
      </c>
    </row>
    <row r="14" ht="40" customHeight="1" spans="1:24">
      <c r="A14" s="20" t="s">
        <v>13</v>
      </c>
      <c r="B14" s="20">
        <v>10</v>
      </c>
      <c r="C14" s="20">
        <v>2</v>
      </c>
      <c r="D14" s="20" t="s">
        <v>85</v>
      </c>
      <c r="E14" s="21" t="s">
        <v>156</v>
      </c>
      <c r="F14" s="21" t="s">
        <v>157</v>
      </c>
      <c r="G14" s="21" t="s">
        <v>148</v>
      </c>
      <c r="H14" s="20" t="s">
        <v>30</v>
      </c>
      <c r="I14" s="20" t="s">
        <v>88</v>
      </c>
      <c r="J14" s="20" t="s">
        <v>72</v>
      </c>
      <c r="K14" s="21" t="s">
        <v>73</v>
      </c>
      <c r="L14" s="21" t="s">
        <v>149</v>
      </c>
      <c r="M14" s="21" t="s">
        <v>158</v>
      </c>
      <c r="N14" s="21" t="s">
        <v>159</v>
      </c>
      <c r="O14" s="21" t="s">
        <v>160</v>
      </c>
      <c r="P14" s="21" t="s">
        <v>93</v>
      </c>
      <c r="Q14" s="21" t="s">
        <v>154</v>
      </c>
      <c r="R14" s="21" t="s">
        <v>95</v>
      </c>
      <c r="S14" s="21" t="s">
        <v>161</v>
      </c>
      <c r="T14" s="21" t="s">
        <v>82</v>
      </c>
      <c r="U14" s="21" t="s">
        <v>83</v>
      </c>
      <c r="V14" s="21" t="s">
        <v>162</v>
      </c>
      <c r="W14" s="20">
        <f t="shared" si="0"/>
        <v>1</v>
      </c>
      <c r="X14" s="20">
        <f t="shared" si="1"/>
        <v>1</v>
      </c>
    </row>
    <row r="15" ht="44" customHeight="1" spans="1:24">
      <c r="A15" s="14" t="s">
        <v>13</v>
      </c>
      <c r="B15" s="14">
        <v>11</v>
      </c>
      <c r="C15" s="14">
        <v>1</v>
      </c>
      <c r="D15" s="14" t="s">
        <v>68</v>
      </c>
      <c r="E15" s="15" t="s">
        <v>163</v>
      </c>
      <c r="F15" s="15" t="s">
        <v>164</v>
      </c>
      <c r="G15" s="15" t="s">
        <v>30</v>
      </c>
      <c r="H15" s="14" t="s">
        <v>30</v>
      </c>
      <c r="I15" s="14" t="s">
        <v>71</v>
      </c>
      <c r="J15" s="14" t="s">
        <v>112</v>
      </c>
      <c r="K15" s="15" t="s">
        <v>165</v>
      </c>
      <c r="L15" s="15" t="s">
        <v>166</v>
      </c>
      <c r="M15" s="15" t="s">
        <v>167</v>
      </c>
      <c r="N15" s="15" t="s">
        <v>168</v>
      </c>
      <c r="O15" s="15" t="s">
        <v>169</v>
      </c>
      <c r="P15" s="15" t="s">
        <v>170</v>
      </c>
      <c r="Q15" s="15" t="s">
        <v>171</v>
      </c>
      <c r="R15" s="15" t="s">
        <v>172</v>
      </c>
      <c r="S15" s="15" t="s">
        <v>173</v>
      </c>
      <c r="T15" s="15" t="s">
        <v>82</v>
      </c>
      <c r="U15" s="15" t="s">
        <v>174</v>
      </c>
      <c r="V15" s="15" t="s">
        <v>175</v>
      </c>
      <c r="W15" s="14">
        <f t="shared" si="0"/>
        <v>1</v>
      </c>
      <c r="X15" s="14">
        <f t="shared" si="1"/>
        <v>0</v>
      </c>
    </row>
    <row r="16" ht="40" customHeight="1" spans="1:24">
      <c r="A16" s="22" t="s">
        <v>13</v>
      </c>
      <c r="B16" s="22">
        <v>12</v>
      </c>
      <c r="C16" s="22">
        <v>2</v>
      </c>
      <c r="D16" s="22" t="s">
        <v>85</v>
      </c>
      <c r="E16" s="23" t="s">
        <v>176</v>
      </c>
      <c r="F16" s="23" t="s">
        <v>177</v>
      </c>
      <c r="G16" s="23" t="s">
        <v>164</v>
      </c>
      <c r="H16" s="22" t="s">
        <v>30</v>
      </c>
      <c r="I16" s="22" t="s">
        <v>88</v>
      </c>
      <c r="J16" s="22" t="s">
        <v>112</v>
      </c>
      <c r="K16" s="23" t="s">
        <v>178</v>
      </c>
      <c r="L16" s="23" t="s">
        <v>166</v>
      </c>
      <c r="M16" s="23" t="s">
        <v>179</v>
      </c>
      <c r="N16" s="23" t="s">
        <v>180</v>
      </c>
      <c r="O16" s="23" t="s">
        <v>181</v>
      </c>
      <c r="P16" s="23" t="s">
        <v>182</v>
      </c>
      <c r="Q16" s="23" t="s">
        <v>183</v>
      </c>
      <c r="R16" s="23" t="s">
        <v>184</v>
      </c>
      <c r="S16" s="23" t="s">
        <v>173</v>
      </c>
      <c r="T16" s="23" t="s">
        <v>185</v>
      </c>
      <c r="U16" s="23" t="s">
        <v>174</v>
      </c>
      <c r="V16" s="23" t="s">
        <v>186</v>
      </c>
      <c r="W16" s="22">
        <f t="shared" si="0"/>
        <v>1</v>
      </c>
      <c r="X16" s="22">
        <f t="shared" si="1"/>
        <v>0</v>
      </c>
    </row>
    <row r="17" ht="44" customHeight="1" spans="1:24">
      <c r="A17" s="12" t="s">
        <v>13</v>
      </c>
      <c r="B17" s="12">
        <v>13</v>
      </c>
      <c r="C17" s="12">
        <v>1</v>
      </c>
      <c r="D17" s="12" t="s">
        <v>68</v>
      </c>
      <c r="E17" s="13" t="s">
        <v>187</v>
      </c>
      <c r="F17" s="13" t="s">
        <v>188</v>
      </c>
      <c r="G17" s="13" t="s">
        <v>30</v>
      </c>
      <c r="H17" s="12" t="s">
        <v>30</v>
      </c>
      <c r="I17" s="12" t="s">
        <v>71</v>
      </c>
      <c r="J17" s="12" t="s">
        <v>112</v>
      </c>
      <c r="K17" s="13" t="s">
        <v>73</v>
      </c>
      <c r="L17" s="13" t="s">
        <v>189</v>
      </c>
      <c r="M17" s="13" t="s">
        <v>190</v>
      </c>
      <c r="N17" s="13" t="s">
        <v>191</v>
      </c>
      <c r="O17" s="13" t="s">
        <v>192</v>
      </c>
      <c r="P17" s="13" t="s">
        <v>170</v>
      </c>
      <c r="Q17" s="13" t="s">
        <v>193</v>
      </c>
      <c r="R17" s="13" t="s">
        <v>172</v>
      </c>
      <c r="S17" s="13" t="s">
        <v>194</v>
      </c>
      <c r="T17" s="13" t="s">
        <v>82</v>
      </c>
      <c r="U17" s="13" t="s">
        <v>83</v>
      </c>
      <c r="V17" s="13" t="s">
        <v>195</v>
      </c>
      <c r="W17" s="12">
        <f t="shared" si="0"/>
        <v>1</v>
      </c>
      <c r="X17" s="12">
        <f t="shared" si="1"/>
        <v>1</v>
      </c>
    </row>
    <row r="18" ht="40" customHeight="1" spans="1:24">
      <c r="A18" s="20" t="s">
        <v>13</v>
      </c>
      <c r="B18" s="20">
        <v>14</v>
      </c>
      <c r="C18" s="20">
        <v>2</v>
      </c>
      <c r="D18" s="20" t="s">
        <v>85</v>
      </c>
      <c r="E18" s="21" t="s">
        <v>196</v>
      </c>
      <c r="F18" s="21" t="s">
        <v>197</v>
      </c>
      <c r="G18" s="21" t="s">
        <v>188</v>
      </c>
      <c r="H18" s="20" t="s">
        <v>30</v>
      </c>
      <c r="I18" s="20" t="s">
        <v>88</v>
      </c>
      <c r="J18" s="20" t="s">
        <v>112</v>
      </c>
      <c r="K18" s="21" t="s">
        <v>73</v>
      </c>
      <c r="L18" s="21" t="s">
        <v>189</v>
      </c>
      <c r="M18" s="21" t="s">
        <v>198</v>
      </c>
      <c r="N18" s="21" t="s">
        <v>199</v>
      </c>
      <c r="O18" s="21" t="s">
        <v>181</v>
      </c>
      <c r="P18" s="21" t="s">
        <v>200</v>
      </c>
      <c r="Q18" s="21" t="s">
        <v>193</v>
      </c>
      <c r="R18" s="21" t="s">
        <v>184</v>
      </c>
      <c r="S18" s="21" t="s">
        <v>194</v>
      </c>
      <c r="T18" s="21" t="s">
        <v>185</v>
      </c>
      <c r="U18" s="21" t="s">
        <v>83</v>
      </c>
      <c r="V18" s="21" t="s">
        <v>201</v>
      </c>
      <c r="W18" s="20">
        <f t="shared" si="0"/>
        <v>1</v>
      </c>
      <c r="X18" s="20">
        <f t="shared" si="1"/>
        <v>1</v>
      </c>
    </row>
    <row r="19" ht="44" customHeight="1" spans="1:24">
      <c r="A19" s="14" t="s">
        <v>13</v>
      </c>
      <c r="B19" s="14">
        <v>15</v>
      </c>
      <c r="C19" s="14">
        <v>1</v>
      </c>
      <c r="D19" s="14" t="s">
        <v>68</v>
      </c>
      <c r="E19" s="15" t="s">
        <v>202</v>
      </c>
      <c r="F19" s="15" t="s">
        <v>203</v>
      </c>
      <c r="G19" s="15" t="s">
        <v>30</v>
      </c>
      <c r="H19" s="14" t="s">
        <v>30</v>
      </c>
      <c r="I19" s="14" t="s">
        <v>71</v>
      </c>
      <c r="J19" s="14" t="s">
        <v>112</v>
      </c>
      <c r="K19" s="15" t="s">
        <v>204</v>
      </c>
      <c r="L19" s="15" t="s">
        <v>166</v>
      </c>
      <c r="M19" s="15" t="s">
        <v>205</v>
      </c>
      <c r="N19" s="15" t="s">
        <v>206</v>
      </c>
      <c r="O19" s="15" t="s">
        <v>207</v>
      </c>
      <c r="P19" s="15" t="s">
        <v>208</v>
      </c>
      <c r="Q19" s="15" t="s">
        <v>171</v>
      </c>
      <c r="R19" s="15" t="s">
        <v>172</v>
      </c>
      <c r="S19" s="15" t="s">
        <v>209</v>
      </c>
      <c r="T19" s="15" t="s">
        <v>82</v>
      </c>
      <c r="U19" s="15" t="s">
        <v>174</v>
      </c>
      <c r="V19" s="15" t="s">
        <v>175</v>
      </c>
      <c r="W19" s="14">
        <f t="shared" si="0"/>
        <v>1</v>
      </c>
      <c r="X19" s="14">
        <f t="shared" si="1"/>
        <v>0</v>
      </c>
    </row>
    <row r="20" ht="40" customHeight="1" spans="1:24">
      <c r="A20" s="22" t="s">
        <v>13</v>
      </c>
      <c r="B20" s="22">
        <v>16</v>
      </c>
      <c r="C20" s="22">
        <v>2</v>
      </c>
      <c r="D20" s="22" t="s">
        <v>85</v>
      </c>
      <c r="E20" s="23" t="s">
        <v>210</v>
      </c>
      <c r="F20" s="23" t="s">
        <v>211</v>
      </c>
      <c r="G20" s="23" t="s">
        <v>203</v>
      </c>
      <c r="H20" s="22" t="s">
        <v>30</v>
      </c>
      <c r="I20" s="22" t="s">
        <v>88</v>
      </c>
      <c r="J20" s="22" t="s">
        <v>112</v>
      </c>
      <c r="K20" s="23" t="s">
        <v>212</v>
      </c>
      <c r="L20" s="23" t="s">
        <v>166</v>
      </c>
      <c r="M20" s="23" t="s">
        <v>213</v>
      </c>
      <c r="N20" s="23" t="s">
        <v>214</v>
      </c>
      <c r="O20" s="23" t="s">
        <v>181</v>
      </c>
      <c r="P20" s="23" t="s">
        <v>215</v>
      </c>
      <c r="Q20" s="23" t="s">
        <v>183</v>
      </c>
      <c r="R20" s="23" t="s">
        <v>184</v>
      </c>
      <c r="S20" s="23" t="s">
        <v>209</v>
      </c>
      <c r="T20" s="23" t="s">
        <v>185</v>
      </c>
      <c r="U20" s="23" t="s">
        <v>174</v>
      </c>
      <c r="V20" s="23" t="s">
        <v>186</v>
      </c>
      <c r="W20" s="22">
        <f t="shared" si="0"/>
        <v>1</v>
      </c>
      <c r="X20" s="22">
        <f t="shared" si="1"/>
        <v>0</v>
      </c>
    </row>
    <row r="21" ht="44" customHeight="1" spans="1:24">
      <c r="A21" s="12" t="s">
        <v>13</v>
      </c>
      <c r="B21" s="12">
        <v>17</v>
      </c>
      <c r="C21" s="12">
        <v>1</v>
      </c>
      <c r="D21" s="12" t="s">
        <v>68</v>
      </c>
      <c r="E21" s="13" t="s">
        <v>216</v>
      </c>
      <c r="F21" s="13" t="s">
        <v>217</v>
      </c>
      <c r="G21" s="13" t="s">
        <v>30</v>
      </c>
      <c r="H21" s="12" t="s">
        <v>30</v>
      </c>
      <c r="I21" s="12" t="s">
        <v>71</v>
      </c>
      <c r="J21" s="12" t="s">
        <v>112</v>
      </c>
      <c r="K21" s="13" t="s">
        <v>218</v>
      </c>
      <c r="L21" s="13" t="s">
        <v>219</v>
      </c>
      <c r="M21" s="13" t="s">
        <v>220</v>
      </c>
      <c r="N21" s="13" t="s">
        <v>221</v>
      </c>
      <c r="O21" s="13" t="s">
        <v>222</v>
      </c>
      <c r="P21" s="13" t="s">
        <v>223</v>
      </c>
      <c r="Q21" s="13" t="s">
        <v>224</v>
      </c>
      <c r="R21" s="13" t="s">
        <v>225</v>
      </c>
      <c r="S21" s="13" t="s">
        <v>226</v>
      </c>
      <c r="T21" s="13" t="s">
        <v>227</v>
      </c>
      <c r="U21" s="13" t="s">
        <v>228</v>
      </c>
      <c r="V21" s="13" t="s">
        <v>229</v>
      </c>
      <c r="W21" s="12">
        <f t="shared" si="0"/>
        <v>1</v>
      </c>
      <c r="X21" s="12">
        <f t="shared" si="1"/>
        <v>1</v>
      </c>
    </row>
    <row r="22" ht="40" customHeight="1" spans="1:24">
      <c r="A22" s="20" t="s">
        <v>13</v>
      </c>
      <c r="B22" s="20">
        <v>18</v>
      </c>
      <c r="C22" s="20">
        <v>2</v>
      </c>
      <c r="D22" s="20" t="s">
        <v>85</v>
      </c>
      <c r="E22" s="21" t="s">
        <v>230</v>
      </c>
      <c r="F22" s="21" t="s">
        <v>231</v>
      </c>
      <c r="G22" s="21" t="s">
        <v>217</v>
      </c>
      <c r="H22" s="20" t="s">
        <v>30</v>
      </c>
      <c r="I22" s="20" t="s">
        <v>88</v>
      </c>
      <c r="J22" s="20" t="s">
        <v>112</v>
      </c>
      <c r="K22" s="21" t="s">
        <v>232</v>
      </c>
      <c r="L22" s="21" t="s">
        <v>233</v>
      </c>
      <c r="M22" s="21" t="s">
        <v>234</v>
      </c>
      <c r="N22" s="21" t="s">
        <v>235</v>
      </c>
      <c r="O22" s="21" t="s">
        <v>236</v>
      </c>
      <c r="P22" s="21" t="s">
        <v>237</v>
      </c>
      <c r="Q22" s="21" t="s">
        <v>224</v>
      </c>
      <c r="R22" s="21" t="s">
        <v>238</v>
      </c>
      <c r="S22" s="21" t="s">
        <v>239</v>
      </c>
      <c r="T22" s="21" t="s">
        <v>227</v>
      </c>
      <c r="U22" s="21" t="s">
        <v>228</v>
      </c>
      <c r="V22" s="21" t="s">
        <v>229</v>
      </c>
      <c r="W22" s="20">
        <f t="shared" si="0"/>
        <v>1</v>
      </c>
      <c r="X22" s="20">
        <f t="shared" si="1"/>
        <v>1</v>
      </c>
    </row>
    <row r="23" ht="44" customHeight="1" spans="1:24">
      <c r="A23" s="12" t="s">
        <v>13</v>
      </c>
      <c r="B23" s="12">
        <v>19</v>
      </c>
      <c r="C23" s="12">
        <v>1</v>
      </c>
      <c r="D23" s="12" t="s">
        <v>68</v>
      </c>
      <c r="E23" s="13" t="s">
        <v>240</v>
      </c>
      <c r="F23" s="13" t="s">
        <v>241</v>
      </c>
      <c r="G23" s="13" t="s">
        <v>30</v>
      </c>
      <c r="H23" s="12" t="s">
        <v>30</v>
      </c>
      <c r="I23" s="12" t="s">
        <v>71</v>
      </c>
      <c r="J23" s="12" t="s">
        <v>112</v>
      </c>
      <c r="K23" s="13" t="s">
        <v>242</v>
      </c>
      <c r="L23" s="13" t="s">
        <v>243</v>
      </c>
      <c r="M23" s="13" t="s">
        <v>244</v>
      </c>
      <c r="N23" s="13" t="s">
        <v>245</v>
      </c>
      <c r="O23" s="13" t="s">
        <v>246</v>
      </c>
      <c r="P23" s="13" t="s">
        <v>223</v>
      </c>
      <c r="Q23" s="13" t="s">
        <v>224</v>
      </c>
      <c r="R23" s="13" t="s">
        <v>247</v>
      </c>
      <c r="S23" s="13" t="s">
        <v>248</v>
      </c>
      <c r="T23" s="13" t="s">
        <v>227</v>
      </c>
      <c r="U23" s="13" t="s">
        <v>228</v>
      </c>
      <c r="V23" s="13" t="s">
        <v>229</v>
      </c>
      <c r="W23" s="12">
        <f t="shared" si="0"/>
        <v>1</v>
      </c>
      <c r="X23" s="12">
        <f t="shared" si="1"/>
        <v>1</v>
      </c>
    </row>
    <row r="24" ht="40" customHeight="1" spans="1:24">
      <c r="A24" s="20" t="s">
        <v>13</v>
      </c>
      <c r="B24" s="20">
        <v>20</v>
      </c>
      <c r="C24" s="20">
        <v>2</v>
      </c>
      <c r="D24" s="20" t="s">
        <v>85</v>
      </c>
      <c r="E24" s="21" t="s">
        <v>249</v>
      </c>
      <c r="F24" s="21" t="s">
        <v>250</v>
      </c>
      <c r="G24" s="21" t="s">
        <v>241</v>
      </c>
      <c r="H24" s="20" t="s">
        <v>30</v>
      </c>
      <c r="I24" s="20" t="s">
        <v>88</v>
      </c>
      <c r="J24" s="20" t="s">
        <v>112</v>
      </c>
      <c r="K24" s="21" t="s">
        <v>251</v>
      </c>
      <c r="L24" s="21" t="s">
        <v>252</v>
      </c>
      <c r="M24" s="21" t="s">
        <v>253</v>
      </c>
      <c r="N24" s="21" t="s">
        <v>254</v>
      </c>
      <c r="O24" s="21" t="s">
        <v>255</v>
      </c>
      <c r="P24" s="21" t="s">
        <v>237</v>
      </c>
      <c r="Q24" s="21" t="s">
        <v>224</v>
      </c>
      <c r="R24" s="21" t="s">
        <v>256</v>
      </c>
      <c r="S24" s="21" t="s">
        <v>257</v>
      </c>
      <c r="T24" s="21" t="s">
        <v>227</v>
      </c>
      <c r="U24" s="21" t="s">
        <v>228</v>
      </c>
      <c r="V24" s="21" t="s">
        <v>229</v>
      </c>
      <c r="W24" s="20">
        <f t="shared" si="0"/>
        <v>1</v>
      </c>
      <c r="X24" s="20">
        <f t="shared" si="1"/>
        <v>1</v>
      </c>
    </row>
    <row r="25" ht="44" customHeight="1" spans="1:24">
      <c r="A25" s="12" t="s">
        <v>13</v>
      </c>
      <c r="B25" s="12">
        <v>21</v>
      </c>
      <c r="C25" s="12">
        <v>1</v>
      </c>
      <c r="D25" s="12" t="s">
        <v>68</v>
      </c>
      <c r="E25" s="13" t="s">
        <v>258</v>
      </c>
      <c r="F25" s="13" t="s">
        <v>259</v>
      </c>
      <c r="G25" s="13" t="s">
        <v>30</v>
      </c>
      <c r="H25" s="12" t="s">
        <v>30</v>
      </c>
      <c r="I25" s="12" t="s">
        <v>71</v>
      </c>
      <c r="J25" s="12" t="s">
        <v>112</v>
      </c>
      <c r="K25" s="13" t="s">
        <v>260</v>
      </c>
      <c r="L25" s="13" t="s">
        <v>261</v>
      </c>
      <c r="M25" s="13" t="s">
        <v>262</v>
      </c>
      <c r="N25" s="13" t="s">
        <v>263</v>
      </c>
      <c r="O25" s="13" t="s">
        <v>264</v>
      </c>
      <c r="P25" s="13" t="s">
        <v>223</v>
      </c>
      <c r="Q25" s="13" t="s">
        <v>224</v>
      </c>
      <c r="R25" s="13" t="s">
        <v>265</v>
      </c>
      <c r="S25" s="13" t="s">
        <v>266</v>
      </c>
      <c r="T25" s="13" t="s">
        <v>227</v>
      </c>
      <c r="U25" s="13" t="s">
        <v>228</v>
      </c>
      <c r="V25" s="13" t="s">
        <v>229</v>
      </c>
      <c r="W25" s="12">
        <f t="shared" si="0"/>
        <v>1</v>
      </c>
      <c r="X25" s="12">
        <f t="shared" si="1"/>
        <v>1</v>
      </c>
    </row>
    <row r="26" ht="40" customHeight="1" spans="1:24">
      <c r="A26" s="20" t="s">
        <v>13</v>
      </c>
      <c r="B26" s="20">
        <v>22</v>
      </c>
      <c r="C26" s="20">
        <v>2</v>
      </c>
      <c r="D26" s="20" t="s">
        <v>85</v>
      </c>
      <c r="E26" s="21" t="s">
        <v>267</v>
      </c>
      <c r="F26" s="21" t="s">
        <v>268</v>
      </c>
      <c r="G26" s="21" t="s">
        <v>259</v>
      </c>
      <c r="H26" s="20" t="s">
        <v>30</v>
      </c>
      <c r="I26" s="20" t="s">
        <v>88</v>
      </c>
      <c r="J26" s="20" t="s">
        <v>112</v>
      </c>
      <c r="K26" s="21" t="s">
        <v>269</v>
      </c>
      <c r="L26" s="21" t="s">
        <v>270</v>
      </c>
      <c r="M26" s="21" t="s">
        <v>271</v>
      </c>
      <c r="N26" s="21" t="s">
        <v>272</v>
      </c>
      <c r="O26" s="21" t="s">
        <v>273</v>
      </c>
      <c r="P26" s="21" t="s">
        <v>237</v>
      </c>
      <c r="Q26" s="21" t="s">
        <v>224</v>
      </c>
      <c r="R26" s="21" t="s">
        <v>274</v>
      </c>
      <c r="S26" s="21" t="s">
        <v>275</v>
      </c>
      <c r="T26" s="21" t="s">
        <v>227</v>
      </c>
      <c r="U26" s="21" t="s">
        <v>228</v>
      </c>
      <c r="V26" s="21" t="s">
        <v>229</v>
      </c>
      <c r="W26" s="20">
        <f t="shared" si="0"/>
        <v>1</v>
      </c>
      <c r="X26" s="20">
        <f t="shared" si="1"/>
        <v>1</v>
      </c>
    </row>
    <row r="27" ht="44" customHeight="1" spans="1:24">
      <c r="A27" s="12" t="s">
        <v>13</v>
      </c>
      <c r="B27" s="12">
        <v>23</v>
      </c>
      <c r="C27" s="12">
        <v>1</v>
      </c>
      <c r="D27" s="12" t="s">
        <v>276</v>
      </c>
      <c r="E27" s="13" t="s">
        <v>277</v>
      </c>
      <c r="F27" s="13" t="s">
        <v>278</v>
      </c>
      <c r="G27" s="13" t="s">
        <v>30</v>
      </c>
      <c r="H27" s="12" t="s">
        <v>30</v>
      </c>
      <c r="I27" s="12" t="s">
        <v>279</v>
      </c>
      <c r="J27" s="12" t="s">
        <v>112</v>
      </c>
      <c r="K27" s="13" t="s">
        <v>73</v>
      </c>
      <c r="L27" s="13" t="s">
        <v>280</v>
      </c>
      <c r="M27" s="13" t="s">
        <v>281</v>
      </c>
      <c r="N27" s="13" t="s">
        <v>282</v>
      </c>
      <c r="O27" s="13" t="s">
        <v>283</v>
      </c>
      <c r="P27" s="13" t="s">
        <v>284</v>
      </c>
      <c r="Q27" s="13" t="s">
        <v>285</v>
      </c>
      <c r="R27" s="13" t="s">
        <v>286</v>
      </c>
      <c r="S27" s="13" t="s">
        <v>287</v>
      </c>
      <c r="T27" s="13" t="s">
        <v>82</v>
      </c>
      <c r="U27" s="13" t="s">
        <v>83</v>
      </c>
      <c r="V27" s="13" t="s">
        <v>288</v>
      </c>
      <c r="W27" s="12">
        <f t="shared" si="0"/>
        <v>1</v>
      </c>
      <c r="X27" s="12">
        <f t="shared" si="1"/>
        <v>1</v>
      </c>
    </row>
    <row r="28" ht="44" customHeight="1" spans="1:24">
      <c r="A28" s="12" t="s">
        <v>13</v>
      </c>
      <c r="B28" s="12">
        <v>24</v>
      </c>
      <c r="C28" s="12">
        <v>1</v>
      </c>
      <c r="D28" s="12" t="s">
        <v>276</v>
      </c>
      <c r="E28" s="13" t="s">
        <v>289</v>
      </c>
      <c r="F28" s="13" t="s">
        <v>290</v>
      </c>
      <c r="G28" s="13" t="s">
        <v>30</v>
      </c>
      <c r="H28" s="12" t="s">
        <v>30</v>
      </c>
      <c r="I28" s="12" t="s">
        <v>279</v>
      </c>
      <c r="J28" s="12" t="s">
        <v>112</v>
      </c>
      <c r="K28" s="13" t="s">
        <v>73</v>
      </c>
      <c r="L28" s="13" t="s">
        <v>291</v>
      </c>
      <c r="M28" s="13" t="s">
        <v>292</v>
      </c>
      <c r="N28" s="13" t="s">
        <v>293</v>
      </c>
      <c r="O28" s="13" t="s">
        <v>294</v>
      </c>
      <c r="P28" s="13" t="s">
        <v>295</v>
      </c>
      <c r="Q28" s="13" t="s">
        <v>296</v>
      </c>
      <c r="R28" s="13" t="s">
        <v>297</v>
      </c>
      <c r="S28" s="13" t="s">
        <v>298</v>
      </c>
      <c r="T28" s="13" t="s">
        <v>299</v>
      </c>
      <c r="U28" s="13" t="s">
        <v>300</v>
      </c>
      <c r="V28" s="13" t="s">
        <v>301</v>
      </c>
      <c r="W28" s="12">
        <f t="shared" si="0"/>
        <v>1</v>
      </c>
      <c r="X28" s="12">
        <f t="shared" si="1"/>
        <v>1</v>
      </c>
    </row>
    <row r="29" ht="44" customHeight="1" spans="1:24">
      <c r="A29" s="12" t="s">
        <v>13</v>
      </c>
      <c r="B29" s="12">
        <v>25</v>
      </c>
      <c r="C29" s="12">
        <v>1</v>
      </c>
      <c r="D29" s="12" t="s">
        <v>276</v>
      </c>
      <c r="E29" s="13" t="s">
        <v>302</v>
      </c>
      <c r="F29" s="13" t="s">
        <v>303</v>
      </c>
      <c r="G29" s="13" t="s">
        <v>30</v>
      </c>
      <c r="H29" s="12" t="s">
        <v>30</v>
      </c>
      <c r="I29" s="12" t="s">
        <v>279</v>
      </c>
      <c r="J29" s="12" t="s">
        <v>112</v>
      </c>
      <c r="K29" s="13" t="s">
        <v>73</v>
      </c>
      <c r="L29" s="13" t="s">
        <v>304</v>
      </c>
      <c r="M29" s="13" t="s">
        <v>305</v>
      </c>
      <c r="N29" s="13" t="s">
        <v>306</v>
      </c>
      <c r="O29" s="13" t="s">
        <v>307</v>
      </c>
      <c r="P29" s="13" t="s">
        <v>308</v>
      </c>
      <c r="Q29" s="13" t="s">
        <v>309</v>
      </c>
      <c r="R29" s="13" t="s">
        <v>310</v>
      </c>
      <c r="S29" s="13" t="s">
        <v>311</v>
      </c>
      <c r="T29" s="13" t="s">
        <v>299</v>
      </c>
      <c r="U29" s="13" t="s">
        <v>300</v>
      </c>
      <c r="V29" s="13" t="s">
        <v>301</v>
      </c>
      <c r="W29" s="12">
        <f t="shared" si="0"/>
        <v>1</v>
      </c>
      <c r="X29" s="12">
        <f t="shared" si="1"/>
        <v>1</v>
      </c>
    </row>
    <row r="30" ht="44" customHeight="1" spans="1:24">
      <c r="A30" s="12" t="s">
        <v>15</v>
      </c>
      <c r="B30" s="12">
        <v>1</v>
      </c>
      <c r="C30" s="12">
        <v>1</v>
      </c>
      <c r="D30" s="12" t="s">
        <v>312</v>
      </c>
      <c r="E30" s="13" t="s">
        <v>313</v>
      </c>
      <c r="F30" s="13" t="s">
        <v>314</v>
      </c>
      <c r="G30" s="13" t="s">
        <v>30</v>
      </c>
      <c r="H30" s="12" t="s">
        <v>30</v>
      </c>
      <c r="I30" s="12" t="s">
        <v>315</v>
      </c>
      <c r="J30" s="12" t="s">
        <v>72</v>
      </c>
      <c r="K30" s="13" t="s">
        <v>73</v>
      </c>
      <c r="L30" s="13" t="s">
        <v>316</v>
      </c>
      <c r="M30" s="13" t="s">
        <v>317</v>
      </c>
      <c r="N30" s="13" t="s">
        <v>318</v>
      </c>
      <c r="O30" s="13" t="s">
        <v>319</v>
      </c>
      <c r="P30" s="13" t="s">
        <v>320</v>
      </c>
      <c r="Q30" s="13" t="s">
        <v>154</v>
      </c>
      <c r="R30" s="13" t="s">
        <v>321</v>
      </c>
      <c r="S30" s="13" t="s">
        <v>81</v>
      </c>
      <c r="T30" s="13" t="s">
        <v>82</v>
      </c>
      <c r="U30" s="13" t="s">
        <v>83</v>
      </c>
      <c r="V30" s="13" t="s">
        <v>322</v>
      </c>
      <c r="W30" s="12">
        <f t="shared" si="0"/>
        <v>1</v>
      </c>
      <c r="X30" s="12">
        <f t="shared" si="1"/>
        <v>1</v>
      </c>
    </row>
    <row r="31" ht="44" customHeight="1" spans="1:24">
      <c r="A31" s="16" t="s">
        <v>15</v>
      </c>
      <c r="B31" s="16">
        <v>2</v>
      </c>
      <c r="C31" s="16">
        <v>2</v>
      </c>
      <c r="D31" s="16" t="s">
        <v>323</v>
      </c>
      <c r="E31" s="17" t="s">
        <v>324</v>
      </c>
      <c r="F31" s="17" t="s">
        <v>325</v>
      </c>
      <c r="G31" s="17" t="s">
        <v>314</v>
      </c>
      <c r="H31" s="16" t="s">
        <v>326</v>
      </c>
      <c r="I31" s="16" t="s">
        <v>327</v>
      </c>
      <c r="J31" s="16" t="s">
        <v>72</v>
      </c>
      <c r="K31" s="17" t="s">
        <v>328</v>
      </c>
      <c r="L31" s="17" t="s">
        <v>316</v>
      </c>
      <c r="M31" s="17" t="s">
        <v>329</v>
      </c>
      <c r="N31" s="17" t="s">
        <v>330</v>
      </c>
      <c r="O31" s="17" t="s">
        <v>326</v>
      </c>
      <c r="P31" s="17" t="s">
        <v>320</v>
      </c>
      <c r="Q31" s="17" t="s">
        <v>154</v>
      </c>
      <c r="R31" s="17" t="s">
        <v>331</v>
      </c>
      <c r="S31" s="17" t="s">
        <v>81</v>
      </c>
      <c r="T31" s="17" t="s">
        <v>332</v>
      </c>
      <c r="U31" s="17" t="s">
        <v>333</v>
      </c>
      <c r="V31" s="17" t="s">
        <v>334</v>
      </c>
      <c r="W31" s="16">
        <f t="shared" si="0"/>
        <v>0</v>
      </c>
      <c r="X31" s="16">
        <f t="shared" si="1"/>
        <v>1</v>
      </c>
    </row>
    <row r="32" ht="36" customHeight="1" spans="1:24">
      <c r="A32" s="18" t="s">
        <v>15</v>
      </c>
      <c r="B32" s="18">
        <v>3</v>
      </c>
      <c r="C32" s="18">
        <v>3</v>
      </c>
      <c r="D32" s="18" t="s">
        <v>335</v>
      </c>
      <c r="E32" s="19" t="s">
        <v>336</v>
      </c>
      <c r="F32" s="19" t="s">
        <v>337</v>
      </c>
      <c r="G32" s="19" t="s">
        <v>325</v>
      </c>
      <c r="H32" s="18" t="s">
        <v>338</v>
      </c>
      <c r="I32" s="18" t="s">
        <v>327</v>
      </c>
      <c r="J32" s="18" t="s">
        <v>72</v>
      </c>
      <c r="K32" s="19" t="s">
        <v>328</v>
      </c>
      <c r="L32" s="19" t="s">
        <v>316</v>
      </c>
      <c r="M32" s="19" t="s">
        <v>339</v>
      </c>
      <c r="N32" s="19" t="s">
        <v>340</v>
      </c>
      <c r="O32" s="19" t="s">
        <v>338</v>
      </c>
      <c r="P32" s="19" t="s">
        <v>320</v>
      </c>
      <c r="Q32" s="19" t="s">
        <v>154</v>
      </c>
      <c r="R32" s="19" t="s">
        <v>341</v>
      </c>
      <c r="S32" s="19" t="s">
        <v>81</v>
      </c>
      <c r="T32" s="19" t="s">
        <v>332</v>
      </c>
      <c r="U32" s="19" t="s">
        <v>333</v>
      </c>
      <c r="V32" s="19" t="s">
        <v>342</v>
      </c>
      <c r="W32" s="18">
        <f t="shared" si="0"/>
        <v>0</v>
      </c>
      <c r="X32" s="18">
        <f t="shared" si="1"/>
        <v>1</v>
      </c>
    </row>
    <row r="33" ht="36" customHeight="1" spans="1:24">
      <c r="A33" s="18" t="s">
        <v>15</v>
      </c>
      <c r="B33" s="18">
        <v>4</v>
      </c>
      <c r="C33" s="18">
        <v>3</v>
      </c>
      <c r="D33" s="18" t="s">
        <v>335</v>
      </c>
      <c r="E33" s="19" t="s">
        <v>343</v>
      </c>
      <c r="F33" s="19" t="s">
        <v>344</v>
      </c>
      <c r="G33" s="19" t="s">
        <v>325</v>
      </c>
      <c r="H33" s="18" t="s">
        <v>345</v>
      </c>
      <c r="I33" s="18" t="s">
        <v>327</v>
      </c>
      <c r="J33" s="18" t="s">
        <v>72</v>
      </c>
      <c r="K33" s="19" t="s">
        <v>328</v>
      </c>
      <c r="L33" s="19" t="s">
        <v>316</v>
      </c>
      <c r="M33" s="19" t="s">
        <v>346</v>
      </c>
      <c r="N33" s="19" t="s">
        <v>340</v>
      </c>
      <c r="O33" s="19" t="s">
        <v>345</v>
      </c>
      <c r="P33" s="19" t="s">
        <v>320</v>
      </c>
      <c r="Q33" s="19" t="s">
        <v>154</v>
      </c>
      <c r="R33" s="19" t="s">
        <v>341</v>
      </c>
      <c r="S33" s="19" t="s">
        <v>81</v>
      </c>
      <c r="T33" s="19" t="s">
        <v>332</v>
      </c>
      <c r="U33" s="19" t="s">
        <v>333</v>
      </c>
      <c r="V33" s="19" t="s">
        <v>342</v>
      </c>
      <c r="W33" s="18">
        <f t="shared" si="0"/>
        <v>0</v>
      </c>
      <c r="X33" s="18">
        <f t="shared" si="1"/>
        <v>1</v>
      </c>
    </row>
    <row r="34" ht="44" customHeight="1" spans="1:24">
      <c r="A34" s="12" t="s">
        <v>15</v>
      </c>
      <c r="B34" s="12">
        <v>5</v>
      </c>
      <c r="C34" s="12">
        <v>1</v>
      </c>
      <c r="D34" s="12" t="s">
        <v>312</v>
      </c>
      <c r="E34" s="13" t="s">
        <v>347</v>
      </c>
      <c r="F34" s="13" t="s">
        <v>348</v>
      </c>
      <c r="G34" s="13" t="s">
        <v>30</v>
      </c>
      <c r="H34" s="12" t="s">
        <v>30</v>
      </c>
      <c r="I34" s="12" t="s">
        <v>315</v>
      </c>
      <c r="J34" s="12" t="s">
        <v>72</v>
      </c>
      <c r="K34" s="13" t="s">
        <v>73</v>
      </c>
      <c r="L34" s="13" t="s">
        <v>349</v>
      </c>
      <c r="M34" s="13" t="s">
        <v>350</v>
      </c>
      <c r="N34" s="13" t="s">
        <v>351</v>
      </c>
      <c r="O34" s="13" t="s">
        <v>352</v>
      </c>
      <c r="P34" s="13" t="s">
        <v>353</v>
      </c>
      <c r="Q34" s="13" t="s">
        <v>354</v>
      </c>
      <c r="R34" s="13" t="s">
        <v>355</v>
      </c>
      <c r="S34" s="13" t="s">
        <v>356</v>
      </c>
      <c r="T34" s="13" t="s">
        <v>299</v>
      </c>
      <c r="U34" s="13" t="s">
        <v>300</v>
      </c>
      <c r="V34" s="13" t="s">
        <v>301</v>
      </c>
      <c r="W34" s="12">
        <f t="shared" si="0"/>
        <v>1</v>
      </c>
      <c r="X34" s="12">
        <f t="shared" si="1"/>
        <v>1</v>
      </c>
    </row>
    <row r="35" ht="44" customHeight="1" spans="1:24">
      <c r="A35" s="16" t="s">
        <v>15</v>
      </c>
      <c r="B35" s="16">
        <v>6</v>
      </c>
      <c r="C35" s="16">
        <v>2</v>
      </c>
      <c r="D35" s="16" t="s">
        <v>323</v>
      </c>
      <c r="E35" s="17" t="s">
        <v>357</v>
      </c>
      <c r="F35" s="17" t="s">
        <v>358</v>
      </c>
      <c r="G35" s="17" t="s">
        <v>348</v>
      </c>
      <c r="H35" s="16" t="s">
        <v>326</v>
      </c>
      <c r="I35" s="16" t="s">
        <v>327</v>
      </c>
      <c r="J35" s="16" t="s">
        <v>72</v>
      </c>
      <c r="K35" s="17" t="s">
        <v>328</v>
      </c>
      <c r="L35" s="17" t="s">
        <v>349</v>
      </c>
      <c r="M35" s="17" t="s">
        <v>329</v>
      </c>
      <c r="N35" s="17" t="s">
        <v>330</v>
      </c>
      <c r="O35" s="17" t="s">
        <v>326</v>
      </c>
      <c r="P35" s="17" t="s">
        <v>353</v>
      </c>
      <c r="Q35" s="17" t="s">
        <v>354</v>
      </c>
      <c r="R35" s="17" t="s">
        <v>331</v>
      </c>
      <c r="S35" s="17" t="s">
        <v>356</v>
      </c>
      <c r="T35" s="17" t="s">
        <v>332</v>
      </c>
      <c r="U35" s="17" t="s">
        <v>333</v>
      </c>
      <c r="V35" s="17" t="s">
        <v>334</v>
      </c>
      <c r="W35" s="16">
        <f t="shared" si="0"/>
        <v>0</v>
      </c>
      <c r="X35" s="16">
        <f t="shared" si="1"/>
        <v>1</v>
      </c>
    </row>
    <row r="36" ht="36" customHeight="1" spans="1:24">
      <c r="A36" s="18" t="s">
        <v>15</v>
      </c>
      <c r="B36" s="18">
        <v>7</v>
      </c>
      <c r="C36" s="18">
        <v>3</v>
      </c>
      <c r="D36" s="18" t="s">
        <v>335</v>
      </c>
      <c r="E36" s="19" t="s">
        <v>359</v>
      </c>
      <c r="F36" s="19" t="s">
        <v>360</v>
      </c>
      <c r="G36" s="19" t="s">
        <v>358</v>
      </c>
      <c r="H36" s="18" t="s">
        <v>361</v>
      </c>
      <c r="I36" s="18" t="s">
        <v>327</v>
      </c>
      <c r="J36" s="18" t="s">
        <v>72</v>
      </c>
      <c r="K36" s="19" t="s">
        <v>328</v>
      </c>
      <c r="L36" s="19" t="s">
        <v>349</v>
      </c>
      <c r="M36" s="19" t="s">
        <v>362</v>
      </c>
      <c r="N36" s="19" t="s">
        <v>363</v>
      </c>
      <c r="O36" s="19" t="s">
        <v>361</v>
      </c>
      <c r="P36" s="19" t="s">
        <v>353</v>
      </c>
      <c r="Q36" s="19" t="s">
        <v>354</v>
      </c>
      <c r="R36" s="19" t="s">
        <v>341</v>
      </c>
      <c r="S36" s="19" t="s">
        <v>356</v>
      </c>
      <c r="T36" s="19" t="s">
        <v>332</v>
      </c>
      <c r="U36" s="19" t="s">
        <v>333</v>
      </c>
      <c r="V36" s="19" t="s">
        <v>342</v>
      </c>
      <c r="W36" s="18">
        <f t="shared" si="0"/>
        <v>0</v>
      </c>
      <c r="X36" s="18">
        <f t="shared" si="1"/>
        <v>1</v>
      </c>
    </row>
    <row r="37" ht="36" customHeight="1" spans="1:24">
      <c r="A37" s="18" t="s">
        <v>15</v>
      </c>
      <c r="B37" s="18">
        <v>8</v>
      </c>
      <c r="C37" s="18">
        <v>3</v>
      </c>
      <c r="D37" s="18" t="s">
        <v>335</v>
      </c>
      <c r="E37" s="19" t="s">
        <v>364</v>
      </c>
      <c r="F37" s="19" t="s">
        <v>365</v>
      </c>
      <c r="G37" s="19" t="s">
        <v>358</v>
      </c>
      <c r="H37" s="18" t="s">
        <v>366</v>
      </c>
      <c r="I37" s="18" t="s">
        <v>327</v>
      </c>
      <c r="J37" s="18" t="s">
        <v>72</v>
      </c>
      <c r="K37" s="19" t="s">
        <v>328</v>
      </c>
      <c r="L37" s="19" t="s">
        <v>349</v>
      </c>
      <c r="M37" s="19" t="s">
        <v>367</v>
      </c>
      <c r="N37" s="19" t="s">
        <v>363</v>
      </c>
      <c r="O37" s="19" t="s">
        <v>366</v>
      </c>
      <c r="P37" s="19" t="s">
        <v>353</v>
      </c>
      <c r="Q37" s="19" t="s">
        <v>354</v>
      </c>
      <c r="R37" s="19" t="s">
        <v>341</v>
      </c>
      <c r="S37" s="19" t="s">
        <v>356</v>
      </c>
      <c r="T37" s="19" t="s">
        <v>332</v>
      </c>
      <c r="U37" s="19" t="s">
        <v>333</v>
      </c>
      <c r="V37" s="19" t="s">
        <v>342</v>
      </c>
      <c r="W37" s="18">
        <f t="shared" si="0"/>
        <v>0</v>
      </c>
      <c r="X37" s="18">
        <f t="shared" si="1"/>
        <v>1</v>
      </c>
    </row>
    <row r="38" ht="44" customHeight="1" spans="1:24">
      <c r="A38" s="12" t="s">
        <v>15</v>
      </c>
      <c r="B38" s="12">
        <v>9</v>
      </c>
      <c r="C38" s="12">
        <v>1</v>
      </c>
      <c r="D38" s="12" t="s">
        <v>312</v>
      </c>
      <c r="E38" s="13" t="s">
        <v>368</v>
      </c>
      <c r="F38" s="13" t="s">
        <v>369</v>
      </c>
      <c r="G38" s="13" t="s">
        <v>30</v>
      </c>
      <c r="H38" s="12" t="s">
        <v>30</v>
      </c>
      <c r="I38" s="12" t="s">
        <v>315</v>
      </c>
      <c r="J38" s="12" t="s">
        <v>72</v>
      </c>
      <c r="K38" s="13" t="s">
        <v>73</v>
      </c>
      <c r="L38" s="13" t="s">
        <v>370</v>
      </c>
      <c r="M38" s="13" t="s">
        <v>371</v>
      </c>
      <c r="N38" s="13" t="s">
        <v>372</v>
      </c>
      <c r="O38" s="13" t="s">
        <v>373</v>
      </c>
      <c r="P38" s="13" t="s">
        <v>374</v>
      </c>
      <c r="Q38" s="13" t="s">
        <v>375</v>
      </c>
      <c r="R38" s="13" t="s">
        <v>376</v>
      </c>
      <c r="S38" s="13" t="s">
        <v>377</v>
      </c>
      <c r="T38" s="13" t="s">
        <v>82</v>
      </c>
      <c r="U38" s="13" t="s">
        <v>83</v>
      </c>
      <c r="V38" s="13" t="s">
        <v>378</v>
      </c>
      <c r="W38" s="12">
        <f t="shared" si="0"/>
        <v>1</v>
      </c>
      <c r="X38" s="12">
        <f t="shared" si="1"/>
        <v>1</v>
      </c>
    </row>
    <row r="39" ht="44" customHeight="1" spans="1:24">
      <c r="A39" s="16" t="s">
        <v>15</v>
      </c>
      <c r="B39" s="16">
        <v>10</v>
      </c>
      <c r="C39" s="16">
        <v>2</v>
      </c>
      <c r="D39" s="16" t="s">
        <v>323</v>
      </c>
      <c r="E39" s="17" t="s">
        <v>379</v>
      </c>
      <c r="F39" s="17" t="s">
        <v>380</v>
      </c>
      <c r="G39" s="17" t="s">
        <v>369</v>
      </c>
      <c r="H39" s="16" t="s">
        <v>326</v>
      </c>
      <c r="I39" s="16" t="s">
        <v>327</v>
      </c>
      <c r="J39" s="16" t="s">
        <v>72</v>
      </c>
      <c r="K39" s="17" t="s">
        <v>328</v>
      </c>
      <c r="L39" s="17" t="s">
        <v>370</v>
      </c>
      <c r="M39" s="17" t="s">
        <v>329</v>
      </c>
      <c r="N39" s="17" t="s">
        <v>330</v>
      </c>
      <c r="O39" s="17" t="s">
        <v>326</v>
      </c>
      <c r="P39" s="17" t="s">
        <v>374</v>
      </c>
      <c r="Q39" s="17" t="s">
        <v>375</v>
      </c>
      <c r="R39" s="17" t="s">
        <v>331</v>
      </c>
      <c r="S39" s="17" t="s">
        <v>377</v>
      </c>
      <c r="T39" s="17" t="s">
        <v>332</v>
      </c>
      <c r="U39" s="17" t="s">
        <v>381</v>
      </c>
      <c r="V39" s="17" t="s">
        <v>334</v>
      </c>
      <c r="W39" s="16">
        <f t="shared" si="0"/>
        <v>0</v>
      </c>
      <c r="X39" s="16">
        <f t="shared" si="1"/>
        <v>1</v>
      </c>
    </row>
    <row r="40" ht="36" customHeight="1" spans="1:24">
      <c r="A40" s="18" t="s">
        <v>15</v>
      </c>
      <c r="B40" s="18">
        <v>11</v>
      </c>
      <c r="C40" s="18">
        <v>3</v>
      </c>
      <c r="D40" s="18" t="s">
        <v>335</v>
      </c>
      <c r="E40" s="19" t="s">
        <v>382</v>
      </c>
      <c r="F40" s="19" t="s">
        <v>383</v>
      </c>
      <c r="G40" s="19" t="s">
        <v>380</v>
      </c>
      <c r="H40" s="18" t="s">
        <v>384</v>
      </c>
      <c r="I40" s="18" t="s">
        <v>327</v>
      </c>
      <c r="J40" s="18" t="s">
        <v>72</v>
      </c>
      <c r="K40" s="19" t="s">
        <v>328</v>
      </c>
      <c r="L40" s="19" t="s">
        <v>370</v>
      </c>
      <c r="M40" s="19" t="s">
        <v>385</v>
      </c>
      <c r="N40" s="19" t="s">
        <v>386</v>
      </c>
      <c r="O40" s="19" t="s">
        <v>384</v>
      </c>
      <c r="P40" s="19" t="s">
        <v>374</v>
      </c>
      <c r="Q40" s="19" t="s">
        <v>375</v>
      </c>
      <c r="R40" s="19" t="s">
        <v>341</v>
      </c>
      <c r="S40" s="19" t="s">
        <v>377</v>
      </c>
      <c r="T40" s="19" t="s">
        <v>332</v>
      </c>
      <c r="U40" s="19" t="s">
        <v>381</v>
      </c>
      <c r="V40" s="19" t="s">
        <v>342</v>
      </c>
      <c r="W40" s="18">
        <f t="shared" si="0"/>
        <v>0</v>
      </c>
      <c r="X40" s="18">
        <f t="shared" si="1"/>
        <v>1</v>
      </c>
    </row>
    <row r="41" ht="36" customHeight="1" spans="1:24">
      <c r="A41" s="18" t="s">
        <v>15</v>
      </c>
      <c r="B41" s="18">
        <v>12</v>
      </c>
      <c r="C41" s="18">
        <v>3</v>
      </c>
      <c r="D41" s="18" t="s">
        <v>335</v>
      </c>
      <c r="E41" s="19" t="s">
        <v>387</v>
      </c>
      <c r="F41" s="19" t="s">
        <v>388</v>
      </c>
      <c r="G41" s="19" t="s">
        <v>380</v>
      </c>
      <c r="H41" s="18" t="s">
        <v>389</v>
      </c>
      <c r="I41" s="18" t="s">
        <v>327</v>
      </c>
      <c r="J41" s="18" t="s">
        <v>72</v>
      </c>
      <c r="K41" s="19" t="s">
        <v>328</v>
      </c>
      <c r="L41" s="19" t="s">
        <v>370</v>
      </c>
      <c r="M41" s="19" t="s">
        <v>390</v>
      </c>
      <c r="N41" s="19" t="s">
        <v>386</v>
      </c>
      <c r="O41" s="19" t="s">
        <v>389</v>
      </c>
      <c r="P41" s="19" t="s">
        <v>374</v>
      </c>
      <c r="Q41" s="19" t="s">
        <v>375</v>
      </c>
      <c r="R41" s="19" t="s">
        <v>341</v>
      </c>
      <c r="S41" s="19" t="s">
        <v>377</v>
      </c>
      <c r="T41" s="19" t="s">
        <v>332</v>
      </c>
      <c r="U41" s="19" t="s">
        <v>381</v>
      </c>
      <c r="V41" s="19" t="s">
        <v>342</v>
      </c>
      <c r="W41" s="18">
        <f t="shared" si="0"/>
        <v>0</v>
      </c>
      <c r="X41" s="18">
        <f t="shared" si="1"/>
        <v>1</v>
      </c>
    </row>
    <row r="42" ht="36" customHeight="1" spans="1:24">
      <c r="A42" s="18" t="s">
        <v>15</v>
      </c>
      <c r="B42" s="18">
        <v>13</v>
      </c>
      <c r="C42" s="18">
        <v>3</v>
      </c>
      <c r="D42" s="18" t="s">
        <v>335</v>
      </c>
      <c r="E42" s="19" t="s">
        <v>391</v>
      </c>
      <c r="F42" s="19" t="s">
        <v>392</v>
      </c>
      <c r="G42" s="19" t="s">
        <v>380</v>
      </c>
      <c r="H42" s="18" t="s">
        <v>393</v>
      </c>
      <c r="I42" s="18" t="s">
        <v>327</v>
      </c>
      <c r="J42" s="18" t="s">
        <v>72</v>
      </c>
      <c r="K42" s="19" t="s">
        <v>328</v>
      </c>
      <c r="L42" s="19" t="s">
        <v>370</v>
      </c>
      <c r="M42" s="19" t="s">
        <v>394</v>
      </c>
      <c r="N42" s="19" t="s">
        <v>386</v>
      </c>
      <c r="O42" s="19" t="s">
        <v>393</v>
      </c>
      <c r="P42" s="19" t="s">
        <v>374</v>
      </c>
      <c r="Q42" s="19" t="s">
        <v>375</v>
      </c>
      <c r="R42" s="19" t="s">
        <v>341</v>
      </c>
      <c r="S42" s="19" t="s">
        <v>377</v>
      </c>
      <c r="T42" s="19" t="s">
        <v>332</v>
      </c>
      <c r="U42" s="19" t="s">
        <v>381</v>
      </c>
      <c r="V42" s="19" t="s">
        <v>342</v>
      </c>
      <c r="W42" s="18">
        <f t="shared" si="0"/>
        <v>0</v>
      </c>
      <c r="X42" s="18">
        <f t="shared" si="1"/>
        <v>1</v>
      </c>
    </row>
    <row r="43" ht="44" customHeight="1" spans="1:24">
      <c r="A43" s="12" t="s">
        <v>15</v>
      </c>
      <c r="B43" s="12">
        <v>14</v>
      </c>
      <c r="C43" s="12">
        <v>1</v>
      </c>
      <c r="D43" s="12" t="s">
        <v>312</v>
      </c>
      <c r="E43" s="13" t="s">
        <v>395</v>
      </c>
      <c r="F43" s="13" t="s">
        <v>396</v>
      </c>
      <c r="G43" s="13" t="s">
        <v>30</v>
      </c>
      <c r="H43" s="12" t="s">
        <v>30</v>
      </c>
      <c r="I43" s="12" t="s">
        <v>315</v>
      </c>
      <c r="J43" s="12" t="s">
        <v>72</v>
      </c>
      <c r="K43" s="13" t="s">
        <v>73</v>
      </c>
      <c r="L43" s="13" t="s">
        <v>397</v>
      </c>
      <c r="M43" s="13" t="s">
        <v>398</v>
      </c>
      <c r="N43" s="13" t="s">
        <v>399</v>
      </c>
      <c r="O43" s="13" t="s">
        <v>400</v>
      </c>
      <c r="P43" s="13" t="s">
        <v>401</v>
      </c>
      <c r="Q43" s="13" t="s">
        <v>402</v>
      </c>
      <c r="R43" s="13" t="s">
        <v>403</v>
      </c>
      <c r="S43" s="13" t="s">
        <v>404</v>
      </c>
      <c r="T43" s="13" t="s">
        <v>405</v>
      </c>
      <c r="U43" s="13" t="s">
        <v>83</v>
      </c>
      <c r="V43" s="13" t="s">
        <v>406</v>
      </c>
      <c r="W43" s="12">
        <f t="shared" si="0"/>
        <v>1</v>
      </c>
      <c r="X43" s="12">
        <f t="shared" si="1"/>
        <v>1</v>
      </c>
    </row>
    <row r="44" ht="44" customHeight="1" spans="1:24">
      <c r="A44" s="16" t="s">
        <v>15</v>
      </c>
      <c r="B44" s="16">
        <v>15</v>
      </c>
      <c r="C44" s="16">
        <v>2</v>
      </c>
      <c r="D44" s="16" t="s">
        <v>323</v>
      </c>
      <c r="E44" s="17" t="s">
        <v>407</v>
      </c>
      <c r="F44" s="17" t="s">
        <v>408</v>
      </c>
      <c r="G44" s="17" t="s">
        <v>396</v>
      </c>
      <c r="H44" s="16" t="s">
        <v>326</v>
      </c>
      <c r="I44" s="16" t="s">
        <v>327</v>
      </c>
      <c r="J44" s="16" t="s">
        <v>72</v>
      </c>
      <c r="K44" s="17" t="s">
        <v>328</v>
      </c>
      <c r="L44" s="17" t="s">
        <v>397</v>
      </c>
      <c r="M44" s="17" t="s">
        <v>329</v>
      </c>
      <c r="N44" s="17" t="s">
        <v>330</v>
      </c>
      <c r="O44" s="17" t="s">
        <v>326</v>
      </c>
      <c r="P44" s="17" t="s">
        <v>401</v>
      </c>
      <c r="Q44" s="17" t="s">
        <v>402</v>
      </c>
      <c r="R44" s="17" t="s">
        <v>331</v>
      </c>
      <c r="S44" s="17" t="s">
        <v>404</v>
      </c>
      <c r="T44" s="17" t="s">
        <v>332</v>
      </c>
      <c r="U44" s="17" t="s">
        <v>409</v>
      </c>
      <c r="V44" s="17" t="s">
        <v>334</v>
      </c>
      <c r="W44" s="16">
        <f t="shared" si="0"/>
        <v>0</v>
      </c>
      <c r="X44" s="16">
        <f t="shared" si="1"/>
        <v>1</v>
      </c>
    </row>
    <row r="45" ht="36" customHeight="1" spans="1:24">
      <c r="A45" s="18" t="s">
        <v>15</v>
      </c>
      <c r="B45" s="18">
        <v>16</v>
      </c>
      <c r="C45" s="18">
        <v>3</v>
      </c>
      <c r="D45" s="18" t="s">
        <v>335</v>
      </c>
      <c r="E45" s="19" t="s">
        <v>410</v>
      </c>
      <c r="F45" s="19" t="s">
        <v>411</v>
      </c>
      <c r="G45" s="19" t="s">
        <v>408</v>
      </c>
      <c r="H45" s="18" t="s">
        <v>412</v>
      </c>
      <c r="I45" s="18" t="s">
        <v>327</v>
      </c>
      <c r="J45" s="18" t="s">
        <v>72</v>
      </c>
      <c r="K45" s="19" t="s">
        <v>328</v>
      </c>
      <c r="L45" s="19" t="s">
        <v>397</v>
      </c>
      <c r="M45" s="19" t="s">
        <v>413</v>
      </c>
      <c r="N45" s="19" t="s">
        <v>414</v>
      </c>
      <c r="O45" s="19" t="s">
        <v>412</v>
      </c>
      <c r="P45" s="19" t="s">
        <v>401</v>
      </c>
      <c r="Q45" s="19" t="s">
        <v>402</v>
      </c>
      <c r="R45" s="19" t="s">
        <v>341</v>
      </c>
      <c r="S45" s="19" t="s">
        <v>404</v>
      </c>
      <c r="T45" s="19" t="s">
        <v>332</v>
      </c>
      <c r="U45" s="19" t="s">
        <v>409</v>
      </c>
      <c r="V45" s="19" t="s">
        <v>342</v>
      </c>
      <c r="W45" s="18">
        <f t="shared" si="0"/>
        <v>0</v>
      </c>
      <c r="X45" s="18">
        <f t="shared" si="1"/>
        <v>1</v>
      </c>
    </row>
    <row r="46" ht="36" customHeight="1" spans="1:24">
      <c r="A46" s="18" t="s">
        <v>15</v>
      </c>
      <c r="B46" s="18">
        <v>17</v>
      </c>
      <c r="C46" s="18">
        <v>3</v>
      </c>
      <c r="D46" s="18" t="s">
        <v>335</v>
      </c>
      <c r="E46" s="19" t="s">
        <v>415</v>
      </c>
      <c r="F46" s="19" t="s">
        <v>416</v>
      </c>
      <c r="G46" s="19" t="s">
        <v>408</v>
      </c>
      <c r="H46" s="18" t="s">
        <v>417</v>
      </c>
      <c r="I46" s="18" t="s">
        <v>327</v>
      </c>
      <c r="J46" s="18" t="s">
        <v>72</v>
      </c>
      <c r="K46" s="19" t="s">
        <v>328</v>
      </c>
      <c r="L46" s="19" t="s">
        <v>397</v>
      </c>
      <c r="M46" s="19" t="s">
        <v>418</v>
      </c>
      <c r="N46" s="19" t="s">
        <v>414</v>
      </c>
      <c r="O46" s="19" t="s">
        <v>417</v>
      </c>
      <c r="P46" s="19" t="s">
        <v>401</v>
      </c>
      <c r="Q46" s="19" t="s">
        <v>402</v>
      </c>
      <c r="R46" s="19" t="s">
        <v>341</v>
      </c>
      <c r="S46" s="19" t="s">
        <v>404</v>
      </c>
      <c r="T46" s="19" t="s">
        <v>332</v>
      </c>
      <c r="U46" s="19" t="s">
        <v>409</v>
      </c>
      <c r="V46" s="19" t="s">
        <v>342</v>
      </c>
      <c r="W46" s="18">
        <f t="shared" si="0"/>
        <v>0</v>
      </c>
      <c r="X46" s="18">
        <f t="shared" si="1"/>
        <v>1</v>
      </c>
    </row>
    <row r="47" ht="36" customHeight="1" spans="1:24">
      <c r="A47" s="18" t="s">
        <v>15</v>
      </c>
      <c r="B47" s="18">
        <v>18</v>
      </c>
      <c r="C47" s="18">
        <v>3</v>
      </c>
      <c r="D47" s="18" t="s">
        <v>335</v>
      </c>
      <c r="E47" s="19" t="s">
        <v>419</v>
      </c>
      <c r="F47" s="19" t="s">
        <v>420</v>
      </c>
      <c r="G47" s="19" t="s">
        <v>408</v>
      </c>
      <c r="H47" s="18" t="s">
        <v>421</v>
      </c>
      <c r="I47" s="18" t="s">
        <v>327</v>
      </c>
      <c r="J47" s="18" t="s">
        <v>72</v>
      </c>
      <c r="K47" s="19" t="s">
        <v>328</v>
      </c>
      <c r="L47" s="19" t="s">
        <v>397</v>
      </c>
      <c r="M47" s="19" t="s">
        <v>422</v>
      </c>
      <c r="N47" s="19" t="s">
        <v>414</v>
      </c>
      <c r="O47" s="19" t="s">
        <v>421</v>
      </c>
      <c r="P47" s="19" t="s">
        <v>401</v>
      </c>
      <c r="Q47" s="19" t="s">
        <v>402</v>
      </c>
      <c r="R47" s="19" t="s">
        <v>341</v>
      </c>
      <c r="S47" s="19" t="s">
        <v>404</v>
      </c>
      <c r="T47" s="19" t="s">
        <v>332</v>
      </c>
      <c r="U47" s="19" t="s">
        <v>409</v>
      </c>
      <c r="V47" s="19" t="s">
        <v>342</v>
      </c>
      <c r="W47" s="18">
        <f t="shared" si="0"/>
        <v>0</v>
      </c>
      <c r="X47" s="18">
        <f t="shared" si="1"/>
        <v>1</v>
      </c>
    </row>
    <row r="48" ht="36" customHeight="1" spans="1:24">
      <c r="A48" s="18" t="s">
        <v>15</v>
      </c>
      <c r="B48" s="18">
        <v>19</v>
      </c>
      <c r="C48" s="18">
        <v>3</v>
      </c>
      <c r="D48" s="18" t="s">
        <v>335</v>
      </c>
      <c r="E48" s="19" t="s">
        <v>423</v>
      </c>
      <c r="F48" s="19" t="s">
        <v>424</v>
      </c>
      <c r="G48" s="19" t="s">
        <v>408</v>
      </c>
      <c r="H48" s="18" t="s">
        <v>425</v>
      </c>
      <c r="I48" s="18" t="s">
        <v>327</v>
      </c>
      <c r="J48" s="18" t="s">
        <v>72</v>
      </c>
      <c r="K48" s="19" t="s">
        <v>328</v>
      </c>
      <c r="L48" s="19" t="s">
        <v>397</v>
      </c>
      <c r="M48" s="19" t="s">
        <v>426</v>
      </c>
      <c r="N48" s="19" t="s">
        <v>414</v>
      </c>
      <c r="O48" s="19" t="s">
        <v>425</v>
      </c>
      <c r="P48" s="19" t="s">
        <v>401</v>
      </c>
      <c r="Q48" s="19" t="s">
        <v>402</v>
      </c>
      <c r="R48" s="19" t="s">
        <v>341</v>
      </c>
      <c r="S48" s="19" t="s">
        <v>404</v>
      </c>
      <c r="T48" s="19" t="s">
        <v>332</v>
      </c>
      <c r="U48" s="19" t="s">
        <v>409</v>
      </c>
      <c r="V48" s="19" t="s">
        <v>342</v>
      </c>
      <c r="W48" s="18">
        <f t="shared" si="0"/>
        <v>0</v>
      </c>
      <c r="X48" s="18">
        <f t="shared" si="1"/>
        <v>1</v>
      </c>
    </row>
    <row r="49" ht="36" customHeight="1" spans="1:24">
      <c r="A49" s="18" t="s">
        <v>15</v>
      </c>
      <c r="B49" s="18">
        <v>20</v>
      </c>
      <c r="C49" s="18">
        <v>3</v>
      </c>
      <c r="D49" s="18" t="s">
        <v>335</v>
      </c>
      <c r="E49" s="19" t="s">
        <v>427</v>
      </c>
      <c r="F49" s="19" t="s">
        <v>428</v>
      </c>
      <c r="G49" s="19" t="s">
        <v>408</v>
      </c>
      <c r="H49" s="18" t="s">
        <v>429</v>
      </c>
      <c r="I49" s="18" t="s">
        <v>327</v>
      </c>
      <c r="J49" s="18" t="s">
        <v>72</v>
      </c>
      <c r="K49" s="19" t="s">
        <v>328</v>
      </c>
      <c r="L49" s="19" t="s">
        <v>397</v>
      </c>
      <c r="M49" s="19" t="s">
        <v>430</v>
      </c>
      <c r="N49" s="19" t="s">
        <v>414</v>
      </c>
      <c r="O49" s="19" t="s">
        <v>429</v>
      </c>
      <c r="P49" s="19" t="s">
        <v>401</v>
      </c>
      <c r="Q49" s="19" t="s">
        <v>402</v>
      </c>
      <c r="R49" s="19" t="s">
        <v>341</v>
      </c>
      <c r="S49" s="19" t="s">
        <v>404</v>
      </c>
      <c r="T49" s="19" t="s">
        <v>332</v>
      </c>
      <c r="U49" s="19" t="s">
        <v>409</v>
      </c>
      <c r="V49" s="19" t="s">
        <v>342</v>
      </c>
      <c r="W49" s="18">
        <f t="shared" si="0"/>
        <v>0</v>
      </c>
      <c r="X49" s="18">
        <f t="shared" si="1"/>
        <v>1</v>
      </c>
    </row>
    <row r="50" ht="44" customHeight="1" spans="1:24">
      <c r="A50" s="12" t="s">
        <v>15</v>
      </c>
      <c r="B50" s="12">
        <v>21</v>
      </c>
      <c r="C50" s="12">
        <v>1</v>
      </c>
      <c r="D50" s="12" t="s">
        <v>312</v>
      </c>
      <c r="E50" s="13" t="s">
        <v>431</v>
      </c>
      <c r="F50" s="13" t="s">
        <v>432</v>
      </c>
      <c r="G50" s="13" t="s">
        <v>30</v>
      </c>
      <c r="H50" s="12" t="s">
        <v>30</v>
      </c>
      <c r="I50" s="12" t="s">
        <v>315</v>
      </c>
      <c r="J50" s="12" t="s">
        <v>72</v>
      </c>
      <c r="K50" s="13" t="s">
        <v>73</v>
      </c>
      <c r="L50" s="13" t="s">
        <v>280</v>
      </c>
      <c r="M50" s="13" t="s">
        <v>433</v>
      </c>
      <c r="N50" s="13" t="s">
        <v>434</v>
      </c>
      <c r="O50" s="13" t="s">
        <v>435</v>
      </c>
      <c r="P50" s="13" t="s">
        <v>436</v>
      </c>
      <c r="Q50" s="13" t="s">
        <v>437</v>
      </c>
      <c r="R50" s="13" t="s">
        <v>438</v>
      </c>
      <c r="S50" s="13" t="s">
        <v>439</v>
      </c>
      <c r="T50" s="13" t="s">
        <v>299</v>
      </c>
      <c r="U50" s="13" t="s">
        <v>300</v>
      </c>
      <c r="V50" s="13" t="s">
        <v>301</v>
      </c>
      <c r="W50" s="12">
        <f t="shared" si="0"/>
        <v>1</v>
      </c>
      <c r="X50" s="12">
        <f t="shared" si="1"/>
        <v>1</v>
      </c>
    </row>
    <row r="51" ht="44" customHeight="1" spans="1:24">
      <c r="A51" s="16" t="s">
        <v>15</v>
      </c>
      <c r="B51" s="16">
        <v>22</v>
      </c>
      <c r="C51" s="16">
        <v>2</v>
      </c>
      <c r="D51" s="16" t="s">
        <v>323</v>
      </c>
      <c r="E51" s="17" t="s">
        <v>440</v>
      </c>
      <c r="F51" s="17" t="s">
        <v>441</v>
      </c>
      <c r="G51" s="17" t="s">
        <v>432</v>
      </c>
      <c r="H51" s="16" t="s">
        <v>326</v>
      </c>
      <c r="I51" s="16" t="s">
        <v>327</v>
      </c>
      <c r="J51" s="16" t="s">
        <v>72</v>
      </c>
      <c r="K51" s="17" t="s">
        <v>328</v>
      </c>
      <c r="L51" s="17" t="s">
        <v>280</v>
      </c>
      <c r="M51" s="17" t="s">
        <v>329</v>
      </c>
      <c r="N51" s="17" t="s">
        <v>330</v>
      </c>
      <c r="O51" s="17" t="s">
        <v>326</v>
      </c>
      <c r="P51" s="17" t="s">
        <v>436</v>
      </c>
      <c r="Q51" s="17" t="s">
        <v>437</v>
      </c>
      <c r="R51" s="17" t="s">
        <v>331</v>
      </c>
      <c r="S51" s="17" t="s">
        <v>439</v>
      </c>
      <c r="T51" s="17" t="s">
        <v>332</v>
      </c>
      <c r="U51" s="17" t="s">
        <v>381</v>
      </c>
      <c r="V51" s="17" t="s">
        <v>334</v>
      </c>
      <c r="W51" s="16">
        <f t="shared" si="0"/>
        <v>0</v>
      </c>
      <c r="X51" s="16">
        <f t="shared" si="1"/>
        <v>1</v>
      </c>
    </row>
    <row r="52" ht="36" customHeight="1" spans="1:24">
      <c r="A52" s="18" t="s">
        <v>15</v>
      </c>
      <c r="B52" s="18">
        <v>23</v>
      </c>
      <c r="C52" s="18">
        <v>3</v>
      </c>
      <c r="D52" s="18" t="s">
        <v>335</v>
      </c>
      <c r="E52" s="19" t="s">
        <v>442</v>
      </c>
      <c r="F52" s="19" t="s">
        <v>443</v>
      </c>
      <c r="G52" s="19" t="s">
        <v>441</v>
      </c>
      <c r="H52" s="18" t="s">
        <v>444</v>
      </c>
      <c r="I52" s="18" t="s">
        <v>327</v>
      </c>
      <c r="J52" s="18" t="s">
        <v>72</v>
      </c>
      <c r="K52" s="19" t="s">
        <v>328</v>
      </c>
      <c r="L52" s="19" t="s">
        <v>280</v>
      </c>
      <c r="M52" s="19" t="s">
        <v>445</v>
      </c>
      <c r="N52" s="19" t="s">
        <v>446</v>
      </c>
      <c r="O52" s="19" t="s">
        <v>444</v>
      </c>
      <c r="P52" s="19" t="s">
        <v>436</v>
      </c>
      <c r="Q52" s="19" t="s">
        <v>437</v>
      </c>
      <c r="R52" s="19" t="s">
        <v>341</v>
      </c>
      <c r="S52" s="19" t="s">
        <v>439</v>
      </c>
      <c r="T52" s="19" t="s">
        <v>332</v>
      </c>
      <c r="U52" s="19" t="s">
        <v>381</v>
      </c>
      <c r="V52" s="19" t="s">
        <v>342</v>
      </c>
      <c r="W52" s="18">
        <f t="shared" si="0"/>
        <v>0</v>
      </c>
      <c r="X52" s="18">
        <f t="shared" si="1"/>
        <v>1</v>
      </c>
    </row>
    <row r="53" ht="36" customHeight="1" spans="1:24">
      <c r="A53" s="18" t="s">
        <v>15</v>
      </c>
      <c r="B53" s="18">
        <v>24</v>
      </c>
      <c r="C53" s="18">
        <v>3</v>
      </c>
      <c r="D53" s="18" t="s">
        <v>335</v>
      </c>
      <c r="E53" s="19" t="s">
        <v>447</v>
      </c>
      <c r="F53" s="19" t="s">
        <v>448</v>
      </c>
      <c r="G53" s="19" t="s">
        <v>441</v>
      </c>
      <c r="H53" s="18" t="s">
        <v>449</v>
      </c>
      <c r="I53" s="18" t="s">
        <v>327</v>
      </c>
      <c r="J53" s="18" t="s">
        <v>72</v>
      </c>
      <c r="K53" s="19" t="s">
        <v>328</v>
      </c>
      <c r="L53" s="19" t="s">
        <v>280</v>
      </c>
      <c r="M53" s="19" t="s">
        <v>450</v>
      </c>
      <c r="N53" s="19" t="s">
        <v>446</v>
      </c>
      <c r="O53" s="19" t="s">
        <v>449</v>
      </c>
      <c r="P53" s="19" t="s">
        <v>436</v>
      </c>
      <c r="Q53" s="19" t="s">
        <v>437</v>
      </c>
      <c r="R53" s="19" t="s">
        <v>341</v>
      </c>
      <c r="S53" s="19" t="s">
        <v>439</v>
      </c>
      <c r="T53" s="19" t="s">
        <v>332</v>
      </c>
      <c r="U53" s="19" t="s">
        <v>381</v>
      </c>
      <c r="V53" s="19" t="s">
        <v>342</v>
      </c>
      <c r="W53" s="18">
        <f t="shared" si="0"/>
        <v>0</v>
      </c>
      <c r="X53" s="18">
        <f t="shared" si="1"/>
        <v>1</v>
      </c>
    </row>
    <row r="54" ht="36" customHeight="1" spans="1:24">
      <c r="A54" s="18" t="s">
        <v>15</v>
      </c>
      <c r="B54" s="18">
        <v>25</v>
      </c>
      <c r="C54" s="18">
        <v>3</v>
      </c>
      <c r="D54" s="18" t="s">
        <v>335</v>
      </c>
      <c r="E54" s="19" t="s">
        <v>451</v>
      </c>
      <c r="F54" s="19" t="s">
        <v>452</v>
      </c>
      <c r="G54" s="19" t="s">
        <v>441</v>
      </c>
      <c r="H54" s="18" t="s">
        <v>453</v>
      </c>
      <c r="I54" s="18" t="s">
        <v>327</v>
      </c>
      <c r="J54" s="18" t="s">
        <v>72</v>
      </c>
      <c r="K54" s="19" t="s">
        <v>328</v>
      </c>
      <c r="L54" s="19" t="s">
        <v>280</v>
      </c>
      <c r="M54" s="19" t="s">
        <v>454</v>
      </c>
      <c r="N54" s="19" t="s">
        <v>446</v>
      </c>
      <c r="O54" s="19" t="s">
        <v>453</v>
      </c>
      <c r="P54" s="19" t="s">
        <v>436</v>
      </c>
      <c r="Q54" s="19" t="s">
        <v>437</v>
      </c>
      <c r="R54" s="19" t="s">
        <v>341</v>
      </c>
      <c r="S54" s="19" t="s">
        <v>439</v>
      </c>
      <c r="T54" s="19" t="s">
        <v>332</v>
      </c>
      <c r="U54" s="19" t="s">
        <v>381</v>
      </c>
      <c r="V54" s="19" t="s">
        <v>342</v>
      </c>
      <c r="W54" s="18">
        <f t="shared" si="0"/>
        <v>0</v>
      </c>
      <c r="X54" s="18">
        <f t="shared" si="1"/>
        <v>1</v>
      </c>
    </row>
    <row r="55" ht="44" customHeight="1" spans="1:24">
      <c r="A55" s="12" t="s">
        <v>15</v>
      </c>
      <c r="B55" s="12">
        <v>26</v>
      </c>
      <c r="C55" s="12">
        <v>1</v>
      </c>
      <c r="D55" s="12" t="s">
        <v>312</v>
      </c>
      <c r="E55" s="13" t="s">
        <v>455</v>
      </c>
      <c r="F55" s="13" t="s">
        <v>456</v>
      </c>
      <c r="G55" s="13" t="s">
        <v>30</v>
      </c>
      <c r="H55" s="12" t="s">
        <v>30</v>
      </c>
      <c r="I55" s="12" t="s">
        <v>315</v>
      </c>
      <c r="J55" s="12" t="s">
        <v>112</v>
      </c>
      <c r="K55" s="13" t="s">
        <v>73</v>
      </c>
      <c r="L55" s="13" t="s">
        <v>457</v>
      </c>
      <c r="M55" s="13" t="s">
        <v>458</v>
      </c>
      <c r="N55" s="13" t="s">
        <v>459</v>
      </c>
      <c r="O55" s="13" t="s">
        <v>460</v>
      </c>
      <c r="P55" s="13" t="s">
        <v>461</v>
      </c>
      <c r="Q55" s="13" t="s">
        <v>462</v>
      </c>
      <c r="R55" s="13" t="s">
        <v>463</v>
      </c>
      <c r="S55" s="13" t="s">
        <v>464</v>
      </c>
      <c r="T55" s="13" t="s">
        <v>299</v>
      </c>
      <c r="U55" s="13" t="s">
        <v>300</v>
      </c>
      <c r="V55" s="13" t="s">
        <v>301</v>
      </c>
      <c r="W55" s="12">
        <f t="shared" si="0"/>
        <v>1</v>
      </c>
      <c r="X55" s="12">
        <f t="shared" si="1"/>
        <v>1</v>
      </c>
    </row>
    <row r="56" ht="44" customHeight="1" spans="1:24">
      <c r="A56" s="16" t="s">
        <v>15</v>
      </c>
      <c r="B56" s="16">
        <v>27</v>
      </c>
      <c r="C56" s="16">
        <v>2</v>
      </c>
      <c r="D56" s="16" t="s">
        <v>323</v>
      </c>
      <c r="E56" s="17" t="s">
        <v>465</v>
      </c>
      <c r="F56" s="17" t="s">
        <v>466</v>
      </c>
      <c r="G56" s="17" t="s">
        <v>456</v>
      </c>
      <c r="H56" s="16" t="s">
        <v>326</v>
      </c>
      <c r="I56" s="16" t="s">
        <v>327</v>
      </c>
      <c r="J56" s="16" t="s">
        <v>112</v>
      </c>
      <c r="K56" s="17" t="s">
        <v>328</v>
      </c>
      <c r="L56" s="17" t="s">
        <v>457</v>
      </c>
      <c r="M56" s="17" t="s">
        <v>329</v>
      </c>
      <c r="N56" s="17" t="s">
        <v>330</v>
      </c>
      <c r="O56" s="17" t="s">
        <v>326</v>
      </c>
      <c r="P56" s="17" t="s">
        <v>461</v>
      </c>
      <c r="Q56" s="17" t="s">
        <v>462</v>
      </c>
      <c r="R56" s="17" t="s">
        <v>331</v>
      </c>
      <c r="S56" s="17" t="s">
        <v>464</v>
      </c>
      <c r="T56" s="17" t="s">
        <v>332</v>
      </c>
      <c r="U56" s="17" t="s">
        <v>381</v>
      </c>
      <c r="V56" s="17" t="s">
        <v>334</v>
      </c>
      <c r="W56" s="16">
        <f t="shared" si="0"/>
        <v>0</v>
      </c>
      <c r="X56" s="16">
        <f t="shared" si="1"/>
        <v>1</v>
      </c>
    </row>
    <row r="57" ht="36" customHeight="1" spans="1:24">
      <c r="A57" s="18" t="s">
        <v>15</v>
      </c>
      <c r="B57" s="18">
        <v>28</v>
      </c>
      <c r="C57" s="18">
        <v>3</v>
      </c>
      <c r="D57" s="18" t="s">
        <v>335</v>
      </c>
      <c r="E57" s="19" t="s">
        <v>467</v>
      </c>
      <c r="F57" s="19" t="s">
        <v>468</v>
      </c>
      <c r="G57" s="19" t="s">
        <v>466</v>
      </c>
      <c r="H57" s="18" t="s">
        <v>469</v>
      </c>
      <c r="I57" s="18" t="s">
        <v>327</v>
      </c>
      <c r="J57" s="18" t="s">
        <v>112</v>
      </c>
      <c r="K57" s="19" t="s">
        <v>328</v>
      </c>
      <c r="L57" s="19" t="s">
        <v>457</v>
      </c>
      <c r="M57" s="19" t="s">
        <v>470</v>
      </c>
      <c r="N57" s="19" t="s">
        <v>471</v>
      </c>
      <c r="O57" s="19" t="s">
        <v>469</v>
      </c>
      <c r="P57" s="19" t="s">
        <v>461</v>
      </c>
      <c r="Q57" s="19" t="s">
        <v>462</v>
      </c>
      <c r="R57" s="19" t="s">
        <v>341</v>
      </c>
      <c r="S57" s="19" t="s">
        <v>464</v>
      </c>
      <c r="T57" s="19" t="s">
        <v>332</v>
      </c>
      <c r="U57" s="19" t="s">
        <v>381</v>
      </c>
      <c r="V57" s="19" t="s">
        <v>342</v>
      </c>
      <c r="W57" s="18">
        <f t="shared" si="0"/>
        <v>0</v>
      </c>
      <c r="X57" s="18">
        <f t="shared" si="1"/>
        <v>1</v>
      </c>
    </row>
    <row r="58" ht="36" customHeight="1" spans="1:24">
      <c r="A58" s="18" t="s">
        <v>15</v>
      </c>
      <c r="B58" s="18">
        <v>29</v>
      </c>
      <c r="C58" s="18">
        <v>3</v>
      </c>
      <c r="D58" s="18" t="s">
        <v>335</v>
      </c>
      <c r="E58" s="19" t="s">
        <v>472</v>
      </c>
      <c r="F58" s="19" t="s">
        <v>473</v>
      </c>
      <c r="G58" s="19" t="s">
        <v>466</v>
      </c>
      <c r="H58" s="18" t="s">
        <v>474</v>
      </c>
      <c r="I58" s="18" t="s">
        <v>327</v>
      </c>
      <c r="J58" s="18" t="s">
        <v>112</v>
      </c>
      <c r="K58" s="19" t="s">
        <v>328</v>
      </c>
      <c r="L58" s="19" t="s">
        <v>457</v>
      </c>
      <c r="M58" s="19" t="s">
        <v>475</v>
      </c>
      <c r="N58" s="19" t="s">
        <v>471</v>
      </c>
      <c r="O58" s="19" t="s">
        <v>474</v>
      </c>
      <c r="P58" s="19" t="s">
        <v>461</v>
      </c>
      <c r="Q58" s="19" t="s">
        <v>462</v>
      </c>
      <c r="R58" s="19" t="s">
        <v>341</v>
      </c>
      <c r="S58" s="19" t="s">
        <v>464</v>
      </c>
      <c r="T58" s="19" t="s">
        <v>332</v>
      </c>
      <c r="U58" s="19" t="s">
        <v>381</v>
      </c>
      <c r="V58" s="19" t="s">
        <v>342</v>
      </c>
      <c r="W58" s="18">
        <f t="shared" si="0"/>
        <v>0</v>
      </c>
      <c r="X58" s="18">
        <f t="shared" si="1"/>
        <v>1</v>
      </c>
    </row>
    <row r="59" ht="44" customHeight="1" spans="1:24">
      <c r="A59" s="12" t="s">
        <v>15</v>
      </c>
      <c r="B59" s="12">
        <v>30</v>
      </c>
      <c r="C59" s="12">
        <v>1</v>
      </c>
      <c r="D59" s="12" t="s">
        <v>312</v>
      </c>
      <c r="E59" s="13" t="s">
        <v>476</v>
      </c>
      <c r="F59" s="13" t="s">
        <v>477</v>
      </c>
      <c r="G59" s="13" t="s">
        <v>30</v>
      </c>
      <c r="H59" s="12" t="s">
        <v>30</v>
      </c>
      <c r="I59" s="12" t="s">
        <v>315</v>
      </c>
      <c r="J59" s="12" t="s">
        <v>112</v>
      </c>
      <c r="K59" s="13" t="s">
        <v>73</v>
      </c>
      <c r="L59" s="13" t="s">
        <v>478</v>
      </c>
      <c r="M59" s="13" t="s">
        <v>479</v>
      </c>
      <c r="N59" s="13" t="s">
        <v>480</v>
      </c>
      <c r="O59" s="13" t="s">
        <v>481</v>
      </c>
      <c r="P59" s="13" t="s">
        <v>482</v>
      </c>
      <c r="Q59" s="13" t="s">
        <v>483</v>
      </c>
      <c r="R59" s="13" t="s">
        <v>484</v>
      </c>
      <c r="S59" s="13" t="s">
        <v>485</v>
      </c>
      <c r="T59" s="13" t="s">
        <v>299</v>
      </c>
      <c r="U59" s="13" t="s">
        <v>300</v>
      </c>
      <c r="V59" s="13" t="s">
        <v>301</v>
      </c>
      <c r="W59" s="12">
        <f t="shared" si="0"/>
        <v>1</v>
      </c>
      <c r="X59" s="12">
        <f t="shared" si="1"/>
        <v>1</v>
      </c>
    </row>
    <row r="60" ht="44" customHeight="1" spans="1:24">
      <c r="A60" s="16" t="s">
        <v>15</v>
      </c>
      <c r="B60" s="16">
        <v>31</v>
      </c>
      <c r="C60" s="16">
        <v>2</v>
      </c>
      <c r="D60" s="16" t="s">
        <v>323</v>
      </c>
      <c r="E60" s="17" t="s">
        <v>486</v>
      </c>
      <c r="F60" s="17" t="s">
        <v>487</v>
      </c>
      <c r="G60" s="17" t="s">
        <v>477</v>
      </c>
      <c r="H60" s="16" t="s">
        <v>326</v>
      </c>
      <c r="I60" s="16" t="s">
        <v>327</v>
      </c>
      <c r="J60" s="16" t="s">
        <v>112</v>
      </c>
      <c r="K60" s="17" t="s">
        <v>328</v>
      </c>
      <c r="L60" s="17" t="s">
        <v>478</v>
      </c>
      <c r="M60" s="17" t="s">
        <v>329</v>
      </c>
      <c r="N60" s="17" t="s">
        <v>330</v>
      </c>
      <c r="O60" s="17" t="s">
        <v>326</v>
      </c>
      <c r="P60" s="17" t="s">
        <v>482</v>
      </c>
      <c r="Q60" s="17" t="s">
        <v>483</v>
      </c>
      <c r="R60" s="17" t="s">
        <v>331</v>
      </c>
      <c r="S60" s="17" t="s">
        <v>485</v>
      </c>
      <c r="T60" s="17" t="s">
        <v>332</v>
      </c>
      <c r="U60" s="17" t="s">
        <v>381</v>
      </c>
      <c r="V60" s="17" t="s">
        <v>334</v>
      </c>
      <c r="W60" s="16">
        <f t="shared" si="0"/>
        <v>0</v>
      </c>
      <c r="X60" s="16">
        <f t="shared" si="1"/>
        <v>1</v>
      </c>
    </row>
    <row r="61" ht="36" customHeight="1" spans="1:24">
      <c r="A61" s="18" t="s">
        <v>15</v>
      </c>
      <c r="B61" s="18">
        <v>32</v>
      </c>
      <c r="C61" s="18">
        <v>3</v>
      </c>
      <c r="D61" s="18" t="s">
        <v>335</v>
      </c>
      <c r="E61" s="19" t="s">
        <v>467</v>
      </c>
      <c r="F61" s="19" t="s">
        <v>488</v>
      </c>
      <c r="G61" s="19" t="s">
        <v>487</v>
      </c>
      <c r="H61" s="18" t="s">
        <v>469</v>
      </c>
      <c r="I61" s="18" t="s">
        <v>327</v>
      </c>
      <c r="J61" s="18" t="s">
        <v>112</v>
      </c>
      <c r="K61" s="19" t="s">
        <v>328</v>
      </c>
      <c r="L61" s="19" t="s">
        <v>478</v>
      </c>
      <c r="M61" s="19" t="s">
        <v>470</v>
      </c>
      <c r="N61" s="19" t="s">
        <v>489</v>
      </c>
      <c r="O61" s="19" t="s">
        <v>469</v>
      </c>
      <c r="P61" s="19" t="s">
        <v>482</v>
      </c>
      <c r="Q61" s="19" t="s">
        <v>483</v>
      </c>
      <c r="R61" s="19" t="s">
        <v>341</v>
      </c>
      <c r="S61" s="19" t="s">
        <v>485</v>
      </c>
      <c r="T61" s="19" t="s">
        <v>332</v>
      </c>
      <c r="U61" s="19" t="s">
        <v>381</v>
      </c>
      <c r="V61" s="19" t="s">
        <v>342</v>
      </c>
      <c r="W61" s="18">
        <f t="shared" si="0"/>
        <v>0</v>
      </c>
      <c r="X61" s="18">
        <f t="shared" si="1"/>
        <v>1</v>
      </c>
    </row>
    <row r="62" ht="36" customHeight="1" spans="1:24">
      <c r="A62" s="18" t="s">
        <v>15</v>
      </c>
      <c r="B62" s="18">
        <v>33</v>
      </c>
      <c r="C62" s="18">
        <v>3</v>
      </c>
      <c r="D62" s="18" t="s">
        <v>335</v>
      </c>
      <c r="E62" s="19" t="s">
        <v>472</v>
      </c>
      <c r="F62" s="19" t="s">
        <v>490</v>
      </c>
      <c r="G62" s="19" t="s">
        <v>487</v>
      </c>
      <c r="H62" s="18" t="s">
        <v>474</v>
      </c>
      <c r="I62" s="18" t="s">
        <v>327</v>
      </c>
      <c r="J62" s="18" t="s">
        <v>112</v>
      </c>
      <c r="K62" s="19" t="s">
        <v>328</v>
      </c>
      <c r="L62" s="19" t="s">
        <v>478</v>
      </c>
      <c r="M62" s="19" t="s">
        <v>475</v>
      </c>
      <c r="N62" s="19" t="s">
        <v>489</v>
      </c>
      <c r="O62" s="19" t="s">
        <v>474</v>
      </c>
      <c r="P62" s="19" t="s">
        <v>482</v>
      </c>
      <c r="Q62" s="19" t="s">
        <v>483</v>
      </c>
      <c r="R62" s="19" t="s">
        <v>341</v>
      </c>
      <c r="S62" s="19" t="s">
        <v>485</v>
      </c>
      <c r="T62" s="19" t="s">
        <v>332</v>
      </c>
      <c r="U62" s="19" t="s">
        <v>381</v>
      </c>
      <c r="V62" s="19" t="s">
        <v>342</v>
      </c>
      <c r="W62" s="18">
        <f t="shared" si="0"/>
        <v>0</v>
      </c>
      <c r="X62" s="18">
        <f t="shared" si="1"/>
        <v>1</v>
      </c>
    </row>
    <row r="63" ht="44" customHeight="1" spans="1:24">
      <c r="A63" s="12" t="s">
        <v>15</v>
      </c>
      <c r="B63" s="12">
        <v>34</v>
      </c>
      <c r="C63" s="12">
        <v>1</v>
      </c>
      <c r="D63" s="12" t="s">
        <v>312</v>
      </c>
      <c r="E63" s="13" t="s">
        <v>491</v>
      </c>
      <c r="F63" s="13" t="s">
        <v>492</v>
      </c>
      <c r="G63" s="13" t="s">
        <v>30</v>
      </c>
      <c r="H63" s="12" t="s">
        <v>30</v>
      </c>
      <c r="I63" s="12" t="s">
        <v>315</v>
      </c>
      <c r="J63" s="12" t="s">
        <v>112</v>
      </c>
      <c r="K63" s="13" t="s">
        <v>73</v>
      </c>
      <c r="L63" s="13" t="s">
        <v>493</v>
      </c>
      <c r="M63" s="13" t="s">
        <v>494</v>
      </c>
      <c r="N63" s="13" t="s">
        <v>495</v>
      </c>
      <c r="O63" s="13" t="s">
        <v>496</v>
      </c>
      <c r="P63" s="13" t="s">
        <v>497</v>
      </c>
      <c r="Q63" s="13" t="s">
        <v>498</v>
      </c>
      <c r="R63" s="13" t="s">
        <v>499</v>
      </c>
      <c r="S63" s="13" t="s">
        <v>500</v>
      </c>
      <c r="T63" s="13" t="s">
        <v>299</v>
      </c>
      <c r="U63" s="13" t="s">
        <v>300</v>
      </c>
      <c r="V63" s="13" t="s">
        <v>301</v>
      </c>
      <c r="W63" s="12">
        <f t="shared" si="0"/>
        <v>1</v>
      </c>
      <c r="X63" s="12">
        <f t="shared" si="1"/>
        <v>1</v>
      </c>
    </row>
    <row r="64" ht="44" customHeight="1" spans="1:24">
      <c r="A64" s="16" t="s">
        <v>15</v>
      </c>
      <c r="B64" s="16">
        <v>35</v>
      </c>
      <c r="C64" s="16">
        <v>2</v>
      </c>
      <c r="D64" s="16" t="s">
        <v>323</v>
      </c>
      <c r="E64" s="17" t="s">
        <v>501</v>
      </c>
      <c r="F64" s="17" t="s">
        <v>502</v>
      </c>
      <c r="G64" s="17" t="s">
        <v>492</v>
      </c>
      <c r="H64" s="16" t="s">
        <v>326</v>
      </c>
      <c r="I64" s="16" t="s">
        <v>327</v>
      </c>
      <c r="J64" s="16" t="s">
        <v>112</v>
      </c>
      <c r="K64" s="17" t="s">
        <v>328</v>
      </c>
      <c r="L64" s="17" t="s">
        <v>493</v>
      </c>
      <c r="M64" s="17" t="s">
        <v>329</v>
      </c>
      <c r="N64" s="17" t="s">
        <v>330</v>
      </c>
      <c r="O64" s="17" t="s">
        <v>326</v>
      </c>
      <c r="P64" s="17" t="s">
        <v>497</v>
      </c>
      <c r="Q64" s="17" t="s">
        <v>498</v>
      </c>
      <c r="R64" s="17" t="s">
        <v>331</v>
      </c>
      <c r="S64" s="17" t="s">
        <v>500</v>
      </c>
      <c r="T64" s="17" t="s">
        <v>332</v>
      </c>
      <c r="U64" s="17" t="s">
        <v>381</v>
      </c>
      <c r="V64" s="17" t="s">
        <v>334</v>
      </c>
      <c r="W64" s="16">
        <f t="shared" si="0"/>
        <v>0</v>
      </c>
      <c r="X64" s="16">
        <f t="shared" si="1"/>
        <v>1</v>
      </c>
    </row>
    <row r="65" ht="44" customHeight="1" spans="1:24">
      <c r="A65" s="12" t="s">
        <v>15</v>
      </c>
      <c r="B65" s="12">
        <v>36</v>
      </c>
      <c r="C65" s="12">
        <v>1</v>
      </c>
      <c r="D65" s="12" t="s">
        <v>312</v>
      </c>
      <c r="E65" s="13" t="s">
        <v>503</v>
      </c>
      <c r="F65" s="13" t="s">
        <v>504</v>
      </c>
      <c r="G65" s="13" t="s">
        <v>30</v>
      </c>
      <c r="H65" s="12" t="s">
        <v>30</v>
      </c>
      <c r="I65" s="12" t="s">
        <v>315</v>
      </c>
      <c r="J65" s="12" t="s">
        <v>112</v>
      </c>
      <c r="K65" s="13" t="s">
        <v>73</v>
      </c>
      <c r="L65" s="13" t="s">
        <v>505</v>
      </c>
      <c r="M65" s="13" t="s">
        <v>506</v>
      </c>
      <c r="N65" s="13" t="s">
        <v>507</v>
      </c>
      <c r="O65" s="13" t="s">
        <v>508</v>
      </c>
      <c r="P65" s="13" t="s">
        <v>509</v>
      </c>
      <c r="Q65" s="13" t="s">
        <v>510</v>
      </c>
      <c r="R65" s="13" t="s">
        <v>511</v>
      </c>
      <c r="S65" s="13" t="s">
        <v>270</v>
      </c>
      <c r="T65" s="13" t="s">
        <v>299</v>
      </c>
      <c r="U65" s="13" t="s">
        <v>300</v>
      </c>
      <c r="V65" s="13" t="s">
        <v>301</v>
      </c>
      <c r="W65" s="12">
        <f t="shared" si="0"/>
        <v>1</v>
      </c>
      <c r="X65" s="12">
        <f t="shared" si="1"/>
        <v>1</v>
      </c>
    </row>
    <row r="66" ht="44" customHeight="1" spans="1:24">
      <c r="A66" s="16" t="s">
        <v>15</v>
      </c>
      <c r="B66" s="16">
        <v>37</v>
      </c>
      <c r="C66" s="16">
        <v>2</v>
      </c>
      <c r="D66" s="16" t="s">
        <v>323</v>
      </c>
      <c r="E66" s="17" t="s">
        <v>512</v>
      </c>
      <c r="F66" s="17" t="s">
        <v>513</v>
      </c>
      <c r="G66" s="17" t="s">
        <v>504</v>
      </c>
      <c r="H66" s="16" t="s">
        <v>326</v>
      </c>
      <c r="I66" s="16" t="s">
        <v>327</v>
      </c>
      <c r="J66" s="16" t="s">
        <v>112</v>
      </c>
      <c r="K66" s="17" t="s">
        <v>328</v>
      </c>
      <c r="L66" s="17" t="s">
        <v>505</v>
      </c>
      <c r="M66" s="17" t="s">
        <v>329</v>
      </c>
      <c r="N66" s="17" t="s">
        <v>330</v>
      </c>
      <c r="O66" s="17" t="s">
        <v>326</v>
      </c>
      <c r="P66" s="17" t="s">
        <v>509</v>
      </c>
      <c r="Q66" s="17" t="s">
        <v>510</v>
      </c>
      <c r="R66" s="17" t="s">
        <v>331</v>
      </c>
      <c r="S66" s="17" t="s">
        <v>270</v>
      </c>
      <c r="T66" s="17" t="s">
        <v>332</v>
      </c>
      <c r="U66" s="17" t="s">
        <v>381</v>
      </c>
      <c r="V66" s="17" t="s">
        <v>334</v>
      </c>
      <c r="W66" s="16">
        <f t="shared" si="0"/>
        <v>0</v>
      </c>
      <c r="X66" s="16">
        <f t="shared" si="1"/>
        <v>1</v>
      </c>
    </row>
    <row r="67" ht="44" customHeight="1" spans="1:24">
      <c r="A67" s="12" t="s">
        <v>15</v>
      </c>
      <c r="B67" s="12">
        <v>38</v>
      </c>
      <c r="C67" s="12">
        <v>1</v>
      </c>
      <c r="D67" s="12" t="s">
        <v>312</v>
      </c>
      <c r="E67" s="13" t="s">
        <v>514</v>
      </c>
      <c r="F67" s="13" t="s">
        <v>515</v>
      </c>
      <c r="G67" s="13" t="s">
        <v>30</v>
      </c>
      <c r="H67" s="12" t="s">
        <v>30</v>
      </c>
      <c r="I67" s="12" t="s">
        <v>315</v>
      </c>
      <c r="J67" s="12" t="s">
        <v>112</v>
      </c>
      <c r="K67" s="13" t="s">
        <v>73</v>
      </c>
      <c r="L67" s="13" t="s">
        <v>189</v>
      </c>
      <c r="M67" s="13" t="s">
        <v>516</v>
      </c>
      <c r="N67" s="13" t="s">
        <v>517</v>
      </c>
      <c r="O67" s="13" t="s">
        <v>192</v>
      </c>
      <c r="P67" s="13" t="s">
        <v>518</v>
      </c>
      <c r="Q67" s="13" t="s">
        <v>519</v>
      </c>
      <c r="R67" s="13" t="s">
        <v>520</v>
      </c>
      <c r="S67" s="13" t="s">
        <v>194</v>
      </c>
      <c r="T67" s="13" t="s">
        <v>82</v>
      </c>
      <c r="U67" s="13" t="s">
        <v>83</v>
      </c>
      <c r="V67" s="13" t="s">
        <v>195</v>
      </c>
      <c r="W67" s="12">
        <f t="shared" si="0"/>
        <v>1</v>
      </c>
      <c r="X67" s="12">
        <f t="shared" si="1"/>
        <v>1</v>
      </c>
    </row>
    <row r="68" ht="44" customHeight="1" spans="1:24">
      <c r="A68" s="16" t="s">
        <v>15</v>
      </c>
      <c r="B68" s="16">
        <v>39</v>
      </c>
      <c r="C68" s="16">
        <v>2</v>
      </c>
      <c r="D68" s="16" t="s">
        <v>323</v>
      </c>
      <c r="E68" s="17" t="s">
        <v>521</v>
      </c>
      <c r="F68" s="17" t="s">
        <v>522</v>
      </c>
      <c r="G68" s="17" t="s">
        <v>515</v>
      </c>
      <c r="H68" s="16" t="s">
        <v>326</v>
      </c>
      <c r="I68" s="16" t="s">
        <v>327</v>
      </c>
      <c r="J68" s="16" t="s">
        <v>112</v>
      </c>
      <c r="K68" s="17" t="s">
        <v>328</v>
      </c>
      <c r="L68" s="17" t="s">
        <v>189</v>
      </c>
      <c r="M68" s="17" t="s">
        <v>329</v>
      </c>
      <c r="N68" s="17" t="s">
        <v>330</v>
      </c>
      <c r="O68" s="17" t="s">
        <v>326</v>
      </c>
      <c r="P68" s="17" t="s">
        <v>518</v>
      </c>
      <c r="Q68" s="17" t="s">
        <v>519</v>
      </c>
      <c r="R68" s="17" t="s">
        <v>331</v>
      </c>
      <c r="S68" s="17" t="s">
        <v>194</v>
      </c>
      <c r="T68" s="17" t="s">
        <v>332</v>
      </c>
      <c r="U68" s="17" t="s">
        <v>333</v>
      </c>
      <c r="V68" s="17" t="s">
        <v>334</v>
      </c>
      <c r="W68" s="16">
        <f t="shared" si="0"/>
        <v>0</v>
      </c>
      <c r="X68" s="16">
        <f t="shared" si="1"/>
        <v>1</v>
      </c>
    </row>
    <row r="69" ht="44" customHeight="1" spans="1:24">
      <c r="A69" s="12" t="s">
        <v>15</v>
      </c>
      <c r="B69" s="12">
        <v>40</v>
      </c>
      <c r="C69" s="12">
        <v>1</v>
      </c>
      <c r="D69" s="12" t="s">
        <v>312</v>
      </c>
      <c r="E69" s="13" t="s">
        <v>523</v>
      </c>
      <c r="F69" s="13" t="s">
        <v>524</v>
      </c>
      <c r="G69" s="13" t="s">
        <v>30</v>
      </c>
      <c r="H69" s="12" t="s">
        <v>30</v>
      </c>
      <c r="I69" s="12" t="s">
        <v>315</v>
      </c>
      <c r="J69" s="12" t="s">
        <v>72</v>
      </c>
      <c r="K69" s="13" t="s">
        <v>73</v>
      </c>
      <c r="L69" s="13" t="s">
        <v>525</v>
      </c>
      <c r="M69" s="13" t="s">
        <v>526</v>
      </c>
      <c r="N69" s="13" t="s">
        <v>527</v>
      </c>
      <c r="O69" s="13" t="s">
        <v>528</v>
      </c>
      <c r="P69" s="13" t="s">
        <v>529</v>
      </c>
      <c r="Q69" s="13" t="s">
        <v>530</v>
      </c>
      <c r="R69" s="13" t="s">
        <v>403</v>
      </c>
      <c r="S69" s="13" t="s">
        <v>531</v>
      </c>
      <c r="T69" s="13" t="s">
        <v>532</v>
      </c>
      <c r="U69" s="13" t="s">
        <v>83</v>
      </c>
      <c r="V69" s="13" t="s">
        <v>533</v>
      </c>
      <c r="W69" s="12">
        <f t="shared" ref="W69:W132" si="2">IF(OR(D69="场景母图",D69="场景多视角"),0,1)</f>
        <v>1</v>
      </c>
      <c r="X69" s="12">
        <f t="shared" ref="X69:X132" si="3">IF(LEFT(U69,2)="历史",0,1)</f>
        <v>1</v>
      </c>
    </row>
    <row r="70" ht="44" customHeight="1" spans="1:24">
      <c r="A70" s="16" t="s">
        <v>15</v>
      </c>
      <c r="B70" s="16">
        <v>41</v>
      </c>
      <c r="C70" s="16">
        <v>2</v>
      </c>
      <c r="D70" s="16" t="s">
        <v>323</v>
      </c>
      <c r="E70" s="17" t="s">
        <v>534</v>
      </c>
      <c r="F70" s="17" t="s">
        <v>535</v>
      </c>
      <c r="G70" s="17" t="s">
        <v>524</v>
      </c>
      <c r="H70" s="16" t="s">
        <v>326</v>
      </c>
      <c r="I70" s="16" t="s">
        <v>327</v>
      </c>
      <c r="J70" s="16" t="s">
        <v>72</v>
      </c>
      <c r="K70" s="17" t="s">
        <v>328</v>
      </c>
      <c r="L70" s="17" t="s">
        <v>525</v>
      </c>
      <c r="M70" s="17" t="s">
        <v>329</v>
      </c>
      <c r="N70" s="17" t="s">
        <v>330</v>
      </c>
      <c r="O70" s="17" t="s">
        <v>326</v>
      </c>
      <c r="P70" s="17" t="s">
        <v>529</v>
      </c>
      <c r="Q70" s="17" t="s">
        <v>530</v>
      </c>
      <c r="R70" s="17" t="s">
        <v>331</v>
      </c>
      <c r="S70" s="17" t="s">
        <v>531</v>
      </c>
      <c r="T70" s="17" t="s">
        <v>332</v>
      </c>
      <c r="U70" s="17" t="s">
        <v>333</v>
      </c>
      <c r="V70" s="17" t="s">
        <v>334</v>
      </c>
      <c r="W70" s="16">
        <f t="shared" si="2"/>
        <v>0</v>
      </c>
      <c r="X70" s="16">
        <f t="shared" si="3"/>
        <v>1</v>
      </c>
    </row>
    <row r="71" ht="36" customHeight="1" spans="1:24">
      <c r="A71" s="18" t="s">
        <v>15</v>
      </c>
      <c r="B71" s="18">
        <v>42</v>
      </c>
      <c r="C71" s="18">
        <v>3</v>
      </c>
      <c r="D71" s="18" t="s">
        <v>335</v>
      </c>
      <c r="E71" s="19" t="s">
        <v>410</v>
      </c>
      <c r="F71" s="19" t="s">
        <v>536</v>
      </c>
      <c r="G71" s="19" t="s">
        <v>535</v>
      </c>
      <c r="H71" s="18" t="s">
        <v>412</v>
      </c>
      <c r="I71" s="18" t="s">
        <v>327</v>
      </c>
      <c r="J71" s="18" t="s">
        <v>72</v>
      </c>
      <c r="K71" s="19" t="s">
        <v>328</v>
      </c>
      <c r="L71" s="19" t="s">
        <v>525</v>
      </c>
      <c r="M71" s="19" t="s">
        <v>413</v>
      </c>
      <c r="N71" s="19" t="s">
        <v>537</v>
      </c>
      <c r="O71" s="19" t="s">
        <v>412</v>
      </c>
      <c r="P71" s="19" t="s">
        <v>529</v>
      </c>
      <c r="Q71" s="19" t="s">
        <v>530</v>
      </c>
      <c r="R71" s="19" t="s">
        <v>341</v>
      </c>
      <c r="S71" s="19" t="s">
        <v>531</v>
      </c>
      <c r="T71" s="19" t="s">
        <v>332</v>
      </c>
      <c r="U71" s="19" t="s">
        <v>333</v>
      </c>
      <c r="V71" s="19" t="s">
        <v>342</v>
      </c>
      <c r="W71" s="18">
        <f t="shared" si="2"/>
        <v>0</v>
      </c>
      <c r="X71" s="18">
        <f t="shared" si="3"/>
        <v>1</v>
      </c>
    </row>
    <row r="72" ht="36" customHeight="1" spans="1:24">
      <c r="A72" s="18" t="s">
        <v>15</v>
      </c>
      <c r="B72" s="18">
        <v>43</v>
      </c>
      <c r="C72" s="18">
        <v>3</v>
      </c>
      <c r="D72" s="18" t="s">
        <v>335</v>
      </c>
      <c r="E72" s="19" t="s">
        <v>415</v>
      </c>
      <c r="F72" s="19" t="s">
        <v>538</v>
      </c>
      <c r="G72" s="19" t="s">
        <v>535</v>
      </c>
      <c r="H72" s="18" t="s">
        <v>417</v>
      </c>
      <c r="I72" s="18" t="s">
        <v>327</v>
      </c>
      <c r="J72" s="18" t="s">
        <v>72</v>
      </c>
      <c r="K72" s="19" t="s">
        <v>328</v>
      </c>
      <c r="L72" s="19" t="s">
        <v>525</v>
      </c>
      <c r="M72" s="19" t="s">
        <v>418</v>
      </c>
      <c r="N72" s="19" t="s">
        <v>537</v>
      </c>
      <c r="O72" s="19" t="s">
        <v>417</v>
      </c>
      <c r="P72" s="19" t="s">
        <v>529</v>
      </c>
      <c r="Q72" s="19" t="s">
        <v>530</v>
      </c>
      <c r="R72" s="19" t="s">
        <v>341</v>
      </c>
      <c r="S72" s="19" t="s">
        <v>531</v>
      </c>
      <c r="T72" s="19" t="s">
        <v>332</v>
      </c>
      <c r="U72" s="19" t="s">
        <v>333</v>
      </c>
      <c r="V72" s="19" t="s">
        <v>342</v>
      </c>
      <c r="W72" s="18">
        <f t="shared" si="2"/>
        <v>0</v>
      </c>
      <c r="X72" s="18">
        <f t="shared" si="3"/>
        <v>1</v>
      </c>
    </row>
    <row r="73" ht="36" customHeight="1" spans="1:24">
      <c r="A73" s="18" t="s">
        <v>15</v>
      </c>
      <c r="B73" s="18">
        <v>44</v>
      </c>
      <c r="C73" s="18">
        <v>3</v>
      </c>
      <c r="D73" s="18" t="s">
        <v>335</v>
      </c>
      <c r="E73" s="19" t="s">
        <v>419</v>
      </c>
      <c r="F73" s="19" t="s">
        <v>539</v>
      </c>
      <c r="G73" s="19" t="s">
        <v>535</v>
      </c>
      <c r="H73" s="18" t="s">
        <v>421</v>
      </c>
      <c r="I73" s="18" t="s">
        <v>327</v>
      </c>
      <c r="J73" s="18" t="s">
        <v>72</v>
      </c>
      <c r="K73" s="19" t="s">
        <v>328</v>
      </c>
      <c r="L73" s="19" t="s">
        <v>525</v>
      </c>
      <c r="M73" s="19" t="s">
        <v>422</v>
      </c>
      <c r="N73" s="19" t="s">
        <v>537</v>
      </c>
      <c r="O73" s="19" t="s">
        <v>421</v>
      </c>
      <c r="P73" s="19" t="s">
        <v>529</v>
      </c>
      <c r="Q73" s="19" t="s">
        <v>530</v>
      </c>
      <c r="R73" s="19" t="s">
        <v>341</v>
      </c>
      <c r="S73" s="19" t="s">
        <v>531</v>
      </c>
      <c r="T73" s="19" t="s">
        <v>332</v>
      </c>
      <c r="U73" s="19" t="s">
        <v>333</v>
      </c>
      <c r="V73" s="19" t="s">
        <v>342</v>
      </c>
      <c r="W73" s="18">
        <f t="shared" si="2"/>
        <v>0</v>
      </c>
      <c r="X73" s="18">
        <f t="shared" si="3"/>
        <v>1</v>
      </c>
    </row>
    <row r="74" ht="36" customHeight="1" spans="1:24">
      <c r="A74" s="18" t="s">
        <v>15</v>
      </c>
      <c r="B74" s="18">
        <v>45</v>
      </c>
      <c r="C74" s="18">
        <v>3</v>
      </c>
      <c r="D74" s="18" t="s">
        <v>335</v>
      </c>
      <c r="E74" s="19" t="s">
        <v>423</v>
      </c>
      <c r="F74" s="19" t="s">
        <v>540</v>
      </c>
      <c r="G74" s="19" t="s">
        <v>535</v>
      </c>
      <c r="H74" s="18" t="s">
        <v>425</v>
      </c>
      <c r="I74" s="18" t="s">
        <v>327</v>
      </c>
      <c r="J74" s="18" t="s">
        <v>72</v>
      </c>
      <c r="K74" s="19" t="s">
        <v>328</v>
      </c>
      <c r="L74" s="19" t="s">
        <v>525</v>
      </c>
      <c r="M74" s="19" t="s">
        <v>426</v>
      </c>
      <c r="N74" s="19" t="s">
        <v>537</v>
      </c>
      <c r="O74" s="19" t="s">
        <v>425</v>
      </c>
      <c r="P74" s="19" t="s">
        <v>529</v>
      </c>
      <c r="Q74" s="19" t="s">
        <v>530</v>
      </c>
      <c r="R74" s="19" t="s">
        <v>341</v>
      </c>
      <c r="S74" s="19" t="s">
        <v>531</v>
      </c>
      <c r="T74" s="19" t="s">
        <v>332</v>
      </c>
      <c r="U74" s="19" t="s">
        <v>333</v>
      </c>
      <c r="V74" s="19" t="s">
        <v>342</v>
      </c>
      <c r="W74" s="18">
        <f t="shared" si="2"/>
        <v>0</v>
      </c>
      <c r="X74" s="18">
        <f t="shared" si="3"/>
        <v>1</v>
      </c>
    </row>
    <row r="75" ht="36" customHeight="1" spans="1:24">
      <c r="A75" s="18" t="s">
        <v>15</v>
      </c>
      <c r="B75" s="18">
        <v>46</v>
      </c>
      <c r="C75" s="18">
        <v>3</v>
      </c>
      <c r="D75" s="18" t="s">
        <v>335</v>
      </c>
      <c r="E75" s="19" t="s">
        <v>427</v>
      </c>
      <c r="F75" s="19" t="s">
        <v>541</v>
      </c>
      <c r="G75" s="19" t="s">
        <v>535</v>
      </c>
      <c r="H75" s="18" t="s">
        <v>429</v>
      </c>
      <c r="I75" s="18" t="s">
        <v>327</v>
      </c>
      <c r="J75" s="18" t="s">
        <v>72</v>
      </c>
      <c r="K75" s="19" t="s">
        <v>328</v>
      </c>
      <c r="L75" s="19" t="s">
        <v>525</v>
      </c>
      <c r="M75" s="19" t="s">
        <v>430</v>
      </c>
      <c r="N75" s="19" t="s">
        <v>537</v>
      </c>
      <c r="O75" s="19" t="s">
        <v>429</v>
      </c>
      <c r="P75" s="19" t="s">
        <v>529</v>
      </c>
      <c r="Q75" s="19" t="s">
        <v>530</v>
      </c>
      <c r="R75" s="19" t="s">
        <v>341</v>
      </c>
      <c r="S75" s="19" t="s">
        <v>531</v>
      </c>
      <c r="T75" s="19" t="s">
        <v>332</v>
      </c>
      <c r="U75" s="19" t="s">
        <v>333</v>
      </c>
      <c r="V75" s="19" t="s">
        <v>342</v>
      </c>
      <c r="W75" s="18">
        <f t="shared" si="2"/>
        <v>0</v>
      </c>
      <c r="X75" s="18">
        <f t="shared" si="3"/>
        <v>1</v>
      </c>
    </row>
    <row r="76" ht="44" customHeight="1" spans="1:24">
      <c r="A76" s="12" t="s">
        <v>15</v>
      </c>
      <c r="B76" s="12">
        <v>47</v>
      </c>
      <c r="C76" s="12">
        <v>1</v>
      </c>
      <c r="D76" s="12" t="s">
        <v>312</v>
      </c>
      <c r="E76" s="13" t="s">
        <v>542</v>
      </c>
      <c r="F76" s="13" t="s">
        <v>543</v>
      </c>
      <c r="G76" s="13" t="s">
        <v>30</v>
      </c>
      <c r="H76" s="12" t="s">
        <v>30</v>
      </c>
      <c r="I76" s="12" t="s">
        <v>315</v>
      </c>
      <c r="J76" s="12" t="s">
        <v>112</v>
      </c>
      <c r="K76" s="13" t="s">
        <v>73</v>
      </c>
      <c r="L76" s="13" t="s">
        <v>544</v>
      </c>
      <c r="M76" s="13" t="s">
        <v>545</v>
      </c>
      <c r="N76" s="13" t="s">
        <v>546</v>
      </c>
      <c r="O76" s="13" t="s">
        <v>547</v>
      </c>
      <c r="P76" s="13" t="s">
        <v>548</v>
      </c>
      <c r="Q76" s="13" t="s">
        <v>549</v>
      </c>
      <c r="R76" s="13" t="s">
        <v>550</v>
      </c>
      <c r="S76" s="13" t="s">
        <v>551</v>
      </c>
      <c r="T76" s="13" t="s">
        <v>82</v>
      </c>
      <c r="U76" s="13" t="s">
        <v>83</v>
      </c>
      <c r="V76" s="13" t="s">
        <v>552</v>
      </c>
      <c r="W76" s="12">
        <f t="shared" si="2"/>
        <v>1</v>
      </c>
      <c r="X76" s="12">
        <f t="shared" si="3"/>
        <v>1</v>
      </c>
    </row>
    <row r="77" ht="44" customHeight="1" spans="1:24">
      <c r="A77" s="16" t="s">
        <v>15</v>
      </c>
      <c r="B77" s="16">
        <v>48</v>
      </c>
      <c r="C77" s="16">
        <v>2</v>
      </c>
      <c r="D77" s="16" t="s">
        <v>323</v>
      </c>
      <c r="E77" s="17" t="s">
        <v>553</v>
      </c>
      <c r="F77" s="17" t="s">
        <v>554</v>
      </c>
      <c r="G77" s="17" t="s">
        <v>543</v>
      </c>
      <c r="H77" s="16" t="s">
        <v>326</v>
      </c>
      <c r="I77" s="16" t="s">
        <v>327</v>
      </c>
      <c r="J77" s="16" t="s">
        <v>112</v>
      </c>
      <c r="K77" s="17" t="s">
        <v>328</v>
      </c>
      <c r="L77" s="17" t="s">
        <v>544</v>
      </c>
      <c r="M77" s="17" t="s">
        <v>329</v>
      </c>
      <c r="N77" s="17" t="s">
        <v>330</v>
      </c>
      <c r="O77" s="17" t="s">
        <v>326</v>
      </c>
      <c r="P77" s="17" t="s">
        <v>548</v>
      </c>
      <c r="Q77" s="17" t="s">
        <v>549</v>
      </c>
      <c r="R77" s="17" t="s">
        <v>331</v>
      </c>
      <c r="S77" s="17" t="s">
        <v>551</v>
      </c>
      <c r="T77" s="17" t="s">
        <v>332</v>
      </c>
      <c r="U77" s="17" t="s">
        <v>333</v>
      </c>
      <c r="V77" s="17" t="s">
        <v>334</v>
      </c>
      <c r="W77" s="16">
        <f t="shared" si="2"/>
        <v>0</v>
      </c>
      <c r="X77" s="16">
        <f t="shared" si="3"/>
        <v>1</v>
      </c>
    </row>
    <row r="78" ht="36" customHeight="1" spans="1:24">
      <c r="A78" s="18" t="s">
        <v>15</v>
      </c>
      <c r="B78" s="18">
        <v>49</v>
      </c>
      <c r="C78" s="18">
        <v>3</v>
      </c>
      <c r="D78" s="18" t="s">
        <v>335</v>
      </c>
      <c r="E78" s="19" t="s">
        <v>555</v>
      </c>
      <c r="F78" s="19" t="s">
        <v>556</v>
      </c>
      <c r="G78" s="19" t="s">
        <v>554</v>
      </c>
      <c r="H78" s="18" t="s">
        <v>557</v>
      </c>
      <c r="I78" s="18" t="s">
        <v>327</v>
      </c>
      <c r="J78" s="18" t="s">
        <v>112</v>
      </c>
      <c r="K78" s="19" t="s">
        <v>328</v>
      </c>
      <c r="L78" s="19" t="s">
        <v>544</v>
      </c>
      <c r="M78" s="19" t="s">
        <v>558</v>
      </c>
      <c r="N78" s="19" t="s">
        <v>559</v>
      </c>
      <c r="O78" s="19" t="s">
        <v>557</v>
      </c>
      <c r="P78" s="19" t="s">
        <v>548</v>
      </c>
      <c r="Q78" s="19" t="s">
        <v>549</v>
      </c>
      <c r="R78" s="19" t="s">
        <v>341</v>
      </c>
      <c r="S78" s="19" t="s">
        <v>551</v>
      </c>
      <c r="T78" s="19" t="s">
        <v>332</v>
      </c>
      <c r="U78" s="19" t="s">
        <v>333</v>
      </c>
      <c r="V78" s="19" t="s">
        <v>342</v>
      </c>
      <c r="W78" s="18">
        <f t="shared" si="2"/>
        <v>0</v>
      </c>
      <c r="X78" s="18">
        <f t="shared" si="3"/>
        <v>1</v>
      </c>
    </row>
    <row r="79" ht="36" customHeight="1" spans="1:24">
      <c r="A79" s="18" t="s">
        <v>15</v>
      </c>
      <c r="B79" s="18">
        <v>50</v>
      </c>
      <c r="C79" s="18">
        <v>3</v>
      </c>
      <c r="D79" s="18" t="s">
        <v>335</v>
      </c>
      <c r="E79" s="19" t="s">
        <v>560</v>
      </c>
      <c r="F79" s="19" t="s">
        <v>561</v>
      </c>
      <c r="G79" s="19" t="s">
        <v>554</v>
      </c>
      <c r="H79" s="18" t="s">
        <v>562</v>
      </c>
      <c r="I79" s="18" t="s">
        <v>327</v>
      </c>
      <c r="J79" s="18" t="s">
        <v>112</v>
      </c>
      <c r="K79" s="19" t="s">
        <v>328</v>
      </c>
      <c r="L79" s="19" t="s">
        <v>544</v>
      </c>
      <c r="M79" s="19" t="s">
        <v>563</v>
      </c>
      <c r="N79" s="19" t="s">
        <v>559</v>
      </c>
      <c r="O79" s="19" t="s">
        <v>562</v>
      </c>
      <c r="P79" s="19" t="s">
        <v>548</v>
      </c>
      <c r="Q79" s="19" t="s">
        <v>549</v>
      </c>
      <c r="R79" s="19" t="s">
        <v>341</v>
      </c>
      <c r="S79" s="19" t="s">
        <v>551</v>
      </c>
      <c r="T79" s="19" t="s">
        <v>332</v>
      </c>
      <c r="U79" s="19" t="s">
        <v>333</v>
      </c>
      <c r="V79" s="19" t="s">
        <v>342</v>
      </c>
      <c r="W79" s="18">
        <f t="shared" si="2"/>
        <v>0</v>
      </c>
      <c r="X79" s="18">
        <f t="shared" si="3"/>
        <v>1</v>
      </c>
    </row>
    <row r="80" ht="36" customHeight="1" spans="1:24">
      <c r="A80" s="18" t="s">
        <v>15</v>
      </c>
      <c r="B80" s="18">
        <v>51</v>
      </c>
      <c r="C80" s="18">
        <v>3</v>
      </c>
      <c r="D80" s="18" t="s">
        <v>335</v>
      </c>
      <c r="E80" s="19" t="s">
        <v>564</v>
      </c>
      <c r="F80" s="19" t="s">
        <v>565</v>
      </c>
      <c r="G80" s="19" t="s">
        <v>554</v>
      </c>
      <c r="H80" s="18" t="s">
        <v>566</v>
      </c>
      <c r="I80" s="18" t="s">
        <v>327</v>
      </c>
      <c r="J80" s="18" t="s">
        <v>112</v>
      </c>
      <c r="K80" s="19" t="s">
        <v>328</v>
      </c>
      <c r="L80" s="19" t="s">
        <v>544</v>
      </c>
      <c r="M80" s="19" t="s">
        <v>567</v>
      </c>
      <c r="N80" s="19" t="s">
        <v>559</v>
      </c>
      <c r="O80" s="19" t="s">
        <v>566</v>
      </c>
      <c r="P80" s="19" t="s">
        <v>548</v>
      </c>
      <c r="Q80" s="19" t="s">
        <v>549</v>
      </c>
      <c r="R80" s="19" t="s">
        <v>341</v>
      </c>
      <c r="S80" s="19" t="s">
        <v>551</v>
      </c>
      <c r="T80" s="19" t="s">
        <v>332</v>
      </c>
      <c r="U80" s="19" t="s">
        <v>333</v>
      </c>
      <c r="V80" s="19" t="s">
        <v>342</v>
      </c>
      <c r="W80" s="18">
        <f t="shared" si="2"/>
        <v>0</v>
      </c>
      <c r="X80" s="18">
        <f t="shared" si="3"/>
        <v>1</v>
      </c>
    </row>
    <row r="81" ht="44" customHeight="1" spans="1:24">
      <c r="A81" s="12" t="s">
        <v>15</v>
      </c>
      <c r="B81" s="12">
        <v>52</v>
      </c>
      <c r="C81" s="12">
        <v>1</v>
      </c>
      <c r="D81" s="12" t="s">
        <v>312</v>
      </c>
      <c r="E81" s="13" t="s">
        <v>568</v>
      </c>
      <c r="F81" s="13" t="s">
        <v>569</v>
      </c>
      <c r="G81" s="13" t="s">
        <v>30</v>
      </c>
      <c r="H81" s="12" t="s">
        <v>30</v>
      </c>
      <c r="I81" s="12" t="s">
        <v>315</v>
      </c>
      <c r="J81" s="12" t="s">
        <v>112</v>
      </c>
      <c r="K81" s="13" t="s">
        <v>73</v>
      </c>
      <c r="L81" s="13" t="s">
        <v>570</v>
      </c>
      <c r="M81" s="13" t="s">
        <v>571</v>
      </c>
      <c r="N81" s="13" t="s">
        <v>572</v>
      </c>
      <c r="O81" s="13" t="s">
        <v>573</v>
      </c>
      <c r="P81" s="13" t="s">
        <v>574</v>
      </c>
      <c r="Q81" s="13" t="s">
        <v>575</v>
      </c>
      <c r="R81" s="13" t="s">
        <v>576</v>
      </c>
      <c r="S81" s="13" t="s">
        <v>577</v>
      </c>
      <c r="T81" s="13" t="s">
        <v>578</v>
      </c>
      <c r="U81" s="13" t="s">
        <v>83</v>
      </c>
      <c r="V81" s="13" t="s">
        <v>579</v>
      </c>
      <c r="W81" s="12">
        <f t="shared" si="2"/>
        <v>1</v>
      </c>
      <c r="X81" s="12">
        <f t="shared" si="3"/>
        <v>1</v>
      </c>
    </row>
    <row r="82" ht="44" customHeight="1" spans="1:24">
      <c r="A82" s="16" t="s">
        <v>15</v>
      </c>
      <c r="B82" s="16">
        <v>53</v>
      </c>
      <c r="C82" s="16">
        <v>2</v>
      </c>
      <c r="D82" s="16" t="s">
        <v>323</v>
      </c>
      <c r="E82" s="17" t="s">
        <v>580</v>
      </c>
      <c r="F82" s="17" t="s">
        <v>581</v>
      </c>
      <c r="G82" s="17" t="s">
        <v>569</v>
      </c>
      <c r="H82" s="16" t="s">
        <v>326</v>
      </c>
      <c r="I82" s="16" t="s">
        <v>327</v>
      </c>
      <c r="J82" s="16" t="s">
        <v>112</v>
      </c>
      <c r="K82" s="17" t="s">
        <v>328</v>
      </c>
      <c r="L82" s="17" t="s">
        <v>570</v>
      </c>
      <c r="M82" s="17" t="s">
        <v>329</v>
      </c>
      <c r="N82" s="17" t="s">
        <v>330</v>
      </c>
      <c r="O82" s="17" t="s">
        <v>326</v>
      </c>
      <c r="P82" s="17" t="s">
        <v>574</v>
      </c>
      <c r="Q82" s="17" t="s">
        <v>575</v>
      </c>
      <c r="R82" s="17" t="s">
        <v>331</v>
      </c>
      <c r="S82" s="17" t="s">
        <v>577</v>
      </c>
      <c r="T82" s="17" t="s">
        <v>332</v>
      </c>
      <c r="U82" s="17" t="s">
        <v>333</v>
      </c>
      <c r="V82" s="17" t="s">
        <v>334</v>
      </c>
      <c r="W82" s="16">
        <f t="shared" si="2"/>
        <v>0</v>
      </c>
      <c r="X82" s="16">
        <f t="shared" si="3"/>
        <v>1</v>
      </c>
    </row>
    <row r="83" ht="36" customHeight="1" spans="1:24">
      <c r="A83" s="18" t="s">
        <v>15</v>
      </c>
      <c r="B83" s="18">
        <v>54</v>
      </c>
      <c r="C83" s="18">
        <v>3</v>
      </c>
      <c r="D83" s="18" t="s">
        <v>335</v>
      </c>
      <c r="E83" s="19" t="s">
        <v>582</v>
      </c>
      <c r="F83" s="19" t="s">
        <v>583</v>
      </c>
      <c r="G83" s="19" t="s">
        <v>581</v>
      </c>
      <c r="H83" s="18" t="s">
        <v>584</v>
      </c>
      <c r="I83" s="18" t="s">
        <v>327</v>
      </c>
      <c r="J83" s="18" t="s">
        <v>112</v>
      </c>
      <c r="K83" s="19" t="s">
        <v>328</v>
      </c>
      <c r="L83" s="19" t="s">
        <v>570</v>
      </c>
      <c r="M83" s="19" t="s">
        <v>585</v>
      </c>
      <c r="N83" s="19" t="s">
        <v>586</v>
      </c>
      <c r="O83" s="19" t="s">
        <v>584</v>
      </c>
      <c r="P83" s="19" t="s">
        <v>574</v>
      </c>
      <c r="Q83" s="19" t="s">
        <v>575</v>
      </c>
      <c r="R83" s="19" t="s">
        <v>341</v>
      </c>
      <c r="S83" s="19" t="s">
        <v>577</v>
      </c>
      <c r="T83" s="19" t="s">
        <v>332</v>
      </c>
      <c r="U83" s="19" t="s">
        <v>333</v>
      </c>
      <c r="V83" s="19" t="s">
        <v>342</v>
      </c>
      <c r="W83" s="18">
        <f t="shared" si="2"/>
        <v>0</v>
      </c>
      <c r="X83" s="18">
        <f t="shared" si="3"/>
        <v>1</v>
      </c>
    </row>
    <row r="84" ht="36" customHeight="1" spans="1:24">
      <c r="A84" s="18" t="s">
        <v>15</v>
      </c>
      <c r="B84" s="18">
        <v>55</v>
      </c>
      <c r="C84" s="18">
        <v>3</v>
      </c>
      <c r="D84" s="18" t="s">
        <v>335</v>
      </c>
      <c r="E84" s="19" t="s">
        <v>587</v>
      </c>
      <c r="F84" s="19" t="s">
        <v>588</v>
      </c>
      <c r="G84" s="19" t="s">
        <v>581</v>
      </c>
      <c r="H84" s="18" t="s">
        <v>589</v>
      </c>
      <c r="I84" s="18" t="s">
        <v>327</v>
      </c>
      <c r="J84" s="18" t="s">
        <v>112</v>
      </c>
      <c r="K84" s="19" t="s">
        <v>328</v>
      </c>
      <c r="L84" s="19" t="s">
        <v>570</v>
      </c>
      <c r="M84" s="19" t="s">
        <v>590</v>
      </c>
      <c r="N84" s="19" t="s">
        <v>586</v>
      </c>
      <c r="O84" s="19" t="s">
        <v>589</v>
      </c>
      <c r="P84" s="19" t="s">
        <v>574</v>
      </c>
      <c r="Q84" s="19" t="s">
        <v>575</v>
      </c>
      <c r="R84" s="19" t="s">
        <v>341</v>
      </c>
      <c r="S84" s="19" t="s">
        <v>577</v>
      </c>
      <c r="T84" s="19" t="s">
        <v>332</v>
      </c>
      <c r="U84" s="19" t="s">
        <v>333</v>
      </c>
      <c r="V84" s="19" t="s">
        <v>342</v>
      </c>
      <c r="W84" s="18">
        <f t="shared" si="2"/>
        <v>0</v>
      </c>
      <c r="X84" s="18">
        <f t="shared" si="3"/>
        <v>1</v>
      </c>
    </row>
    <row r="85" ht="36" customHeight="1" spans="1:24">
      <c r="A85" s="18" t="s">
        <v>15</v>
      </c>
      <c r="B85" s="18">
        <v>56</v>
      </c>
      <c r="C85" s="18">
        <v>3</v>
      </c>
      <c r="D85" s="18" t="s">
        <v>335</v>
      </c>
      <c r="E85" s="19" t="s">
        <v>591</v>
      </c>
      <c r="F85" s="19" t="s">
        <v>592</v>
      </c>
      <c r="G85" s="19" t="s">
        <v>581</v>
      </c>
      <c r="H85" s="18" t="s">
        <v>593</v>
      </c>
      <c r="I85" s="18" t="s">
        <v>327</v>
      </c>
      <c r="J85" s="18" t="s">
        <v>112</v>
      </c>
      <c r="K85" s="19" t="s">
        <v>328</v>
      </c>
      <c r="L85" s="19" t="s">
        <v>570</v>
      </c>
      <c r="M85" s="19" t="s">
        <v>594</v>
      </c>
      <c r="N85" s="19" t="s">
        <v>586</v>
      </c>
      <c r="O85" s="19" t="s">
        <v>593</v>
      </c>
      <c r="P85" s="19" t="s">
        <v>574</v>
      </c>
      <c r="Q85" s="19" t="s">
        <v>575</v>
      </c>
      <c r="R85" s="19" t="s">
        <v>341</v>
      </c>
      <c r="S85" s="19" t="s">
        <v>577</v>
      </c>
      <c r="T85" s="19" t="s">
        <v>332</v>
      </c>
      <c r="U85" s="19" t="s">
        <v>333</v>
      </c>
      <c r="V85" s="19" t="s">
        <v>342</v>
      </c>
      <c r="W85" s="18">
        <f t="shared" si="2"/>
        <v>0</v>
      </c>
      <c r="X85" s="18">
        <f t="shared" si="3"/>
        <v>1</v>
      </c>
    </row>
    <row r="86" ht="44" customHeight="1" spans="1:24">
      <c r="A86" s="12" t="s">
        <v>15</v>
      </c>
      <c r="B86" s="12">
        <v>57</v>
      </c>
      <c r="C86" s="12">
        <v>1</v>
      </c>
      <c r="D86" s="12" t="s">
        <v>312</v>
      </c>
      <c r="E86" s="13" t="s">
        <v>595</v>
      </c>
      <c r="F86" s="13" t="s">
        <v>596</v>
      </c>
      <c r="G86" s="13" t="s">
        <v>30</v>
      </c>
      <c r="H86" s="12" t="s">
        <v>30</v>
      </c>
      <c r="I86" s="12" t="s">
        <v>315</v>
      </c>
      <c r="J86" s="12" t="s">
        <v>72</v>
      </c>
      <c r="K86" s="13" t="s">
        <v>73</v>
      </c>
      <c r="L86" s="13" t="s">
        <v>597</v>
      </c>
      <c r="M86" s="13" t="s">
        <v>598</v>
      </c>
      <c r="N86" s="13" t="s">
        <v>599</v>
      </c>
      <c r="O86" s="13" t="s">
        <v>600</v>
      </c>
      <c r="P86" s="13" t="s">
        <v>601</v>
      </c>
      <c r="Q86" s="13" t="s">
        <v>602</v>
      </c>
      <c r="R86" s="13" t="s">
        <v>603</v>
      </c>
      <c r="S86" s="13" t="s">
        <v>604</v>
      </c>
      <c r="T86" s="13" t="s">
        <v>299</v>
      </c>
      <c r="U86" s="13" t="s">
        <v>300</v>
      </c>
      <c r="V86" s="13" t="s">
        <v>301</v>
      </c>
      <c r="W86" s="12">
        <f t="shared" si="2"/>
        <v>1</v>
      </c>
      <c r="X86" s="12">
        <f t="shared" si="3"/>
        <v>1</v>
      </c>
    </row>
    <row r="87" ht="44" customHeight="1" spans="1:24">
      <c r="A87" s="16" t="s">
        <v>15</v>
      </c>
      <c r="B87" s="16">
        <v>58</v>
      </c>
      <c r="C87" s="16">
        <v>2</v>
      </c>
      <c r="D87" s="16" t="s">
        <v>323</v>
      </c>
      <c r="E87" s="17" t="s">
        <v>605</v>
      </c>
      <c r="F87" s="17" t="s">
        <v>606</v>
      </c>
      <c r="G87" s="17" t="s">
        <v>596</v>
      </c>
      <c r="H87" s="16" t="s">
        <v>326</v>
      </c>
      <c r="I87" s="16" t="s">
        <v>327</v>
      </c>
      <c r="J87" s="16" t="s">
        <v>72</v>
      </c>
      <c r="K87" s="17" t="s">
        <v>328</v>
      </c>
      <c r="L87" s="17" t="s">
        <v>597</v>
      </c>
      <c r="M87" s="17" t="s">
        <v>329</v>
      </c>
      <c r="N87" s="17" t="s">
        <v>330</v>
      </c>
      <c r="O87" s="17" t="s">
        <v>326</v>
      </c>
      <c r="P87" s="17" t="s">
        <v>601</v>
      </c>
      <c r="Q87" s="17" t="s">
        <v>602</v>
      </c>
      <c r="R87" s="17" t="s">
        <v>331</v>
      </c>
      <c r="S87" s="17" t="s">
        <v>604</v>
      </c>
      <c r="T87" s="17" t="s">
        <v>332</v>
      </c>
      <c r="U87" s="17" t="s">
        <v>333</v>
      </c>
      <c r="V87" s="17" t="s">
        <v>334</v>
      </c>
      <c r="W87" s="16">
        <f t="shared" si="2"/>
        <v>0</v>
      </c>
      <c r="X87" s="16">
        <f t="shared" si="3"/>
        <v>1</v>
      </c>
    </row>
    <row r="88" ht="36" customHeight="1" spans="1:24">
      <c r="A88" s="18" t="s">
        <v>15</v>
      </c>
      <c r="B88" s="18">
        <v>59</v>
      </c>
      <c r="C88" s="18">
        <v>3</v>
      </c>
      <c r="D88" s="18" t="s">
        <v>335</v>
      </c>
      <c r="E88" s="19" t="s">
        <v>607</v>
      </c>
      <c r="F88" s="19" t="s">
        <v>608</v>
      </c>
      <c r="G88" s="19" t="s">
        <v>606</v>
      </c>
      <c r="H88" s="18" t="s">
        <v>609</v>
      </c>
      <c r="I88" s="18" t="s">
        <v>327</v>
      </c>
      <c r="J88" s="18" t="s">
        <v>72</v>
      </c>
      <c r="K88" s="19" t="s">
        <v>328</v>
      </c>
      <c r="L88" s="19" t="s">
        <v>597</v>
      </c>
      <c r="M88" s="19" t="s">
        <v>610</v>
      </c>
      <c r="N88" s="19" t="s">
        <v>611</v>
      </c>
      <c r="O88" s="19" t="s">
        <v>609</v>
      </c>
      <c r="P88" s="19" t="s">
        <v>601</v>
      </c>
      <c r="Q88" s="19" t="s">
        <v>602</v>
      </c>
      <c r="R88" s="19" t="s">
        <v>341</v>
      </c>
      <c r="S88" s="19" t="s">
        <v>604</v>
      </c>
      <c r="T88" s="19" t="s">
        <v>332</v>
      </c>
      <c r="U88" s="19" t="s">
        <v>333</v>
      </c>
      <c r="V88" s="19" t="s">
        <v>342</v>
      </c>
      <c r="W88" s="18">
        <f t="shared" si="2"/>
        <v>0</v>
      </c>
      <c r="X88" s="18">
        <f t="shared" si="3"/>
        <v>1</v>
      </c>
    </row>
    <row r="89" ht="36" customHeight="1" spans="1:24">
      <c r="A89" s="18" t="s">
        <v>15</v>
      </c>
      <c r="B89" s="18">
        <v>60</v>
      </c>
      <c r="C89" s="18">
        <v>3</v>
      </c>
      <c r="D89" s="18" t="s">
        <v>335</v>
      </c>
      <c r="E89" s="19" t="s">
        <v>612</v>
      </c>
      <c r="F89" s="19" t="s">
        <v>613</v>
      </c>
      <c r="G89" s="19" t="s">
        <v>606</v>
      </c>
      <c r="H89" s="18" t="s">
        <v>614</v>
      </c>
      <c r="I89" s="18" t="s">
        <v>327</v>
      </c>
      <c r="J89" s="18" t="s">
        <v>72</v>
      </c>
      <c r="K89" s="19" t="s">
        <v>328</v>
      </c>
      <c r="L89" s="19" t="s">
        <v>597</v>
      </c>
      <c r="M89" s="19" t="s">
        <v>615</v>
      </c>
      <c r="N89" s="19" t="s">
        <v>611</v>
      </c>
      <c r="O89" s="19" t="s">
        <v>614</v>
      </c>
      <c r="P89" s="19" t="s">
        <v>601</v>
      </c>
      <c r="Q89" s="19" t="s">
        <v>602</v>
      </c>
      <c r="R89" s="19" t="s">
        <v>341</v>
      </c>
      <c r="S89" s="19" t="s">
        <v>604</v>
      </c>
      <c r="T89" s="19" t="s">
        <v>332</v>
      </c>
      <c r="U89" s="19" t="s">
        <v>333</v>
      </c>
      <c r="V89" s="19" t="s">
        <v>342</v>
      </c>
      <c r="W89" s="18">
        <f t="shared" si="2"/>
        <v>0</v>
      </c>
      <c r="X89" s="18">
        <f t="shared" si="3"/>
        <v>1</v>
      </c>
    </row>
    <row r="90" ht="36" customHeight="1" spans="1:24">
      <c r="A90" s="18" t="s">
        <v>15</v>
      </c>
      <c r="B90" s="18">
        <v>61</v>
      </c>
      <c r="C90" s="18">
        <v>3</v>
      </c>
      <c r="D90" s="18" t="s">
        <v>335</v>
      </c>
      <c r="E90" s="19" t="s">
        <v>616</v>
      </c>
      <c r="F90" s="19" t="s">
        <v>617</v>
      </c>
      <c r="G90" s="19" t="s">
        <v>606</v>
      </c>
      <c r="H90" s="18" t="s">
        <v>618</v>
      </c>
      <c r="I90" s="18" t="s">
        <v>327</v>
      </c>
      <c r="J90" s="18" t="s">
        <v>72</v>
      </c>
      <c r="K90" s="19" t="s">
        <v>328</v>
      </c>
      <c r="L90" s="19" t="s">
        <v>597</v>
      </c>
      <c r="M90" s="19" t="s">
        <v>619</v>
      </c>
      <c r="N90" s="19" t="s">
        <v>611</v>
      </c>
      <c r="O90" s="19" t="s">
        <v>618</v>
      </c>
      <c r="P90" s="19" t="s">
        <v>601</v>
      </c>
      <c r="Q90" s="19" t="s">
        <v>602</v>
      </c>
      <c r="R90" s="19" t="s">
        <v>341</v>
      </c>
      <c r="S90" s="19" t="s">
        <v>604</v>
      </c>
      <c r="T90" s="19" t="s">
        <v>332</v>
      </c>
      <c r="U90" s="19" t="s">
        <v>333</v>
      </c>
      <c r="V90" s="19" t="s">
        <v>342</v>
      </c>
      <c r="W90" s="18">
        <f t="shared" si="2"/>
        <v>0</v>
      </c>
      <c r="X90" s="18">
        <f t="shared" si="3"/>
        <v>1</v>
      </c>
    </row>
    <row r="91" ht="36" customHeight="1" spans="1:24">
      <c r="A91" s="18" t="s">
        <v>15</v>
      </c>
      <c r="B91" s="18">
        <v>62</v>
      </c>
      <c r="C91" s="18">
        <v>3</v>
      </c>
      <c r="D91" s="18" t="s">
        <v>335</v>
      </c>
      <c r="E91" s="19" t="s">
        <v>620</v>
      </c>
      <c r="F91" s="19" t="s">
        <v>621</v>
      </c>
      <c r="G91" s="19" t="s">
        <v>606</v>
      </c>
      <c r="H91" s="18" t="s">
        <v>622</v>
      </c>
      <c r="I91" s="18" t="s">
        <v>327</v>
      </c>
      <c r="J91" s="18" t="s">
        <v>72</v>
      </c>
      <c r="K91" s="19" t="s">
        <v>328</v>
      </c>
      <c r="L91" s="19" t="s">
        <v>597</v>
      </c>
      <c r="M91" s="19" t="s">
        <v>623</v>
      </c>
      <c r="N91" s="19" t="s">
        <v>611</v>
      </c>
      <c r="O91" s="19" t="s">
        <v>622</v>
      </c>
      <c r="P91" s="19" t="s">
        <v>601</v>
      </c>
      <c r="Q91" s="19" t="s">
        <v>602</v>
      </c>
      <c r="R91" s="19" t="s">
        <v>341</v>
      </c>
      <c r="S91" s="19" t="s">
        <v>604</v>
      </c>
      <c r="T91" s="19" t="s">
        <v>332</v>
      </c>
      <c r="U91" s="19" t="s">
        <v>333</v>
      </c>
      <c r="V91" s="19" t="s">
        <v>342</v>
      </c>
      <c r="W91" s="18">
        <f t="shared" si="2"/>
        <v>0</v>
      </c>
      <c r="X91" s="18">
        <f t="shared" si="3"/>
        <v>1</v>
      </c>
    </row>
    <row r="92" ht="44" customHeight="1" spans="1:24">
      <c r="A92" s="12" t="s">
        <v>15</v>
      </c>
      <c r="B92" s="12">
        <v>63</v>
      </c>
      <c r="C92" s="12">
        <v>1</v>
      </c>
      <c r="D92" s="12" t="s">
        <v>312</v>
      </c>
      <c r="E92" s="13" t="s">
        <v>624</v>
      </c>
      <c r="F92" s="13" t="s">
        <v>625</v>
      </c>
      <c r="G92" s="13" t="s">
        <v>30</v>
      </c>
      <c r="H92" s="12" t="s">
        <v>30</v>
      </c>
      <c r="I92" s="12" t="s">
        <v>315</v>
      </c>
      <c r="J92" s="12" t="s">
        <v>112</v>
      </c>
      <c r="K92" s="13" t="s">
        <v>73</v>
      </c>
      <c r="L92" s="13" t="s">
        <v>626</v>
      </c>
      <c r="M92" s="13" t="s">
        <v>627</v>
      </c>
      <c r="N92" s="13" t="s">
        <v>628</v>
      </c>
      <c r="O92" s="13" t="s">
        <v>629</v>
      </c>
      <c r="P92" s="13" t="s">
        <v>630</v>
      </c>
      <c r="Q92" s="13" t="s">
        <v>631</v>
      </c>
      <c r="R92" s="13" t="s">
        <v>632</v>
      </c>
      <c r="S92" s="13" t="s">
        <v>633</v>
      </c>
      <c r="T92" s="13" t="s">
        <v>299</v>
      </c>
      <c r="U92" s="13" t="s">
        <v>300</v>
      </c>
      <c r="V92" s="13" t="s">
        <v>301</v>
      </c>
      <c r="W92" s="12">
        <f t="shared" si="2"/>
        <v>1</v>
      </c>
      <c r="X92" s="12">
        <f t="shared" si="3"/>
        <v>1</v>
      </c>
    </row>
    <row r="93" ht="44" customHeight="1" spans="1:24">
      <c r="A93" s="16" t="s">
        <v>15</v>
      </c>
      <c r="B93" s="16">
        <v>64</v>
      </c>
      <c r="C93" s="16">
        <v>2</v>
      </c>
      <c r="D93" s="16" t="s">
        <v>323</v>
      </c>
      <c r="E93" s="17" t="s">
        <v>634</v>
      </c>
      <c r="F93" s="17" t="s">
        <v>635</v>
      </c>
      <c r="G93" s="17" t="s">
        <v>625</v>
      </c>
      <c r="H93" s="16" t="s">
        <v>326</v>
      </c>
      <c r="I93" s="16" t="s">
        <v>327</v>
      </c>
      <c r="J93" s="16" t="s">
        <v>112</v>
      </c>
      <c r="K93" s="17" t="s">
        <v>328</v>
      </c>
      <c r="L93" s="17" t="s">
        <v>626</v>
      </c>
      <c r="M93" s="17" t="s">
        <v>329</v>
      </c>
      <c r="N93" s="17" t="s">
        <v>330</v>
      </c>
      <c r="O93" s="17" t="s">
        <v>326</v>
      </c>
      <c r="P93" s="17" t="s">
        <v>630</v>
      </c>
      <c r="Q93" s="17" t="s">
        <v>631</v>
      </c>
      <c r="R93" s="17" t="s">
        <v>331</v>
      </c>
      <c r="S93" s="17" t="s">
        <v>633</v>
      </c>
      <c r="T93" s="17" t="s">
        <v>332</v>
      </c>
      <c r="U93" s="17" t="s">
        <v>381</v>
      </c>
      <c r="V93" s="17" t="s">
        <v>334</v>
      </c>
      <c r="W93" s="16">
        <f t="shared" si="2"/>
        <v>0</v>
      </c>
      <c r="X93" s="16">
        <f t="shared" si="3"/>
        <v>1</v>
      </c>
    </row>
    <row r="94" ht="44" customHeight="1" spans="1:24">
      <c r="A94" s="12" t="s">
        <v>15</v>
      </c>
      <c r="B94" s="12">
        <v>65</v>
      </c>
      <c r="C94" s="12">
        <v>1</v>
      </c>
      <c r="D94" s="12" t="s">
        <v>312</v>
      </c>
      <c r="E94" s="13" t="s">
        <v>636</v>
      </c>
      <c r="F94" s="13" t="s">
        <v>637</v>
      </c>
      <c r="G94" s="13" t="s">
        <v>30</v>
      </c>
      <c r="H94" s="12" t="s">
        <v>30</v>
      </c>
      <c r="I94" s="12" t="s">
        <v>315</v>
      </c>
      <c r="J94" s="12" t="s">
        <v>72</v>
      </c>
      <c r="K94" s="13" t="s">
        <v>73</v>
      </c>
      <c r="L94" s="13" t="s">
        <v>638</v>
      </c>
      <c r="M94" s="13" t="s">
        <v>639</v>
      </c>
      <c r="N94" s="13" t="s">
        <v>640</v>
      </c>
      <c r="O94" s="13" t="s">
        <v>641</v>
      </c>
      <c r="P94" s="13" t="s">
        <v>642</v>
      </c>
      <c r="Q94" s="13" t="s">
        <v>643</v>
      </c>
      <c r="R94" s="13" t="s">
        <v>644</v>
      </c>
      <c r="S94" s="13" t="s">
        <v>633</v>
      </c>
      <c r="T94" s="13" t="s">
        <v>299</v>
      </c>
      <c r="U94" s="13" t="s">
        <v>300</v>
      </c>
      <c r="V94" s="13" t="s">
        <v>301</v>
      </c>
      <c r="W94" s="12">
        <f t="shared" si="2"/>
        <v>1</v>
      </c>
      <c r="X94" s="12">
        <f t="shared" si="3"/>
        <v>1</v>
      </c>
    </row>
    <row r="95" ht="44" customHeight="1" spans="1:24">
      <c r="A95" s="16" t="s">
        <v>15</v>
      </c>
      <c r="B95" s="16">
        <v>66</v>
      </c>
      <c r="C95" s="16">
        <v>2</v>
      </c>
      <c r="D95" s="16" t="s">
        <v>323</v>
      </c>
      <c r="E95" s="17" t="s">
        <v>645</v>
      </c>
      <c r="F95" s="17" t="s">
        <v>646</v>
      </c>
      <c r="G95" s="17" t="s">
        <v>637</v>
      </c>
      <c r="H95" s="16" t="s">
        <v>326</v>
      </c>
      <c r="I95" s="16" t="s">
        <v>327</v>
      </c>
      <c r="J95" s="16" t="s">
        <v>72</v>
      </c>
      <c r="K95" s="17" t="s">
        <v>328</v>
      </c>
      <c r="L95" s="17" t="s">
        <v>638</v>
      </c>
      <c r="M95" s="17" t="s">
        <v>329</v>
      </c>
      <c r="N95" s="17" t="s">
        <v>330</v>
      </c>
      <c r="O95" s="17" t="s">
        <v>326</v>
      </c>
      <c r="P95" s="17" t="s">
        <v>642</v>
      </c>
      <c r="Q95" s="17" t="s">
        <v>643</v>
      </c>
      <c r="R95" s="17" t="s">
        <v>331</v>
      </c>
      <c r="S95" s="17" t="s">
        <v>633</v>
      </c>
      <c r="T95" s="17" t="s">
        <v>332</v>
      </c>
      <c r="U95" s="17" t="s">
        <v>333</v>
      </c>
      <c r="V95" s="17" t="s">
        <v>334</v>
      </c>
      <c r="W95" s="16">
        <f t="shared" si="2"/>
        <v>0</v>
      </c>
      <c r="X95" s="16">
        <f t="shared" si="3"/>
        <v>1</v>
      </c>
    </row>
    <row r="96" ht="36" customHeight="1" spans="1:24">
      <c r="A96" s="18" t="s">
        <v>15</v>
      </c>
      <c r="B96" s="18">
        <v>67</v>
      </c>
      <c r="C96" s="18">
        <v>3</v>
      </c>
      <c r="D96" s="18" t="s">
        <v>335</v>
      </c>
      <c r="E96" s="19" t="s">
        <v>647</v>
      </c>
      <c r="F96" s="19" t="s">
        <v>648</v>
      </c>
      <c r="G96" s="19" t="s">
        <v>646</v>
      </c>
      <c r="H96" s="18" t="s">
        <v>649</v>
      </c>
      <c r="I96" s="18" t="s">
        <v>327</v>
      </c>
      <c r="J96" s="18" t="s">
        <v>72</v>
      </c>
      <c r="K96" s="19" t="s">
        <v>328</v>
      </c>
      <c r="L96" s="19" t="s">
        <v>638</v>
      </c>
      <c r="M96" s="19" t="s">
        <v>650</v>
      </c>
      <c r="N96" s="19" t="s">
        <v>651</v>
      </c>
      <c r="O96" s="19" t="s">
        <v>649</v>
      </c>
      <c r="P96" s="19" t="s">
        <v>642</v>
      </c>
      <c r="Q96" s="19" t="s">
        <v>643</v>
      </c>
      <c r="R96" s="19" t="s">
        <v>341</v>
      </c>
      <c r="S96" s="19" t="s">
        <v>633</v>
      </c>
      <c r="T96" s="19" t="s">
        <v>332</v>
      </c>
      <c r="U96" s="19" t="s">
        <v>333</v>
      </c>
      <c r="V96" s="19" t="s">
        <v>342</v>
      </c>
      <c r="W96" s="18">
        <f t="shared" si="2"/>
        <v>0</v>
      </c>
      <c r="X96" s="18">
        <f t="shared" si="3"/>
        <v>1</v>
      </c>
    </row>
    <row r="97" ht="36" customHeight="1" spans="1:24">
      <c r="A97" s="18" t="s">
        <v>15</v>
      </c>
      <c r="B97" s="18">
        <v>68</v>
      </c>
      <c r="C97" s="18">
        <v>3</v>
      </c>
      <c r="D97" s="18" t="s">
        <v>335</v>
      </c>
      <c r="E97" s="19" t="s">
        <v>652</v>
      </c>
      <c r="F97" s="19" t="s">
        <v>653</v>
      </c>
      <c r="G97" s="19" t="s">
        <v>646</v>
      </c>
      <c r="H97" s="18" t="s">
        <v>654</v>
      </c>
      <c r="I97" s="18" t="s">
        <v>327</v>
      </c>
      <c r="J97" s="18" t="s">
        <v>72</v>
      </c>
      <c r="K97" s="19" t="s">
        <v>328</v>
      </c>
      <c r="L97" s="19" t="s">
        <v>638</v>
      </c>
      <c r="M97" s="19" t="s">
        <v>655</v>
      </c>
      <c r="N97" s="19" t="s">
        <v>651</v>
      </c>
      <c r="O97" s="19" t="s">
        <v>654</v>
      </c>
      <c r="P97" s="19" t="s">
        <v>642</v>
      </c>
      <c r="Q97" s="19" t="s">
        <v>643</v>
      </c>
      <c r="R97" s="19" t="s">
        <v>341</v>
      </c>
      <c r="S97" s="19" t="s">
        <v>633</v>
      </c>
      <c r="T97" s="19" t="s">
        <v>332</v>
      </c>
      <c r="U97" s="19" t="s">
        <v>333</v>
      </c>
      <c r="V97" s="19" t="s">
        <v>342</v>
      </c>
      <c r="W97" s="18">
        <f t="shared" si="2"/>
        <v>0</v>
      </c>
      <c r="X97" s="18">
        <f t="shared" si="3"/>
        <v>1</v>
      </c>
    </row>
    <row r="98" ht="36" customHeight="1" spans="1:24">
      <c r="A98" s="18" t="s">
        <v>15</v>
      </c>
      <c r="B98" s="18">
        <v>69</v>
      </c>
      <c r="C98" s="18">
        <v>3</v>
      </c>
      <c r="D98" s="18" t="s">
        <v>335</v>
      </c>
      <c r="E98" s="19" t="s">
        <v>656</v>
      </c>
      <c r="F98" s="19" t="s">
        <v>657</v>
      </c>
      <c r="G98" s="19" t="s">
        <v>646</v>
      </c>
      <c r="H98" s="18" t="s">
        <v>658</v>
      </c>
      <c r="I98" s="18" t="s">
        <v>327</v>
      </c>
      <c r="J98" s="18" t="s">
        <v>72</v>
      </c>
      <c r="K98" s="19" t="s">
        <v>328</v>
      </c>
      <c r="L98" s="19" t="s">
        <v>638</v>
      </c>
      <c r="M98" s="19" t="s">
        <v>659</v>
      </c>
      <c r="N98" s="19" t="s">
        <v>651</v>
      </c>
      <c r="O98" s="19" t="s">
        <v>658</v>
      </c>
      <c r="P98" s="19" t="s">
        <v>642</v>
      </c>
      <c r="Q98" s="19" t="s">
        <v>643</v>
      </c>
      <c r="R98" s="19" t="s">
        <v>341</v>
      </c>
      <c r="S98" s="19" t="s">
        <v>633</v>
      </c>
      <c r="T98" s="19" t="s">
        <v>332</v>
      </c>
      <c r="U98" s="19" t="s">
        <v>333</v>
      </c>
      <c r="V98" s="19" t="s">
        <v>342</v>
      </c>
      <c r="W98" s="18">
        <f t="shared" si="2"/>
        <v>0</v>
      </c>
      <c r="X98" s="18">
        <f t="shared" si="3"/>
        <v>1</v>
      </c>
    </row>
    <row r="99" ht="44" customHeight="1" spans="1:24">
      <c r="A99" s="12" t="s">
        <v>15</v>
      </c>
      <c r="B99" s="12">
        <v>70</v>
      </c>
      <c r="C99" s="12">
        <v>1</v>
      </c>
      <c r="D99" s="12" t="s">
        <v>312</v>
      </c>
      <c r="E99" s="13" t="s">
        <v>660</v>
      </c>
      <c r="F99" s="13" t="s">
        <v>661</v>
      </c>
      <c r="G99" s="13" t="s">
        <v>30</v>
      </c>
      <c r="H99" s="12" t="s">
        <v>30</v>
      </c>
      <c r="I99" s="12" t="s">
        <v>315</v>
      </c>
      <c r="J99" s="12" t="s">
        <v>112</v>
      </c>
      <c r="K99" s="13" t="s">
        <v>662</v>
      </c>
      <c r="L99" s="13" t="s">
        <v>604</v>
      </c>
      <c r="M99" s="13" t="s">
        <v>663</v>
      </c>
      <c r="N99" s="13" t="s">
        <v>664</v>
      </c>
      <c r="O99" s="13" t="s">
        <v>665</v>
      </c>
      <c r="P99" s="13" t="s">
        <v>666</v>
      </c>
      <c r="Q99" s="13" t="s">
        <v>667</v>
      </c>
      <c r="R99" s="13" t="s">
        <v>668</v>
      </c>
      <c r="S99" s="13" t="s">
        <v>669</v>
      </c>
      <c r="T99" s="13" t="s">
        <v>227</v>
      </c>
      <c r="U99" s="13" t="s">
        <v>228</v>
      </c>
      <c r="V99" s="13" t="s">
        <v>229</v>
      </c>
      <c r="W99" s="12">
        <f t="shared" si="2"/>
        <v>1</v>
      </c>
      <c r="X99" s="12">
        <f t="shared" si="3"/>
        <v>1</v>
      </c>
    </row>
    <row r="100" ht="44" customHeight="1" spans="1:24">
      <c r="A100" s="16" t="s">
        <v>15</v>
      </c>
      <c r="B100" s="16">
        <v>71</v>
      </c>
      <c r="C100" s="16">
        <v>2</v>
      </c>
      <c r="D100" s="16" t="s">
        <v>323</v>
      </c>
      <c r="E100" s="17" t="s">
        <v>670</v>
      </c>
      <c r="F100" s="17" t="s">
        <v>671</v>
      </c>
      <c r="G100" s="17" t="s">
        <v>661</v>
      </c>
      <c r="H100" s="16" t="s">
        <v>326</v>
      </c>
      <c r="I100" s="16" t="s">
        <v>327</v>
      </c>
      <c r="J100" s="16" t="s">
        <v>112</v>
      </c>
      <c r="K100" s="17" t="s">
        <v>328</v>
      </c>
      <c r="L100" s="17" t="s">
        <v>604</v>
      </c>
      <c r="M100" s="17" t="s">
        <v>329</v>
      </c>
      <c r="N100" s="17" t="s">
        <v>330</v>
      </c>
      <c r="O100" s="17" t="s">
        <v>326</v>
      </c>
      <c r="P100" s="17" t="s">
        <v>666</v>
      </c>
      <c r="Q100" s="17" t="s">
        <v>667</v>
      </c>
      <c r="R100" s="17" t="s">
        <v>331</v>
      </c>
      <c r="S100" s="17" t="s">
        <v>669</v>
      </c>
      <c r="T100" s="17" t="s">
        <v>332</v>
      </c>
      <c r="U100" s="17" t="s">
        <v>672</v>
      </c>
      <c r="V100" s="17" t="s">
        <v>334</v>
      </c>
      <c r="W100" s="16">
        <f t="shared" si="2"/>
        <v>0</v>
      </c>
      <c r="X100" s="16">
        <f t="shared" si="3"/>
        <v>1</v>
      </c>
    </row>
    <row r="101" ht="36" customHeight="1" spans="1:24">
      <c r="A101" s="18" t="s">
        <v>15</v>
      </c>
      <c r="B101" s="18">
        <v>72</v>
      </c>
      <c r="C101" s="18">
        <v>3</v>
      </c>
      <c r="D101" s="18" t="s">
        <v>335</v>
      </c>
      <c r="E101" s="19" t="s">
        <v>673</v>
      </c>
      <c r="F101" s="19" t="s">
        <v>674</v>
      </c>
      <c r="G101" s="19" t="s">
        <v>671</v>
      </c>
      <c r="H101" s="18" t="s">
        <v>675</v>
      </c>
      <c r="I101" s="18" t="s">
        <v>327</v>
      </c>
      <c r="J101" s="18" t="s">
        <v>112</v>
      </c>
      <c r="K101" s="19" t="s">
        <v>328</v>
      </c>
      <c r="L101" s="19" t="s">
        <v>604</v>
      </c>
      <c r="M101" s="19" t="s">
        <v>676</v>
      </c>
      <c r="N101" s="19" t="s">
        <v>677</v>
      </c>
      <c r="O101" s="19" t="s">
        <v>675</v>
      </c>
      <c r="P101" s="19" t="s">
        <v>666</v>
      </c>
      <c r="Q101" s="19" t="s">
        <v>667</v>
      </c>
      <c r="R101" s="19" t="s">
        <v>341</v>
      </c>
      <c r="S101" s="19" t="s">
        <v>669</v>
      </c>
      <c r="T101" s="19" t="s">
        <v>332</v>
      </c>
      <c r="U101" s="19" t="s">
        <v>672</v>
      </c>
      <c r="V101" s="19" t="s">
        <v>342</v>
      </c>
      <c r="W101" s="18">
        <f t="shared" si="2"/>
        <v>0</v>
      </c>
      <c r="X101" s="18">
        <f t="shared" si="3"/>
        <v>1</v>
      </c>
    </row>
    <row r="102" ht="36" customHeight="1" spans="1:24">
      <c r="A102" s="18" t="s">
        <v>15</v>
      </c>
      <c r="B102" s="18">
        <v>73</v>
      </c>
      <c r="C102" s="18">
        <v>3</v>
      </c>
      <c r="D102" s="18" t="s">
        <v>335</v>
      </c>
      <c r="E102" s="19" t="s">
        <v>678</v>
      </c>
      <c r="F102" s="19" t="s">
        <v>679</v>
      </c>
      <c r="G102" s="19" t="s">
        <v>671</v>
      </c>
      <c r="H102" s="18" t="s">
        <v>680</v>
      </c>
      <c r="I102" s="18" t="s">
        <v>327</v>
      </c>
      <c r="J102" s="18" t="s">
        <v>112</v>
      </c>
      <c r="K102" s="19" t="s">
        <v>328</v>
      </c>
      <c r="L102" s="19" t="s">
        <v>604</v>
      </c>
      <c r="M102" s="19" t="s">
        <v>681</v>
      </c>
      <c r="N102" s="19" t="s">
        <v>677</v>
      </c>
      <c r="O102" s="19" t="s">
        <v>680</v>
      </c>
      <c r="P102" s="19" t="s">
        <v>666</v>
      </c>
      <c r="Q102" s="19" t="s">
        <v>667</v>
      </c>
      <c r="R102" s="19" t="s">
        <v>341</v>
      </c>
      <c r="S102" s="19" t="s">
        <v>669</v>
      </c>
      <c r="T102" s="19" t="s">
        <v>332</v>
      </c>
      <c r="U102" s="19" t="s">
        <v>672</v>
      </c>
      <c r="V102" s="19" t="s">
        <v>342</v>
      </c>
      <c r="W102" s="18">
        <f t="shared" si="2"/>
        <v>0</v>
      </c>
      <c r="X102" s="18">
        <f t="shared" si="3"/>
        <v>1</v>
      </c>
    </row>
    <row r="103" ht="36" customHeight="1" spans="1:24">
      <c r="A103" s="18" t="s">
        <v>15</v>
      </c>
      <c r="B103" s="18">
        <v>74</v>
      </c>
      <c r="C103" s="18">
        <v>3</v>
      </c>
      <c r="D103" s="18" t="s">
        <v>335</v>
      </c>
      <c r="E103" s="19" t="s">
        <v>391</v>
      </c>
      <c r="F103" s="19" t="s">
        <v>682</v>
      </c>
      <c r="G103" s="19" t="s">
        <v>671</v>
      </c>
      <c r="H103" s="18" t="s">
        <v>393</v>
      </c>
      <c r="I103" s="18" t="s">
        <v>327</v>
      </c>
      <c r="J103" s="18" t="s">
        <v>112</v>
      </c>
      <c r="K103" s="19" t="s">
        <v>328</v>
      </c>
      <c r="L103" s="19" t="s">
        <v>604</v>
      </c>
      <c r="M103" s="19" t="s">
        <v>394</v>
      </c>
      <c r="N103" s="19" t="s">
        <v>677</v>
      </c>
      <c r="O103" s="19" t="s">
        <v>393</v>
      </c>
      <c r="P103" s="19" t="s">
        <v>666</v>
      </c>
      <c r="Q103" s="19" t="s">
        <v>667</v>
      </c>
      <c r="R103" s="19" t="s">
        <v>341</v>
      </c>
      <c r="S103" s="19" t="s">
        <v>669</v>
      </c>
      <c r="T103" s="19" t="s">
        <v>332</v>
      </c>
      <c r="U103" s="19" t="s">
        <v>672</v>
      </c>
      <c r="V103" s="19" t="s">
        <v>342</v>
      </c>
      <c r="W103" s="18">
        <f t="shared" si="2"/>
        <v>0</v>
      </c>
      <c r="X103" s="18">
        <f t="shared" si="3"/>
        <v>1</v>
      </c>
    </row>
    <row r="104" ht="36" customHeight="1" spans="1:24">
      <c r="A104" s="18" t="s">
        <v>15</v>
      </c>
      <c r="B104" s="18">
        <v>75</v>
      </c>
      <c r="C104" s="18">
        <v>3</v>
      </c>
      <c r="D104" s="18" t="s">
        <v>335</v>
      </c>
      <c r="E104" s="19" t="s">
        <v>683</v>
      </c>
      <c r="F104" s="19" t="s">
        <v>684</v>
      </c>
      <c r="G104" s="19" t="s">
        <v>671</v>
      </c>
      <c r="H104" s="18" t="s">
        <v>685</v>
      </c>
      <c r="I104" s="18" t="s">
        <v>327</v>
      </c>
      <c r="J104" s="18" t="s">
        <v>112</v>
      </c>
      <c r="K104" s="19" t="s">
        <v>328</v>
      </c>
      <c r="L104" s="19" t="s">
        <v>604</v>
      </c>
      <c r="M104" s="19" t="s">
        <v>686</v>
      </c>
      <c r="N104" s="19" t="s">
        <v>677</v>
      </c>
      <c r="O104" s="19" t="s">
        <v>685</v>
      </c>
      <c r="P104" s="19" t="s">
        <v>666</v>
      </c>
      <c r="Q104" s="19" t="s">
        <v>667</v>
      </c>
      <c r="R104" s="19" t="s">
        <v>341</v>
      </c>
      <c r="S104" s="19" t="s">
        <v>669</v>
      </c>
      <c r="T104" s="19" t="s">
        <v>332</v>
      </c>
      <c r="U104" s="19" t="s">
        <v>672</v>
      </c>
      <c r="V104" s="19" t="s">
        <v>342</v>
      </c>
      <c r="W104" s="18">
        <f t="shared" si="2"/>
        <v>0</v>
      </c>
      <c r="X104" s="18">
        <f t="shared" si="3"/>
        <v>1</v>
      </c>
    </row>
    <row r="105" ht="44" customHeight="1" spans="1:24">
      <c r="A105" s="14" t="s">
        <v>15</v>
      </c>
      <c r="B105" s="14">
        <v>76</v>
      </c>
      <c r="C105" s="14">
        <v>1</v>
      </c>
      <c r="D105" s="14" t="s">
        <v>312</v>
      </c>
      <c r="E105" s="15" t="s">
        <v>687</v>
      </c>
      <c r="F105" s="15" t="s">
        <v>688</v>
      </c>
      <c r="G105" s="15" t="s">
        <v>30</v>
      </c>
      <c r="H105" s="14" t="s">
        <v>30</v>
      </c>
      <c r="I105" s="14" t="s">
        <v>315</v>
      </c>
      <c r="J105" s="14" t="s">
        <v>112</v>
      </c>
      <c r="K105" s="15" t="s">
        <v>178</v>
      </c>
      <c r="L105" s="15" t="s">
        <v>166</v>
      </c>
      <c r="M105" s="15" t="s">
        <v>689</v>
      </c>
      <c r="N105" s="15" t="s">
        <v>690</v>
      </c>
      <c r="O105" s="15" t="s">
        <v>691</v>
      </c>
      <c r="P105" s="15" t="s">
        <v>692</v>
      </c>
      <c r="Q105" s="15" t="s">
        <v>693</v>
      </c>
      <c r="R105" s="15" t="s">
        <v>694</v>
      </c>
      <c r="S105" s="15" t="s">
        <v>173</v>
      </c>
      <c r="T105" s="15" t="s">
        <v>82</v>
      </c>
      <c r="U105" s="15" t="s">
        <v>174</v>
      </c>
      <c r="V105" s="15" t="s">
        <v>695</v>
      </c>
      <c r="W105" s="14">
        <f t="shared" si="2"/>
        <v>1</v>
      </c>
      <c r="X105" s="14">
        <f t="shared" si="3"/>
        <v>0</v>
      </c>
    </row>
    <row r="106" ht="44" customHeight="1" spans="1:24">
      <c r="A106" s="14" t="s">
        <v>15</v>
      </c>
      <c r="B106" s="14">
        <v>77</v>
      </c>
      <c r="C106" s="14">
        <v>1</v>
      </c>
      <c r="D106" s="14" t="s">
        <v>312</v>
      </c>
      <c r="E106" s="15" t="s">
        <v>696</v>
      </c>
      <c r="F106" s="15" t="s">
        <v>697</v>
      </c>
      <c r="G106" s="15" t="s">
        <v>30</v>
      </c>
      <c r="H106" s="14" t="s">
        <v>30</v>
      </c>
      <c r="I106" s="14" t="s">
        <v>315</v>
      </c>
      <c r="J106" s="14" t="s">
        <v>112</v>
      </c>
      <c r="K106" s="15" t="s">
        <v>698</v>
      </c>
      <c r="L106" s="15" t="s">
        <v>166</v>
      </c>
      <c r="M106" s="15" t="s">
        <v>699</v>
      </c>
      <c r="N106" s="15" t="s">
        <v>700</v>
      </c>
      <c r="O106" s="15" t="s">
        <v>701</v>
      </c>
      <c r="P106" s="15" t="s">
        <v>702</v>
      </c>
      <c r="Q106" s="15" t="s">
        <v>703</v>
      </c>
      <c r="R106" s="15" t="s">
        <v>704</v>
      </c>
      <c r="S106" s="15" t="s">
        <v>194</v>
      </c>
      <c r="T106" s="15" t="s">
        <v>405</v>
      </c>
      <c r="U106" s="15" t="s">
        <v>174</v>
      </c>
      <c r="V106" s="15" t="s">
        <v>705</v>
      </c>
      <c r="W106" s="14">
        <f t="shared" si="2"/>
        <v>1</v>
      </c>
      <c r="X106" s="14">
        <f t="shared" si="3"/>
        <v>0</v>
      </c>
    </row>
    <row r="107" ht="44" customHeight="1" spans="1:24">
      <c r="A107" s="14" t="s">
        <v>15</v>
      </c>
      <c r="B107" s="14">
        <v>78</v>
      </c>
      <c r="C107" s="14">
        <v>1</v>
      </c>
      <c r="D107" s="14" t="s">
        <v>312</v>
      </c>
      <c r="E107" s="15" t="s">
        <v>706</v>
      </c>
      <c r="F107" s="15" t="s">
        <v>707</v>
      </c>
      <c r="G107" s="15" t="s">
        <v>30</v>
      </c>
      <c r="H107" s="14" t="s">
        <v>30</v>
      </c>
      <c r="I107" s="14" t="s">
        <v>315</v>
      </c>
      <c r="J107" s="14" t="s">
        <v>112</v>
      </c>
      <c r="K107" s="15" t="s">
        <v>708</v>
      </c>
      <c r="L107" s="15" t="s">
        <v>166</v>
      </c>
      <c r="M107" s="15" t="s">
        <v>709</v>
      </c>
      <c r="N107" s="15" t="s">
        <v>710</v>
      </c>
      <c r="O107" s="15" t="s">
        <v>711</v>
      </c>
      <c r="P107" s="15" t="s">
        <v>712</v>
      </c>
      <c r="Q107" s="15" t="s">
        <v>713</v>
      </c>
      <c r="R107" s="15" t="s">
        <v>694</v>
      </c>
      <c r="S107" s="15" t="s">
        <v>714</v>
      </c>
      <c r="T107" s="15" t="s">
        <v>82</v>
      </c>
      <c r="U107" s="15" t="s">
        <v>174</v>
      </c>
      <c r="V107" s="15" t="s">
        <v>715</v>
      </c>
      <c r="W107" s="14">
        <f t="shared" si="2"/>
        <v>1</v>
      </c>
      <c r="X107" s="14">
        <f t="shared" si="3"/>
        <v>0</v>
      </c>
    </row>
    <row r="108" ht="44" customHeight="1" spans="1:24">
      <c r="A108" s="14" t="s">
        <v>18</v>
      </c>
      <c r="B108" s="14">
        <v>1</v>
      </c>
      <c r="C108" s="14">
        <v>1</v>
      </c>
      <c r="D108" s="14" t="s">
        <v>716</v>
      </c>
      <c r="E108" s="15" t="s">
        <v>717</v>
      </c>
      <c r="F108" s="15" t="s">
        <v>718</v>
      </c>
      <c r="G108" s="15" t="s">
        <v>30</v>
      </c>
      <c r="H108" s="14" t="s">
        <v>30</v>
      </c>
      <c r="I108" s="14" t="s">
        <v>719</v>
      </c>
      <c r="J108" s="14" t="s">
        <v>112</v>
      </c>
      <c r="K108" s="15" t="s">
        <v>720</v>
      </c>
      <c r="L108" s="15" t="s">
        <v>166</v>
      </c>
      <c r="M108" s="15" t="s">
        <v>721</v>
      </c>
      <c r="N108" s="15" t="s">
        <v>722</v>
      </c>
      <c r="O108" s="15" t="s">
        <v>723</v>
      </c>
      <c r="P108" s="15" t="s">
        <v>724</v>
      </c>
      <c r="Q108" s="15" t="s">
        <v>725</v>
      </c>
      <c r="R108" s="15" t="s">
        <v>726</v>
      </c>
      <c r="S108" s="15" t="s">
        <v>194</v>
      </c>
      <c r="T108" s="15" t="s">
        <v>727</v>
      </c>
      <c r="U108" s="15" t="s">
        <v>174</v>
      </c>
      <c r="V108" s="15" t="s">
        <v>728</v>
      </c>
      <c r="W108" s="14">
        <f t="shared" si="2"/>
        <v>1</v>
      </c>
      <c r="X108" s="14">
        <f t="shared" si="3"/>
        <v>0</v>
      </c>
    </row>
    <row r="109" ht="44" customHeight="1" spans="1:24">
      <c r="A109" s="14" t="s">
        <v>18</v>
      </c>
      <c r="B109" s="14">
        <v>2</v>
      </c>
      <c r="C109" s="14">
        <v>1</v>
      </c>
      <c r="D109" s="14" t="s">
        <v>716</v>
      </c>
      <c r="E109" s="15" t="s">
        <v>729</v>
      </c>
      <c r="F109" s="15" t="s">
        <v>730</v>
      </c>
      <c r="G109" s="15" t="s">
        <v>30</v>
      </c>
      <c r="H109" s="14" t="s">
        <v>30</v>
      </c>
      <c r="I109" s="14" t="s">
        <v>719</v>
      </c>
      <c r="J109" s="14" t="s">
        <v>112</v>
      </c>
      <c r="K109" s="15" t="s">
        <v>731</v>
      </c>
      <c r="L109" s="15" t="s">
        <v>166</v>
      </c>
      <c r="M109" s="15" t="s">
        <v>732</v>
      </c>
      <c r="N109" s="15" t="s">
        <v>733</v>
      </c>
      <c r="O109" s="15" t="s">
        <v>723</v>
      </c>
      <c r="P109" s="15" t="s">
        <v>724</v>
      </c>
      <c r="Q109" s="15" t="s">
        <v>725</v>
      </c>
      <c r="R109" s="15" t="s">
        <v>726</v>
      </c>
      <c r="S109" s="15" t="s">
        <v>194</v>
      </c>
      <c r="T109" s="15" t="s">
        <v>727</v>
      </c>
      <c r="U109" s="15" t="s">
        <v>174</v>
      </c>
      <c r="V109" s="15" t="s">
        <v>728</v>
      </c>
      <c r="W109" s="14">
        <f t="shared" si="2"/>
        <v>1</v>
      </c>
      <c r="X109" s="14">
        <f t="shared" si="3"/>
        <v>0</v>
      </c>
    </row>
    <row r="110" ht="44" customHeight="1" spans="1:24">
      <c r="A110" s="12" t="s">
        <v>18</v>
      </c>
      <c r="B110" s="12">
        <v>3</v>
      </c>
      <c r="C110" s="12">
        <v>1</v>
      </c>
      <c r="D110" s="12" t="s">
        <v>716</v>
      </c>
      <c r="E110" s="13" t="s">
        <v>734</v>
      </c>
      <c r="F110" s="13" t="s">
        <v>735</v>
      </c>
      <c r="G110" s="13" t="s">
        <v>30</v>
      </c>
      <c r="H110" s="12" t="s">
        <v>30</v>
      </c>
      <c r="I110" s="12" t="s">
        <v>719</v>
      </c>
      <c r="J110" s="12" t="s">
        <v>72</v>
      </c>
      <c r="K110" s="13" t="s">
        <v>73</v>
      </c>
      <c r="L110" s="13" t="s">
        <v>736</v>
      </c>
      <c r="M110" s="13" t="s">
        <v>737</v>
      </c>
      <c r="N110" s="13" t="s">
        <v>738</v>
      </c>
      <c r="O110" s="13" t="s">
        <v>573</v>
      </c>
      <c r="P110" s="13" t="s">
        <v>739</v>
      </c>
      <c r="Q110" s="13" t="s">
        <v>740</v>
      </c>
      <c r="R110" s="13" t="s">
        <v>741</v>
      </c>
      <c r="S110" s="13" t="s">
        <v>742</v>
      </c>
      <c r="T110" s="13" t="s">
        <v>405</v>
      </c>
      <c r="U110" s="13" t="s">
        <v>83</v>
      </c>
      <c r="V110" s="13" t="s">
        <v>743</v>
      </c>
      <c r="W110" s="12">
        <f t="shared" si="2"/>
        <v>1</v>
      </c>
      <c r="X110" s="12">
        <f t="shared" si="3"/>
        <v>1</v>
      </c>
    </row>
    <row r="111" ht="44" customHeight="1" spans="1:24">
      <c r="A111" s="12" t="s">
        <v>18</v>
      </c>
      <c r="B111" s="12">
        <v>4</v>
      </c>
      <c r="C111" s="12">
        <v>1</v>
      </c>
      <c r="D111" s="12" t="s">
        <v>716</v>
      </c>
      <c r="E111" s="13" t="s">
        <v>744</v>
      </c>
      <c r="F111" s="13" t="s">
        <v>745</v>
      </c>
      <c r="G111" s="13" t="s">
        <v>30</v>
      </c>
      <c r="H111" s="12" t="s">
        <v>30</v>
      </c>
      <c r="I111" s="12" t="s">
        <v>719</v>
      </c>
      <c r="J111" s="12" t="s">
        <v>72</v>
      </c>
      <c r="K111" s="13" t="s">
        <v>73</v>
      </c>
      <c r="L111" s="13" t="s">
        <v>746</v>
      </c>
      <c r="M111" s="13" t="s">
        <v>747</v>
      </c>
      <c r="N111" s="13" t="s">
        <v>748</v>
      </c>
      <c r="O111" s="13" t="s">
        <v>749</v>
      </c>
      <c r="P111" s="13" t="s">
        <v>750</v>
      </c>
      <c r="Q111" s="13" t="s">
        <v>740</v>
      </c>
      <c r="R111" s="13" t="s">
        <v>751</v>
      </c>
      <c r="S111" s="13" t="s">
        <v>752</v>
      </c>
      <c r="T111" s="13" t="s">
        <v>727</v>
      </c>
      <c r="U111" s="13" t="s">
        <v>83</v>
      </c>
      <c r="V111" s="13" t="s">
        <v>753</v>
      </c>
      <c r="W111" s="12">
        <f t="shared" si="2"/>
        <v>1</v>
      </c>
      <c r="X111" s="12">
        <f t="shared" si="3"/>
        <v>1</v>
      </c>
    </row>
    <row r="112" ht="44" customHeight="1" spans="1:24">
      <c r="A112" s="12" t="s">
        <v>18</v>
      </c>
      <c r="B112" s="12">
        <v>5</v>
      </c>
      <c r="C112" s="12">
        <v>1</v>
      </c>
      <c r="D112" s="12" t="s">
        <v>716</v>
      </c>
      <c r="E112" s="13" t="s">
        <v>754</v>
      </c>
      <c r="F112" s="13" t="s">
        <v>755</v>
      </c>
      <c r="G112" s="13" t="s">
        <v>30</v>
      </c>
      <c r="H112" s="12" t="s">
        <v>30</v>
      </c>
      <c r="I112" s="12" t="s">
        <v>719</v>
      </c>
      <c r="J112" s="12" t="s">
        <v>72</v>
      </c>
      <c r="K112" s="13" t="s">
        <v>73</v>
      </c>
      <c r="L112" s="13" t="s">
        <v>756</v>
      </c>
      <c r="M112" s="13" t="s">
        <v>757</v>
      </c>
      <c r="N112" s="13" t="s">
        <v>758</v>
      </c>
      <c r="O112" s="13" t="s">
        <v>759</v>
      </c>
      <c r="P112" s="13" t="s">
        <v>760</v>
      </c>
      <c r="Q112" s="13" t="s">
        <v>761</v>
      </c>
      <c r="R112" s="13" t="s">
        <v>762</v>
      </c>
      <c r="S112" s="13" t="s">
        <v>763</v>
      </c>
      <c r="T112" s="13" t="s">
        <v>405</v>
      </c>
      <c r="U112" s="13" t="s">
        <v>83</v>
      </c>
      <c r="V112" s="13" t="s">
        <v>743</v>
      </c>
      <c r="W112" s="12">
        <f t="shared" si="2"/>
        <v>1</v>
      </c>
      <c r="X112" s="12">
        <f t="shared" si="3"/>
        <v>1</v>
      </c>
    </row>
    <row r="113" ht="44" customHeight="1" spans="1:24">
      <c r="A113" s="12" t="s">
        <v>18</v>
      </c>
      <c r="B113" s="12">
        <v>6</v>
      </c>
      <c r="C113" s="12">
        <v>1</v>
      </c>
      <c r="D113" s="12" t="s">
        <v>716</v>
      </c>
      <c r="E113" s="13" t="s">
        <v>764</v>
      </c>
      <c r="F113" s="13" t="s">
        <v>765</v>
      </c>
      <c r="G113" s="13" t="s">
        <v>30</v>
      </c>
      <c r="H113" s="12" t="s">
        <v>30</v>
      </c>
      <c r="I113" s="12" t="s">
        <v>719</v>
      </c>
      <c r="J113" s="12" t="s">
        <v>112</v>
      </c>
      <c r="K113" s="13" t="s">
        <v>73</v>
      </c>
      <c r="L113" s="13" t="s">
        <v>766</v>
      </c>
      <c r="M113" s="13" t="s">
        <v>767</v>
      </c>
      <c r="N113" s="13" t="s">
        <v>768</v>
      </c>
      <c r="O113" s="13" t="s">
        <v>769</v>
      </c>
      <c r="P113" s="13" t="s">
        <v>770</v>
      </c>
      <c r="Q113" s="13" t="s">
        <v>771</v>
      </c>
      <c r="R113" s="13" t="s">
        <v>772</v>
      </c>
      <c r="S113" s="13" t="s">
        <v>773</v>
      </c>
      <c r="T113" s="13" t="s">
        <v>727</v>
      </c>
      <c r="U113" s="13" t="s">
        <v>122</v>
      </c>
      <c r="V113" s="13" t="s">
        <v>774</v>
      </c>
      <c r="W113" s="12">
        <f t="shared" si="2"/>
        <v>1</v>
      </c>
      <c r="X113" s="12">
        <f t="shared" si="3"/>
        <v>1</v>
      </c>
    </row>
    <row r="114" ht="44" customHeight="1" spans="1:24">
      <c r="A114" s="12" t="s">
        <v>18</v>
      </c>
      <c r="B114" s="12">
        <v>7</v>
      </c>
      <c r="C114" s="12">
        <v>1</v>
      </c>
      <c r="D114" s="12" t="s">
        <v>716</v>
      </c>
      <c r="E114" s="13" t="s">
        <v>775</v>
      </c>
      <c r="F114" s="13" t="s">
        <v>776</v>
      </c>
      <c r="G114" s="13" t="s">
        <v>30</v>
      </c>
      <c r="H114" s="12" t="s">
        <v>30</v>
      </c>
      <c r="I114" s="12" t="s">
        <v>719</v>
      </c>
      <c r="J114" s="12" t="s">
        <v>72</v>
      </c>
      <c r="K114" s="13" t="s">
        <v>73</v>
      </c>
      <c r="L114" s="13" t="s">
        <v>777</v>
      </c>
      <c r="M114" s="13" t="s">
        <v>778</v>
      </c>
      <c r="N114" s="13" t="s">
        <v>779</v>
      </c>
      <c r="O114" s="13" t="s">
        <v>780</v>
      </c>
      <c r="P114" s="13" t="s">
        <v>781</v>
      </c>
      <c r="Q114" s="13" t="s">
        <v>105</v>
      </c>
      <c r="R114" s="13" t="s">
        <v>782</v>
      </c>
      <c r="S114" s="13" t="s">
        <v>551</v>
      </c>
      <c r="T114" s="13" t="s">
        <v>405</v>
      </c>
      <c r="U114" s="13" t="s">
        <v>83</v>
      </c>
      <c r="V114" s="13" t="s">
        <v>783</v>
      </c>
      <c r="W114" s="12">
        <f t="shared" si="2"/>
        <v>1</v>
      </c>
      <c r="X114" s="12">
        <f t="shared" si="3"/>
        <v>1</v>
      </c>
    </row>
    <row r="115" ht="44" customHeight="1" spans="1:24">
      <c r="A115" s="12" t="s">
        <v>18</v>
      </c>
      <c r="B115" s="12">
        <v>8</v>
      </c>
      <c r="C115" s="12">
        <v>1</v>
      </c>
      <c r="D115" s="12" t="s">
        <v>716</v>
      </c>
      <c r="E115" s="13" t="s">
        <v>784</v>
      </c>
      <c r="F115" s="13" t="s">
        <v>785</v>
      </c>
      <c r="G115" s="13" t="s">
        <v>30</v>
      </c>
      <c r="H115" s="12" t="s">
        <v>30</v>
      </c>
      <c r="I115" s="12" t="s">
        <v>719</v>
      </c>
      <c r="J115" s="12" t="s">
        <v>72</v>
      </c>
      <c r="K115" s="13" t="s">
        <v>73</v>
      </c>
      <c r="L115" s="13" t="s">
        <v>786</v>
      </c>
      <c r="M115" s="13" t="s">
        <v>787</v>
      </c>
      <c r="N115" s="13" t="s">
        <v>788</v>
      </c>
      <c r="O115" s="13" t="s">
        <v>789</v>
      </c>
      <c r="P115" s="13" t="s">
        <v>790</v>
      </c>
      <c r="Q115" s="13" t="s">
        <v>791</v>
      </c>
      <c r="R115" s="13" t="s">
        <v>792</v>
      </c>
      <c r="S115" s="13" t="s">
        <v>793</v>
      </c>
      <c r="T115" s="13" t="s">
        <v>299</v>
      </c>
      <c r="U115" s="13" t="s">
        <v>300</v>
      </c>
      <c r="V115" s="13" t="s">
        <v>301</v>
      </c>
      <c r="W115" s="12">
        <f t="shared" si="2"/>
        <v>1</v>
      </c>
      <c r="X115" s="12">
        <f t="shared" si="3"/>
        <v>1</v>
      </c>
    </row>
    <row r="116" ht="44" customHeight="1" spans="1:24">
      <c r="A116" s="12" t="s">
        <v>18</v>
      </c>
      <c r="B116" s="12">
        <v>9</v>
      </c>
      <c r="C116" s="12">
        <v>1</v>
      </c>
      <c r="D116" s="12" t="s">
        <v>716</v>
      </c>
      <c r="E116" s="13" t="s">
        <v>794</v>
      </c>
      <c r="F116" s="13" t="s">
        <v>795</v>
      </c>
      <c r="G116" s="13" t="s">
        <v>30</v>
      </c>
      <c r="H116" s="12" t="s">
        <v>30</v>
      </c>
      <c r="I116" s="12" t="s">
        <v>719</v>
      </c>
      <c r="J116" s="12" t="s">
        <v>72</v>
      </c>
      <c r="K116" s="13" t="s">
        <v>73</v>
      </c>
      <c r="L116" s="13" t="s">
        <v>597</v>
      </c>
      <c r="M116" s="13" t="s">
        <v>796</v>
      </c>
      <c r="N116" s="13" t="s">
        <v>797</v>
      </c>
      <c r="O116" s="13" t="s">
        <v>798</v>
      </c>
      <c r="P116" s="13" t="s">
        <v>799</v>
      </c>
      <c r="Q116" s="13" t="s">
        <v>800</v>
      </c>
      <c r="R116" s="13" t="s">
        <v>801</v>
      </c>
      <c r="S116" s="13" t="s">
        <v>604</v>
      </c>
      <c r="T116" s="13" t="s">
        <v>299</v>
      </c>
      <c r="U116" s="13" t="s">
        <v>300</v>
      </c>
      <c r="V116" s="13" t="s">
        <v>301</v>
      </c>
      <c r="W116" s="12">
        <f t="shared" si="2"/>
        <v>1</v>
      </c>
      <c r="X116" s="12">
        <f t="shared" si="3"/>
        <v>1</v>
      </c>
    </row>
    <row r="117" ht="44" customHeight="1" spans="1:24">
      <c r="A117" s="12" t="s">
        <v>18</v>
      </c>
      <c r="B117" s="12">
        <v>10</v>
      </c>
      <c r="C117" s="12">
        <v>1</v>
      </c>
      <c r="D117" s="12" t="s">
        <v>716</v>
      </c>
      <c r="E117" s="13" t="s">
        <v>802</v>
      </c>
      <c r="F117" s="13" t="s">
        <v>803</v>
      </c>
      <c r="G117" s="13" t="s">
        <v>30</v>
      </c>
      <c r="H117" s="12" t="s">
        <v>30</v>
      </c>
      <c r="I117" s="12" t="s">
        <v>719</v>
      </c>
      <c r="J117" s="12" t="s">
        <v>72</v>
      </c>
      <c r="K117" s="13" t="s">
        <v>73</v>
      </c>
      <c r="L117" s="13" t="s">
        <v>804</v>
      </c>
      <c r="M117" s="13" t="s">
        <v>805</v>
      </c>
      <c r="N117" s="13" t="s">
        <v>806</v>
      </c>
      <c r="O117" s="13" t="s">
        <v>807</v>
      </c>
      <c r="P117" s="13" t="s">
        <v>808</v>
      </c>
      <c r="Q117" s="13" t="s">
        <v>809</v>
      </c>
      <c r="R117" s="13" t="s">
        <v>810</v>
      </c>
      <c r="S117" s="13" t="s">
        <v>633</v>
      </c>
      <c r="T117" s="13" t="s">
        <v>299</v>
      </c>
      <c r="U117" s="13" t="s">
        <v>300</v>
      </c>
      <c r="V117" s="13" t="s">
        <v>301</v>
      </c>
      <c r="W117" s="12">
        <f t="shared" si="2"/>
        <v>1</v>
      </c>
      <c r="X117" s="12">
        <f t="shared" si="3"/>
        <v>1</v>
      </c>
    </row>
    <row r="118" ht="44" customHeight="1" spans="1:24">
      <c r="A118" s="12" t="s">
        <v>18</v>
      </c>
      <c r="B118" s="12">
        <v>11</v>
      </c>
      <c r="C118" s="12">
        <v>1</v>
      </c>
      <c r="D118" s="12" t="s">
        <v>716</v>
      </c>
      <c r="E118" s="13" t="s">
        <v>811</v>
      </c>
      <c r="F118" s="13" t="s">
        <v>812</v>
      </c>
      <c r="G118" s="13" t="s">
        <v>30</v>
      </c>
      <c r="H118" s="12" t="s">
        <v>30</v>
      </c>
      <c r="I118" s="12" t="s">
        <v>719</v>
      </c>
      <c r="J118" s="12" t="s">
        <v>112</v>
      </c>
      <c r="K118" s="13" t="s">
        <v>73</v>
      </c>
      <c r="L118" s="13" t="s">
        <v>813</v>
      </c>
      <c r="M118" s="13" t="s">
        <v>814</v>
      </c>
      <c r="N118" s="13" t="s">
        <v>815</v>
      </c>
      <c r="O118" s="13" t="s">
        <v>816</v>
      </c>
      <c r="P118" s="13" t="s">
        <v>817</v>
      </c>
      <c r="Q118" s="13" t="s">
        <v>818</v>
      </c>
      <c r="R118" s="13" t="s">
        <v>819</v>
      </c>
      <c r="S118" s="13" t="s">
        <v>820</v>
      </c>
      <c r="T118" s="13" t="s">
        <v>299</v>
      </c>
      <c r="U118" s="13" t="s">
        <v>300</v>
      </c>
      <c r="V118" s="13" t="s">
        <v>301</v>
      </c>
      <c r="W118" s="12">
        <f t="shared" si="2"/>
        <v>1</v>
      </c>
      <c r="X118" s="12">
        <f t="shared" si="3"/>
        <v>1</v>
      </c>
    </row>
    <row r="119" ht="44" customHeight="1" spans="1:24">
      <c r="A119" s="12" t="s">
        <v>18</v>
      </c>
      <c r="B119" s="12">
        <v>12</v>
      </c>
      <c r="C119" s="12">
        <v>1</v>
      </c>
      <c r="D119" s="12" t="s">
        <v>716</v>
      </c>
      <c r="E119" s="13" t="s">
        <v>821</v>
      </c>
      <c r="F119" s="13" t="s">
        <v>822</v>
      </c>
      <c r="G119" s="13" t="s">
        <v>30</v>
      </c>
      <c r="H119" s="12" t="s">
        <v>30</v>
      </c>
      <c r="I119" s="12" t="s">
        <v>719</v>
      </c>
      <c r="J119" s="12" t="s">
        <v>112</v>
      </c>
      <c r="K119" s="13" t="s">
        <v>73</v>
      </c>
      <c r="L119" s="13" t="s">
        <v>823</v>
      </c>
      <c r="M119" s="13" t="s">
        <v>824</v>
      </c>
      <c r="N119" s="13" t="s">
        <v>825</v>
      </c>
      <c r="O119" s="13" t="s">
        <v>826</v>
      </c>
      <c r="P119" s="13" t="s">
        <v>827</v>
      </c>
      <c r="Q119" s="13" t="s">
        <v>828</v>
      </c>
      <c r="R119" s="13" t="s">
        <v>829</v>
      </c>
      <c r="S119" s="13" t="s">
        <v>830</v>
      </c>
      <c r="T119" s="13" t="s">
        <v>299</v>
      </c>
      <c r="U119" s="13" t="s">
        <v>300</v>
      </c>
      <c r="V119" s="13" t="s">
        <v>301</v>
      </c>
      <c r="W119" s="12">
        <f t="shared" si="2"/>
        <v>1</v>
      </c>
      <c r="X119" s="12">
        <f t="shared" si="3"/>
        <v>1</v>
      </c>
    </row>
    <row r="120" ht="44" customHeight="1" spans="1:24">
      <c r="A120" s="12" t="s">
        <v>18</v>
      </c>
      <c r="B120" s="12">
        <v>13</v>
      </c>
      <c r="C120" s="12">
        <v>1</v>
      </c>
      <c r="D120" s="12" t="s">
        <v>716</v>
      </c>
      <c r="E120" s="13" t="s">
        <v>831</v>
      </c>
      <c r="F120" s="13" t="s">
        <v>832</v>
      </c>
      <c r="G120" s="13" t="s">
        <v>30</v>
      </c>
      <c r="H120" s="12" t="s">
        <v>30</v>
      </c>
      <c r="I120" s="12" t="s">
        <v>719</v>
      </c>
      <c r="J120" s="12" t="s">
        <v>112</v>
      </c>
      <c r="K120" s="13" t="s">
        <v>73</v>
      </c>
      <c r="L120" s="13" t="s">
        <v>833</v>
      </c>
      <c r="M120" s="13" t="s">
        <v>834</v>
      </c>
      <c r="N120" s="13" t="s">
        <v>835</v>
      </c>
      <c r="O120" s="13" t="s">
        <v>836</v>
      </c>
      <c r="P120" s="13" t="s">
        <v>837</v>
      </c>
      <c r="Q120" s="13" t="s">
        <v>828</v>
      </c>
      <c r="R120" s="13" t="s">
        <v>838</v>
      </c>
      <c r="S120" s="13" t="s">
        <v>839</v>
      </c>
      <c r="T120" s="13" t="s">
        <v>299</v>
      </c>
      <c r="U120" s="13" t="s">
        <v>300</v>
      </c>
      <c r="V120" s="13" t="s">
        <v>301</v>
      </c>
      <c r="W120" s="12">
        <f t="shared" si="2"/>
        <v>1</v>
      </c>
      <c r="X120" s="12">
        <f t="shared" si="3"/>
        <v>1</v>
      </c>
    </row>
    <row r="121" ht="44" customHeight="1" spans="1:24">
      <c r="A121" s="12" t="s">
        <v>18</v>
      </c>
      <c r="B121" s="12">
        <v>14</v>
      </c>
      <c r="C121" s="12">
        <v>1</v>
      </c>
      <c r="D121" s="12" t="s">
        <v>716</v>
      </c>
      <c r="E121" s="13" t="s">
        <v>840</v>
      </c>
      <c r="F121" s="13" t="s">
        <v>841</v>
      </c>
      <c r="G121" s="13" t="s">
        <v>30</v>
      </c>
      <c r="H121" s="12" t="s">
        <v>30</v>
      </c>
      <c r="I121" s="12" t="s">
        <v>719</v>
      </c>
      <c r="J121" s="12" t="s">
        <v>112</v>
      </c>
      <c r="K121" s="13" t="s">
        <v>73</v>
      </c>
      <c r="L121" s="13" t="s">
        <v>842</v>
      </c>
      <c r="M121" s="13" t="s">
        <v>843</v>
      </c>
      <c r="N121" s="13" t="s">
        <v>844</v>
      </c>
      <c r="O121" s="13" t="s">
        <v>845</v>
      </c>
      <c r="P121" s="13" t="s">
        <v>846</v>
      </c>
      <c r="Q121" s="13" t="s">
        <v>847</v>
      </c>
      <c r="R121" s="13" t="s">
        <v>848</v>
      </c>
      <c r="S121" s="13" t="s">
        <v>604</v>
      </c>
      <c r="T121" s="13" t="s">
        <v>299</v>
      </c>
      <c r="U121" s="13" t="s">
        <v>300</v>
      </c>
      <c r="V121" s="13" t="s">
        <v>301</v>
      </c>
      <c r="W121" s="12">
        <f t="shared" si="2"/>
        <v>1</v>
      </c>
      <c r="X121" s="12">
        <f t="shared" si="3"/>
        <v>1</v>
      </c>
    </row>
    <row r="122" ht="44" customHeight="1" spans="1:24">
      <c r="A122" s="12" t="s">
        <v>18</v>
      </c>
      <c r="B122" s="12">
        <v>15</v>
      </c>
      <c r="C122" s="12">
        <v>1</v>
      </c>
      <c r="D122" s="12" t="s">
        <v>716</v>
      </c>
      <c r="E122" s="13" t="s">
        <v>849</v>
      </c>
      <c r="F122" s="13" t="s">
        <v>850</v>
      </c>
      <c r="G122" s="13" t="s">
        <v>30</v>
      </c>
      <c r="H122" s="12" t="s">
        <v>30</v>
      </c>
      <c r="I122" s="12" t="s">
        <v>719</v>
      </c>
      <c r="J122" s="12" t="s">
        <v>112</v>
      </c>
      <c r="K122" s="13" t="s">
        <v>73</v>
      </c>
      <c r="L122" s="13" t="s">
        <v>626</v>
      </c>
      <c r="M122" s="13" t="s">
        <v>851</v>
      </c>
      <c r="N122" s="13" t="s">
        <v>852</v>
      </c>
      <c r="O122" s="13" t="s">
        <v>853</v>
      </c>
      <c r="P122" s="13" t="s">
        <v>854</v>
      </c>
      <c r="Q122" s="13" t="s">
        <v>309</v>
      </c>
      <c r="R122" s="13" t="s">
        <v>855</v>
      </c>
      <c r="S122" s="13" t="s">
        <v>311</v>
      </c>
      <c r="T122" s="13" t="s">
        <v>299</v>
      </c>
      <c r="U122" s="13" t="s">
        <v>300</v>
      </c>
      <c r="V122" s="13" t="s">
        <v>301</v>
      </c>
      <c r="W122" s="12">
        <f t="shared" si="2"/>
        <v>1</v>
      </c>
      <c r="X122" s="12">
        <f t="shared" si="3"/>
        <v>1</v>
      </c>
    </row>
    <row r="123" ht="44" customHeight="1" spans="1:24">
      <c r="A123" s="12" t="s">
        <v>18</v>
      </c>
      <c r="B123" s="12">
        <v>16</v>
      </c>
      <c r="C123" s="12">
        <v>1</v>
      </c>
      <c r="D123" s="12" t="s">
        <v>856</v>
      </c>
      <c r="E123" s="13" t="s">
        <v>857</v>
      </c>
      <c r="F123" s="13" t="s">
        <v>858</v>
      </c>
      <c r="G123" s="13" t="s">
        <v>30</v>
      </c>
      <c r="H123" s="12" t="s">
        <v>30</v>
      </c>
      <c r="I123" s="12" t="s">
        <v>859</v>
      </c>
      <c r="J123" s="12" t="s">
        <v>72</v>
      </c>
      <c r="K123" s="13" t="s">
        <v>73</v>
      </c>
      <c r="L123" s="13" t="s">
        <v>316</v>
      </c>
      <c r="M123" s="13" t="s">
        <v>860</v>
      </c>
      <c r="N123" s="13" t="s">
        <v>861</v>
      </c>
      <c r="O123" s="13" t="s">
        <v>862</v>
      </c>
      <c r="P123" s="13" t="s">
        <v>863</v>
      </c>
      <c r="Q123" s="13" t="s">
        <v>154</v>
      </c>
      <c r="R123" s="13" t="s">
        <v>864</v>
      </c>
      <c r="S123" s="13" t="s">
        <v>865</v>
      </c>
      <c r="T123" s="13" t="s">
        <v>866</v>
      </c>
      <c r="U123" s="13" t="s">
        <v>867</v>
      </c>
      <c r="V123" s="13" t="s">
        <v>868</v>
      </c>
      <c r="W123" s="12">
        <f t="shared" si="2"/>
        <v>1</v>
      </c>
      <c r="X123" s="12">
        <f t="shared" si="3"/>
        <v>1</v>
      </c>
    </row>
    <row r="124" ht="44" customHeight="1" spans="1:24">
      <c r="A124" s="12" t="s">
        <v>18</v>
      </c>
      <c r="B124" s="12">
        <v>17</v>
      </c>
      <c r="C124" s="12">
        <v>1</v>
      </c>
      <c r="D124" s="12" t="s">
        <v>856</v>
      </c>
      <c r="E124" s="13" t="s">
        <v>869</v>
      </c>
      <c r="F124" s="13" t="s">
        <v>870</v>
      </c>
      <c r="G124" s="13" t="s">
        <v>30</v>
      </c>
      <c r="H124" s="12" t="s">
        <v>30</v>
      </c>
      <c r="I124" s="12" t="s">
        <v>859</v>
      </c>
      <c r="J124" s="12" t="s">
        <v>72</v>
      </c>
      <c r="K124" s="13" t="s">
        <v>73</v>
      </c>
      <c r="L124" s="13" t="s">
        <v>871</v>
      </c>
      <c r="M124" s="13" t="s">
        <v>872</v>
      </c>
      <c r="N124" s="13" t="s">
        <v>873</v>
      </c>
      <c r="O124" s="13" t="s">
        <v>874</v>
      </c>
      <c r="P124" s="13" t="s">
        <v>875</v>
      </c>
      <c r="Q124" s="13" t="s">
        <v>105</v>
      </c>
      <c r="R124" s="13" t="s">
        <v>876</v>
      </c>
      <c r="S124" s="13" t="s">
        <v>877</v>
      </c>
      <c r="T124" s="13" t="s">
        <v>405</v>
      </c>
      <c r="U124" s="13" t="s">
        <v>83</v>
      </c>
      <c r="V124" s="13" t="s">
        <v>878</v>
      </c>
      <c r="W124" s="12">
        <f t="shared" si="2"/>
        <v>1</v>
      </c>
      <c r="X124" s="12">
        <f t="shared" si="3"/>
        <v>1</v>
      </c>
    </row>
    <row r="125" ht="44" customHeight="1" spans="1:24">
      <c r="A125" s="12" t="s">
        <v>18</v>
      </c>
      <c r="B125" s="12">
        <v>18</v>
      </c>
      <c r="C125" s="12">
        <v>1</v>
      </c>
      <c r="D125" s="12" t="s">
        <v>856</v>
      </c>
      <c r="E125" s="13" t="s">
        <v>879</v>
      </c>
      <c r="F125" s="13" t="s">
        <v>880</v>
      </c>
      <c r="G125" s="13" t="s">
        <v>30</v>
      </c>
      <c r="H125" s="12" t="s">
        <v>30</v>
      </c>
      <c r="I125" s="12" t="s">
        <v>859</v>
      </c>
      <c r="J125" s="12" t="s">
        <v>72</v>
      </c>
      <c r="K125" s="13" t="s">
        <v>73</v>
      </c>
      <c r="L125" s="13" t="s">
        <v>881</v>
      </c>
      <c r="M125" s="13" t="s">
        <v>882</v>
      </c>
      <c r="N125" s="13" t="s">
        <v>883</v>
      </c>
      <c r="O125" s="13" t="s">
        <v>884</v>
      </c>
      <c r="P125" s="13" t="s">
        <v>885</v>
      </c>
      <c r="Q125" s="13" t="s">
        <v>105</v>
      </c>
      <c r="R125" s="13" t="s">
        <v>886</v>
      </c>
      <c r="S125" s="13" t="s">
        <v>887</v>
      </c>
      <c r="T125" s="13" t="s">
        <v>82</v>
      </c>
      <c r="U125" s="13" t="s">
        <v>83</v>
      </c>
      <c r="V125" s="13" t="s">
        <v>783</v>
      </c>
      <c r="W125" s="12">
        <f t="shared" si="2"/>
        <v>1</v>
      </c>
      <c r="X125" s="12">
        <f t="shared" si="3"/>
        <v>1</v>
      </c>
    </row>
    <row r="126" ht="44" customHeight="1" spans="1:24">
      <c r="A126" s="12" t="s">
        <v>18</v>
      </c>
      <c r="B126" s="12">
        <v>19</v>
      </c>
      <c r="C126" s="12">
        <v>1</v>
      </c>
      <c r="D126" s="12" t="s">
        <v>856</v>
      </c>
      <c r="E126" s="13" t="s">
        <v>888</v>
      </c>
      <c r="F126" s="13" t="s">
        <v>889</v>
      </c>
      <c r="G126" s="13" t="s">
        <v>30</v>
      </c>
      <c r="H126" s="12" t="s">
        <v>30</v>
      </c>
      <c r="I126" s="12" t="s">
        <v>859</v>
      </c>
      <c r="J126" s="12" t="s">
        <v>72</v>
      </c>
      <c r="K126" s="13" t="s">
        <v>73</v>
      </c>
      <c r="L126" s="13" t="s">
        <v>890</v>
      </c>
      <c r="M126" s="13" t="s">
        <v>891</v>
      </c>
      <c r="N126" s="13" t="s">
        <v>892</v>
      </c>
      <c r="O126" s="13" t="s">
        <v>893</v>
      </c>
      <c r="P126" s="13" t="s">
        <v>894</v>
      </c>
      <c r="Q126" s="13" t="s">
        <v>105</v>
      </c>
      <c r="R126" s="13" t="s">
        <v>895</v>
      </c>
      <c r="S126" s="13" t="s">
        <v>896</v>
      </c>
      <c r="T126" s="13" t="s">
        <v>82</v>
      </c>
      <c r="U126" s="13" t="s">
        <v>83</v>
      </c>
      <c r="V126" s="13" t="s">
        <v>897</v>
      </c>
      <c r="W126" s="12">
        <f t="shared" si="2"/>
        <v>1</v>
      </c>
      <c r="X126" s="12">
        <f t="shared" si="3"/>
        <v>1</v>
      </c>
    </row>
    <row r="127" ht="44" customHeight="1" spans="1:24">
      <c r="A127" s="12" t="s">
        <v>18</v>
      </c>
      <c r="B127" s="12">
        <v>20</v>
      </c>
      <c r="C127" s="12">
        <v>1</v>
      </c>
      <c r="D127" s="12" t="s">
        <v>856</v>
      </c>
      <c r="E127" s="13" t="s">
        <v>898</v>
      </c>
      <c r="F127" s="13" t="s">
        <v>899</v>
      </c>
      <c r="G127" s="13" t="s">
        <v>30</v>
      </c>
      <c r="H127" s="12" t="s">
        <v>30</v>
      </c>
      <c r="I127" s="12" t="s">
        <v>859</v>
      </c>
      <c r="J127" s="12" t="s">
        <v>72</v>
      </c>
      <c r="K127" s="13" t="s">
        <v>73</v>
      </c>
      <c r="L127" s="13" t="s">
        <v>900</v>
      </c>
      <c r="M127" s="13" t="s">
        <v>901</v>
      </c>
      <c r="N127" s="13" t="s">
        <v>902</v>
      </c>
      <c r="O127" s="13" t="s">
        <v>903</v>
      </c>
      <c r="P127" s="13" t="s">
        <v>904</v>
      </c>
      <c r="Q127" s="13" t="s">
        <v>905</v>
      </c>
      <c r="R127" s="13" t="s">
        <v>906</v>
      </c>
      <c r="S127" s="13" t="s">
        <v>907</v>
      </c>
      <c r="T127" s="13" t="s">
        <v>82</v>
      </c>
      <c r="U127" s="13" t="s">
        <v>83</v>
      </c>
      <c r="V127" s="13" t="s">
        <v>908</v>
      </c>
      <c r="W127" s="12">
        <f t="shared" si="2"/>
        <v>1</v>
      </c>
      <c r="X127" s="12">
        <f t="shared" si="3"/>
        <v>1</v>
      </c>
    </row>
    <row r="128" ht="44" customHeight="1" spans="1:24">
      <c r="A128" s="12" t="s">
        <v>18</v>
      </c>
      <c r="B128" s="12">
        <v>21</v>
      </c>
      <c r="C128" s="12">
        <v>1</v>
      </c>
      <c r="D128" s="12" t="s">
        <v>856</v>
      </c>
      <c r="E128" s="13" t="s">
        <v>909</v>
      </c>
      <c r="F128" s="13" t="s">
        <v>910</v>
      </c>
      <c r="G128" s="13" t="s">
        <v>30</v>
      </c>
      <c r="H128" s="12" t="s">
        <v>30</v>
      </c>
      <c r="I128" s="12" t="s">
        <v>859</v>
      </c>
      <c r="J128" s="12" t="s">
        <v>112</v>
      </c>
      <c r="K128" s="13" t="s">
        <v>73</v>
      </c>
      <c r="L128" s="13" t="s">
        <v>911</v>
      </c>
      <c r="M128" s="13" t="s">
        <v>912</v>
      </c>
      <c r="N128" s="13" t="s">
        <v>913</v>
      </c>
      <c r="O128" s="13" t="s">
        <v>914</v>
      </c>
      <c r="P128" s="13" t="s">
        <v>915</v>
      </c>
      <c r="Q128" s="13" t="s">
        <v>105</v>
      </c>
      <c r="R128" s="13" t="s">
        <v>916</v>
      </c>
      <c r="S128" s="13" t="s">
        <v>551</v>
      </c>
      <c r="T128" s="13" t="s">
        <v>82</v>
      </c>
      <c r="U128" s="13" t="s">
        <v>122</v>
      </c>
      <c r="V128" s="13" t="s">
        <v>783</v>
      </c>
      <c r="W128" s="12">
        <f t="shared" si="2"/>
        <v>1</v>
      </c>
      <c r="X128" s="12">
        <f t="shared" si="3"/>
        <v>1</v>
      </c>
    </row>
    <row r="129" ht="44" customHeight="1" spans="1:24">
      <c r="A129" s="12" t="s">
        <v>18</v>
      </c>
      <c r="B129" s="12">
        <v>22</v>
      </c>
      <c r="C129" s="12">
        <v>1</v>
      </c>
      <c r="D129" s="12" t="s">
        <v>856</v>
      </c>
      <c r="E129" s="13" t="s">
        <v>917</v>
      </c>
      <c r="F129" s="13" t="s">
        <v>918</v>
      </c>
      <c r="G129" s="13" t="s">
        <v>30</v>
      </c>
      <c r="H129" s="12" t="s">
        <v>30</v>
      </c>
      <c r="I129" s="12" t="s">
        <v>859</v>
      </c>
      <c r="J129" s="12" t="s">
        <v>112</v>
      </c>
      <c r="K129" s="13" t="s">
        <v>73</v>
      </c>
      <c r="L129" s="13" t="s">
        <v>911</v>
      </c>
      <c r="M129" s="13" t="s">
        <v>919</v>
      </c>
      <c r="N129" s="13" t="s">
        <v>920</v>
      </c>
      <c r="O129" s="13" t="s">
        <v>921</v>
      </c>
      <c r="P129" s="13" t="s">
        <v>922</v>
      </c>
      <c r="Q129" s="13" t="s">
        <v>105</v>
      </c>
      <c r="R129" s="13" t="s">
        <v>923</v>
      </c>
      <c r="S129" s="13" t="s">
        <v>551</v>
      </c>
      <c r="T129" s="13" t="s">
        <v>82</v>
      </c>
      <c r="U129" s="13" t="s">
        <v>122</v>
      </c>
      <c r="V129" s="13" t="s">
        <v>924</v>
      </c>
      <c r="W129" s="12">
        <f t="shared" si="2"/>
        <v>1</v>
      </c>
      <c r="X129" s="12">
        <f t="shared" si="3"/>
        <v>1</v>
      </c>
    </row>
    <row r="130" ht="44" customHeight="1" spans="1:24">
      <c r="A130" s="12" t="s">
        <v>18</v>
      </c>
      <c r="B130" s="12">
        <v>23</v>
      </c>
      <c r="C130" s="12">
        <v>1</v>
      </c>
      <c r="D130" s="12" t="s">
        <v>856</v>
      </c>
      <c r="E130" s="13" t="s">
        <v>925</v>
      </c>
      <c r="F130" s="13" t="s">
        <v>926</v>
      </c>
      <c r="G130" s="13" t="s">
        <v>30</v>
      </c>
      <c r="H130" s="12" t="s">
        <v>30</v>
      </c>
      <c r="I130" s="12" t="s">
        <v>859</v>
      </c>
      <c r="J130" s="12" t="s">
        <v>112</v>
      </c>
      <c r="K130" s="13" t="s">
        <v>73</v>
      </c>
      <c r="L130" s="13" t="s">
        <v>927</v>
      </c>
      <c r="M130" s="13" t="s">
        <v>928</v>
      </c>
      <c r="N130" s="13" t="s">
        <v>929</v>
      </c>
      <c r="O130" s="13" t="s">
        <v>930</v>
      </c>
      <c r="P130" s="13" t="s">
        <v>931</v>
      </c>
      <c r="Q130" s="13" t="s">
        <v>105</v>
      </c>
      <c r="R130" s="13" t="s">
        <v>932</v>
      </c>
      <c r="S130" s="13" t="s">
        <v>551</v>
      </c>
      <c r="T130" s="13" t="s">
        <v>82</v>
      </c>
      <c r="U130" s="13" t="s">
        <v>83</v>
      </c>
      <c r="V130" s="13" t="s">
        <v>783</v>
      </c>
      <c r="W130" s="12">
        <f t="shared" si="2"/>
        <v>1</v>
      </c>
      <c r="X130" s="12">
        <f t="shared" si="3"/>
        <v>1</v>
      </c>
    </row>
    <row r="131" ht="44" customHeight="1" spans="1:24">
      <c r="A131" s="12" t="s">
        <v>18</v>
      </c>
      <c r="B131" s="12">
        <v>24</v>
      </c>
      <c r="C131" s="12">
        <v>1</v>
      </c>
      <c r="D131" s="12" t="s">
        <v>856</v>
      </c>
      <c r="E131" s="13" t="s">
        <v>933</v>
      </c>
      <c r="F131" s="13" t="s">
        <v>934</v>
      </c>
      <c r="G131" s="13" t="s">
        <v>30</v>
      </c>
      <c r="H131" s="12" t="s">
        <v>30</v>
      </c>
      <c r="I131" s="12" t="s">
        <v>859</v>
      </c>
      <c r="J131" s="12" t="s">
        <v>112</v>
      </c>
      <c r="K131" s="13" t="s">
        <v>73</v>
      </c>
      <c r="L131" s="13" t="s">
        <v>935</v>
      </c>
      <c r="M131" s="13" t="s">
        <v>936</v>
      </c>
      <c r="N131" s="13" t="s">
        <v>937</v>
      </c>
      <c r="O131" s="13" t="s">
        <v>938</v>
      </c>
      <c r="P131" s="13" t="s">
        <v>939</v>
      </c>
      <c r="Q131" s="13" t="s">
        <v>940</v>
      </c>
      <c r="R131" s="13" t="s">
        <v>941</v>
      </c>
      <c r="S131" s="13" t="s">
        <v>942</v>
      </c>
      <c r="T131" s="13" t="s">
        <v>82</v>
      </c>
      <c r="U131" s="13" t="s">
        <v>83</v>
      </c>
      <c r="V131" s="13" t="s">
        <v>943</v>
      </c>
      <c r="W131" s="12">
        <f t="shared" si="2"/>
        <v>1</v>
      </c>
      <c r="X131" s="12">
        <f t="shared" si="3"/>
        <v>1</v>
      </c>
    </row>
    <row r="132" ht="44" customHeight="1" spans="1:24">
      <c r="A132" s="12" t="s">
        <v>18</v>
      </c>
      <c r="B132" s="12">
        <v>25</v>
      </c>
      <c r="C132" s="12">
        <v>1</v>
      </c>
      <c r="D132" s="12" t="s">
        <v>856</v>
      </c>
      <c r="E132" s="13" t="s">
        <v>944</v>
      </c>
      <c r="F132" s="13" t="s">
        <v>945</v>
      </c>
      <c r="G132" s="13" t="s">
        <v>30</v>
      </c>
      <c r="H132" s="12" t="s">
        <v>30</v>
      </c>
      <c r="I132" s="12" t="s">
        <v>859</v>
      </c>
      <c r="J132" s="12" t="s">
        <v>112</v>
      </c>
      <c r="K132" s="13" t="s">
        <v>73</v>
      </c>
      <c r="L132" s="13" t="s">
        <v>370</v>
      </c>
      <c r="M132" s="13" t="s">
        <v>946</v>
      </c>
      <c r="N132" s="13" t="s">
        <v>947</v>
      </c>
      <c r="O132" s="13" t="s">
        <v>948</v>
      </c>
      <c r="P132" s="13" t="s">
        <v>949</v>
      </c>
      <c r="Q132" s="13" t="s">
        <v>950</v>
      </c>
      <c r="R132" s="13" t="s">
        <v>951</v>
      </c>
      <c r="S132" s="13" t="s">
        <v>952</v>
      </c>
      <c r="T132" s="13" t="s">
        <v>82</v>
      </c>
      <c r="U132" s="13" t="s">
        <v>83</v>
      </c>
      <c r="V132" s="13" t="s">
        <v>953</v>
      </c>
      <c r="W132" s="12">
        <f t="shared" si="2"/>
        <v>1</v>
      </c>
      <c r="X132" s="12">
        <f t="shared" si="3"/>
        <v>1</v>
      </c>
    </row>
    <row r="133" ht="44" customHeight="1" spans="1:24">
      <c r="A133" s="12" t="s">
        <v>18</v>
      </c>
      <c r="B133" s="12">
        <v>26</v>
      </c>
      <c r="C133" s="12">
        <v>1</v>
      </c>
      <c r="D133" s="12" t="s">
        <v>856</v>
      </c>
      <c r="E133" s="13" t="s">
        <v>954</v>
      </c>
      <c r="F133" s="13" t="s">
        <v>955</v>
      </c>
      <c r="G133" s="13" t="s">
        <v>30</v>
      </c>
      <c r="H133" s="12" t="s">
        <v>30</v>
      </c>
      <c r="I133" s="12" t="s">
        <v>859</v>
      </c>
      <c r="J133" s="12" t="s">
        <v>112</v>
      </c>
      <c r="K133" s="13" t="s">
        <v>73</v>
      </c>
      <c r="L133" s="13" t="s">
        <v>956</v>
      </c>
      <c r="M133" s="13" t="s">
        <v>957</v>
      </c>
      <c r="N133" s="13" t="s">
        <v>958</v>
      </c>
      <c r="O133" s="13" t="s">
        <v>959</v>
      </c>
      <c r="P133" s="13" t="s">
        <v>960</v>
      </c>
      <c r="Q133" s="13" t="s">
        <v>961</v>
      </c>
      <c r="R133" s="13" t="s">
        <v>962</v>
      </c>
      <c r="S133" s="13" t="s">
        <v>714</v>
      </c>
      <c r="T133" s="13" t="s">
        <v>963</v>
      </c>
      <c r="U133" s="13" t="s">
        <v>964</v>
      </c>
      <c r="V133" s="13" t="s">
        <v>965</v>
      </c>
      <c r="W133" s="12">
        <f t="shared" ref="W133:W196" si="4">IF(OR(D133="场景母图",D133="场景多视角"),0,1)</f>
        <v>1</v>
      </c>
      <c r="X133" s="12">
        <f t="shared" ref="X133:X196" si="5">IF(LEFT(U133,2)="历史",0,1)</f>
        <v>1</v>
      </c>
    </row>
    <row r="134" ht="44" customHeight="1" spans="1:24">
      <c r="A134" s="12" t="s">
        <v>18</v>
      </c>
      <c r="B134" s="12">
        <v>27</v>
      </c>
      <c r="C134" s="12">
        <v>1</v>
      </c>
      <c r="D134" s="12" t="s">
        <v>856</v>
      </c>
      <c r="E134" s="13" t="s">
        <v>966</v>
      </c>
      <c r="F134" s="13" t="s">
        <v>967</v>
      </c>
      <c r="G134" s="13" t="s">
        <v>30</v>
      </c>
      <c r="H134" s="12" t="s">
        <v>30</v>
      </c>
      <c r="I134" s="12" t="s">
        <v>859</v>
      </c>
      <c r="J134" s="12" t="s">
        <v>112</v>
      </c>
      <c r="K134" s="13" t="s">
        <v>73</v>
      </c>
      <c r="L134" s="13" t="s">
        <v>968</v>
      </c>
      <c r="M134" s="13" t="s">
        <v>969</v>
      </c>
      <c r="N134" s="13" t="s">
        <v>970</v>
      </c>
      <c r="O134" s="13" t="s">
        <v>971</v>
      </c>
      <c r="P134" s="13" t="s">
        <v>972</v>
      </c>
      <c r="Q134" s="13" t="s">
        <v>973</v>
      </c>
      <c r="R134" s="13" t="s">
        <v>974</v>
      </c>
      <c r="S134" s="13" t="s">
        <v>975</v>
      </c>
      <c r="T134" s="13" t="s">
        <v>299</v>
      </c>
      <c r="U134" s="13" t="s">
        <v>300</v>
      </c>
      <c r="V134" s="13" t="s">
        <v>301</v>
      </c>
      <c r="W134" s="12">
        <f t="shared" si="4"/>
        <v>1</v>
      </c>
      <c r="X134" s="12">
        <f t="shared" si="5"/>
        <v>1</v>
      </c>
    </row>
    <row r="135" ht="44" customHeight="1" spans="1:24">
      <c r="A135" s="12" t="s">
        <v>18</v>
      </c>
      <c r="B135" s="12">
        <v>28</v>
      </c>
      <c r="C135" s="12">
        <v>1</v>
      </c>
      <c r="D135" s="12" t="s">
        <v>856</v>
      </c>
      <c r="E135" s="13" t="s">
        <v>976</v>
      </c>
      <c r="F135" s="13" t="s">
        <v>977</v>
      </c>
      <c r="G135" s="13" t="s">
        <v>30</v>
      </c>
      <c r="H135" s="12" t="s">
        <v>30</v>
      </c>
      <c r="I135" s="12" t="s">
        <v>859</v>
      </c>
      <c r="J135" s="12" t="s">
        <v>112</v>
      </c>
      <c r="K135" s="13" t="s">
        <v>73</v>
      </c>
      <c r="L135" s="13" t="s">
        <v>900</v>
      </c>
      <c r="M135" s="13" t="s">
        <v>978</v>
      </c>
      <c r="N135" s="13" t="s">
        <v>979</v>
      </c>
      <c r="O135" s="13" t="s">
        <v>980</v>
      </c>
      <c r="P135" s="13" t="s">
        <v>981</v>
      </c>
      <c r="Q135" s="13" t="s">
        <v>982</v>
      </c>
      <c r="R135" s="13" t="s">
        <v>983</v>
      </c>
      <c r="S135" s="13" t="s">
        <v>984</v>
      </c>
      <c r="T135" s="13" t="s">
        <v>299</v>
      </c>
      <c r="U135" s="13" t="s">
        <v>300</v>
      </c>
      <c r="V135" s="13" t="s">
        <v>301</v>
      </c>
      <c r="W135" s="12">
        <f t="shared" si="4"/>
        <v>1</v>
      </c>
      <c r="X135" s="12">
        <f t="shared" si="5"/>
        <v>1</v>
      </c>
    </row>
    <row r="136" ht="44" customHeight="1" spans="1:24">
      <c r="A136" s="12" t="s">
        <v>18</v>
      </c>
      <c r="B136" s="12">
        <v>29</v>
      </c>
      <c r="C136" s="12">
        <v>1</v>
      </c>
      <c r="D136" s="12" t="s">
        <v>856</v>
      </c>
      <c r="E136" s="13" t="s">
        <v>985</v>
      </c>
      <c r="F136" s="13" t="s">
        <v>986</v>
      </c>
      <c r="G136" s="13" t="s">
        <v>30</v>
      </c>
      <c r="H136" s="12" t="s">
        <v>30</v>
      </c>
      <c r="I136" s="12" t="s">
        <v>859</v>
      </c>
      <c r="J136" s="12" t="s">
        <v>112</v>
      </c>
      <c r="K136" s="13" t="s">
        <v>73</v>
      </c>
      <c r="L136" s="13" t="s">
        <v>987</v>
      </c>
      <c r="M136" s="13" t="s">
        <v>988</v>
      </c>
      <c r="N136" s="13" t="s">
        <v>989</v>
      </c>
      <c r="O136" s="13" t="s">
        <v>990</v>
      </c>
      <c r="P136" s="13" t="s">
        <v>991</v>
      </c>
      <c r="Q136" s="13" t="s">
        <v>992</v>
      </c>
      <c r="R136" s="13" t="s">
        <v>993</v>
      </c>
      <c r="S136" s="13" t="s">
        <v>994</v>
      </c>
      <c r="T136" s="13" t="s">
        <v>299</v>
      </c>
      <c r="U136" s="13" t="s">
        <v>300</v>
      </c>
      <c r="V136" s="13" t="s">
        <v>301</v>
      </c>
      <c r="W136" s="12">
        <f t="shared" si="4"/>
        <v>1</v>
      </c>
      <c r="X136" s="12">
        <f t="shared" si="5"/>
        <v>1</v>
      </c>
    </row>
    <row r="137" ht="44" customHeight="1" spans="1:24">
      <c r="A137" s="12" t="s">
        <v>18</v>
      </c>
      <c r="B137" s="12">
        <v>30</v>
      </c>
      <c r="C137" s="12">
        <v>1</v>
      </c>
      <c r="D137" s="12" t="s">
        <v>856</v>
      </c>
      <c r="E137" s="13" t="s">
        <v>995</v>
      </c>
      <c r="F137" s="13" t="s">
        <v>996</v>
      </c>
      <c r="G137" s="13" t="s">
        <v>30</v>
      </c>
      <c r="H137" s="12" t="s">
        <v>30</v>
      </c>
      <c r="I137" s="12" t="s">
        <v>859</v>
      </c>
      <c r="J137" s="12" t="s">
        <v>112</v>
      </c>
      <c r="K137" s="13" t="s">
        <v>73</v>
      </c>
      <c r="L137" s="13" t="s">
        <v>997</v>
      </c>
      <c r="M137" s="13" t="s">
        <v>998</v>
      </c>
      <c r="N137" s="13" t="s">
        <v>999</v>
      </c>
      <c r="O137" s="13" t="s">
        <v>1000</v>
      </c>
      <c r="P137" s="13" t="s">
        <v>1001</v>
      </c>
      <c r="Q137" s="13" t="s">
        <v>154</v>
      </c>
      <c r="R137" s="13" t="s">
        <v>1002</v>
      </c>
      <c r="S137" s="13" t="s">
        <v>1003</v>
      </c>
      <c r="T137" s="13" t="s">
        <v>299</v>
      </c>
      <c r="U137" s="13" t="s">
        <v>300</v>
      </c>
      <c r="V137" s="13" t="s">
        <v>301</v>
      </c>
      <c r="W137" s="12">
        <f t="shared" si="4"/>
        <v>1</v>
      </c>
      <c r="X137" s="12">
        <f t="shared" si="5"/>
        <v>1</v>
      </c>
    </row>
    <row r="138" ht="44" customHeight="1" spans="1:24">
      <c r="A138" s="12" t="s">
        <v>18</v>
      </c>
      <c r="B138" s="12">
        <v>31</v>
      </c>
      <c r="C138" s="12">
        <v>1</v>
      </c>
      <c r="D138" s="12" t="s">
        <v>856</v>
      </c>
      <c r="E138" s="13" t="s">
        <v>1004</v>
      </c>
      <c r="F138" s="13" t="s">
        <v>1005</v>
      </c>
      <c r="G138" s="13" t="s">
        <v>30</v>
      </c>
      <c r="H138" s="12" t="s">
        <v>30</v>
      </c>
      <c r="I138" s="12" t="s">
        <v>859</v>
      </c>
      <c r="J138" s="12" t="s">
        <v>112</v>
      </c>
      <c r="K138" s="13" t="s">
        <v>73</v>
      </c>
      <c r="L138" s="13" t="s">
        <v>1006</v>
      </c>
      <c r="M138" s="13" t="s">
        <v>1007</v>
      </c>
      <c r="N138" s="13" t="s">
        <v>1008</v>
      </c>
      <c r="O138" s="13" t="s">
        <v>1009</v>
      </c>
      <c r="P138" s="13" t="s">
        <v>1010</v>
      </c>
      <c r="Q138" s="13" t="s">
        <v>309</v>
      </c>
      <c r="R138" s="13" t="s">
        <v>1011</v>
      </c>
      <c r="S138" s="13" t="s">
        <v>633</v>
      </c>
      <c r="T138" s="13" t="s">
        <v>299</v>
      </c>
      <c r="U138" s="13" t="s">
        <v>300</v>
      </c>
      <c r="V138" s="13" t="s">
        <v>301</v>
      </c>
      <c r="W138" s="12">
        <f t="shared" si="4"/>
        <v>1</v>
      </c>
      <c r="X138" s="12">
        <f t="shared" si="5"/>
        <v>1</v>
      </c>
    </row>
    <row r="139" ht="44" customHeight="1" spans="1:24">
      <c r="A139" s="12" t="s">
        <v>18</v>
      </c>
      <c r="B139" s="12">
        <v>32</v>
      </c>
      <c r="C139" s="12">
        <v>1</v>
      </c>
      <c r="D139" s="12" t="s">
        <v>856</v>
      </c>
      <c r="E139" s="13" t="s">
        <v>1012</v>
      </c>
      <c r="F139" s="13" t="s">
        <v>1013</v>
      </c>
      <c r="G139" s="13" t="s">
        <v>30</v>
      </c>
      <c r="H139" s="12" t="s">
        <v>30</v>
      </c>
      <c r="I139" s="12" t="s">
        <v>859</v>
      </c>
      <c r="J139" s="12" t="s">
        <v>72</v>
      </c>
      <c r="K139" s="13" t="s">
        <v>1014</v>
      </c>
      <c r="L139" s="13" t="s">
        <v>604</v>
      </c>
      <c r="M139" s="13" t="s">
        <v>1015</v>
      </c>
      <c r="N139" s="13" t="s">
        <v>1016</v>
      </c>
      <c r="O139" s="13" t="s">
        <v>1017</v>
      </c>
      <c r="P139" s="13" t="s">
        <v>1018</v>
      </c>
      <c r="Q139" s="13" t="s">
        <v>1019</v>
      </c>
      <c r="R139" s="13" t="s">
        <v>1020</v>
      </c>
      <c r="S139" s="13" t="s">
        <v>1021</v>
      </c>
      <c r="T139" s="13" t="s">
        <v>227</v>
      </c>
      <c r="U139" s="13" t="s">
        <v>228</v>
      </c>
      <c r="V139" s="13" t="s">
        <v>229</v>
      </c>
      <c r="W139" s="12">
        <f t="shared" si="4"/>
        <v>1</v>
      </c>
      <c r="X139" s="12">
        <f t="shared" si="5"/>
        <v>1</v>
      </c>
    </row>
    <row r="140" ht="44" customHeight="1" spans="1:24">
      <c r="A140" s="12" t="s">
        <v>18</v>
      </c>
      <c r="B140" s="12">
        <v>33</v>
      </c>
      <c r="C140" s="12">
        <v>1</v>
      </c>
      <c r="D140" s="12" t="s">
        <v>856</v>
      </c>
      <c r="E140" s="13" t="s">
        <v>1022</v>
      </c>
      <c r="F140" s="13" t="s">
        <v>1023</v>
      </c>
      <c r="G140" s="13" t="s">
        <v>30</v>
      </c>
      <c r="H140" s="12" t="s">
        <v>30</v>
      </c>
      <c r="I140" s="12" t="s">
        <v>859</v>
      </c>
      <c r="J140" s="12" t="s">
        <v>112</v>
      </c>
      <c r="K140" s="13" t="s">
        <v>1024</v>
      </c>
      <c r="L140" s="13" t="s">
        <v>261</v>
      </c>
      <c r="M140" s="13" t="s">
        <v>1025</v>
      </c>
      <c r="N140" s="13" t="s">
        <v>1026</v>
      </c>
      <c r="O140" s="13" t="s">
        <v>1027</v>
      </c>
      <c r="P140" s="13" t="s">
        <v>1028</v>
      </c>
      <c r="Q140" s="13" t="s">
        <v>1029</v>
      </c>
      <c r="R140" s="13" t="s">
        <v>1030</v>
      </c>
      <c r="S140" s="13" t="s">
        <v>1031</v>
      </c>
      <c r="T140" s="13" t="s">
        <v>227</v>
      </c>
      <c r="U140" s="13" t="s">
        <v>228</v>
      </c>
      <c r="V140" s="13" t="s">
        <v>229</v>
      </c>
      <c r="W140" s="12">
        <f t="shared" si="4"/>
        <v>1</v>
      </c>
      <c r="X140" s="12">
        <f t="shared" si="5"/>
        <v>1</v>
      </c>
    </row>
    <row r="141" ht="44" customHeight="1" spans="1:24">
      <c r="A141" s="12" t="s">
        <v>18</v>
      </c>
      <c r="B141" s="12">
        <v>34</v>
      </c>
      <c r="C141" s="12">
        <v>1</v>
      </c>
      <c r="D141" s="12" t="s">
        <v>856</v>
      </c>
      <c r="E141" s="13" t="s">
        <v>1032</v>
      </c>
      <c r="F141" s="13" t="s">
        <v>1033</v>
      </c>
      <c r="G141" s="13" t="s">
        <v>30</v>
      </c>
      <c r="H141" s="12" t="s">
        <v>30</v>
      </c>
      <c r="I141" s="12" t="s">
        <v>859</v>
      </c>
      <c r="J141" s="12" t="s">
        <v>112</v>
      </c>
      <c r="K141" s="13" t="s">
        <v>1034</v>
      </c>
      <c r="L141" s="13" t="s">
        <v>1035</v>
      </c>
      <c r="M141" s="13" t="s">
        <v>1036</v>
      </c>
      <c r="N141" s="13" t="s">
        <v>1037</v>
      </c>
      <c r="O141" s="13" t="s">
        <v>1038</v>
      </c>
      <c r="P141" s="13" t="s">
        <v>1039</v>
      </c>
      <c r="Q141" s="13" t="s">
        <v>1019</v>
      </c>
      <c r="R141" s="13" t="s">
        <v>1040</v>
      </c>
      <c r="S141" s="13" t="s">
        <v>1041</v>
      </c>
      <c r="T141" s="13" t="s">
        <v>227</v>
      </c>
      <c r="U141" s="13" t="s">
        <v>228</v>
      </c>
      <c r="V141" s="13" t="s">
        <v>229</v>
      </c>
      <c r="W141" s="12">
        <f t="shared" si="4"/>
        <v>1</v>
      </c>
      <c r="X141" s="12">
        <f t="shared" si="5"/>
        <v>1</v>
      </c>
    </row>
    <row r="142" ht="44" customHeight="1" spans="1:24">
      <c r="A142" s="12" t="s">
        <v>18</v>
      </c>
      <c r="B142" s="12">
        <v>35</v>
      </c>
      <c r="C142" s="12">
        <v>1</v>
      </c>
      <c r="D142" s="12" t="s">
        <v>856</v>
      </c>
      <c r="E142" s="13" t="s">
        <v>1042</v>
      </c>
      <c r="F142" s="13" t="s">
        <v>1043</v>
      </c>
      <c r="G142" s="13" t="s">
        <v>30</v>
      </c>
      <c r="H142" s="12" t="s">
        <v>30</v>
      </c>
      <c r="I142" s="12" t="s">
        <v>859</v>
      </c>
      <c r="J142" s="12" t="s">
        <v>112</v>
      </c>
      <c r="K142" s="13" t="s">
        <v>1044</v>
      </c>
      <c r="L142" s="13" t="s">
        <v>1045</v>
      </c>
      <c r="M142" s="13" t="s">
        <v>1046</v>
      </c>
      <c r="N142" s="13" t="s">
        <v>1047</v>
      </c>
      <c r="O142" s="13" t="s">
        <v>1048</v>
      </c>
      <c r="P142" s="13" t="s">
        <v>1049</v>
      </c>
      <c r="Q142" s="13" t="s">
        <v>1029</v>
      </c>
      <c r="R142" s="13" t="s">
        <v>1050</v>
      </c>
      <c r="S142" s="13" t="s">
        <v>1051</v>
      </c>
      <c r="T142" s="13" t="s">
        <v>227</v>
      </c>
      <c r="U142" s="13" t="s">
        <v>228</v>
      </c>
      <c r="V142" s="13" t="s">
        <v>229</v>
      </c>
      <c r="W142" s="12">
        <f t="shared" si="4"/>
        <v>1</v>
      </c>
      <c r="X142" s="12">
        <f t="shared" si="5"/>
        <v>1</v>
      </c>
    </row>
    <row r="143" ht="44" customHeight="1" spans="1:24">
      <c r="A143" s="12" t="s">
        <v>18</v>
      </c>
      <c r="B143" s="12">
        <v>36</v>
      </c>
      <c r="C143" s="12">
        <v>1</v>
      </c>
      <c r="D143" s="12" t="s">
        <v>856</v>
      </c>
      <c r="E143" s="13" t="s">
        <v>1052</v>
      </c>
      <c r="F143" s="13" t="s">
        <v>1053</v>
      </c>
      <c r="G143" s="13" t="s">
        <v>30</v>
      </c>
      <c r="H143" s="12" t="s">
        <v>30</v>
      </c>
      <c r="I143" s="12" t="s">
        <v>859</v>
      </c>
      <c r="J143" s="12" t="s">
        <v>112</v>
      </c>
      <c r="K143" s="13" t="s">
        <v>1054</v>
      </c>
      <c r="L143" s="13" t="s">
        <v>1055</v>
      </c>
      <c r="M143" s="13" t="s">
        <v>1056</v>
      </c>
      <c r="N143" s="13" t="s">
        <v>1057</v>
      </c>
      <c r="O143" s="13" t="s">
        <v>1058</v>
      </c>
      <c r="P143" s="13" t="s">
        <v>1059</v>
      </c>
      <c r="Q143" s="13" t="s">
        <v>1060</v>
      </c>
      <c r="R143" s="13" t="s">
        <v>1061</v>
      </c>
      <c r="S143" s="13" t="s">
        <v>1062</v>
      </c>
      <c r="T143" s="13" t="s">
        <v>227</v>
      </c>
      <c r="U143" s="13" t="s">
        <v>228</v>
      </c>
      <c r="V143" s="13" t="s">
        <v>229</v>
      </c>
      <c r="W143" s="12">
        <f t="shared" si="4"/>
        <v>1</v>
      </c>
      <c r="X143" s="12">
        <f t="shared" si="5"/>
        <v>1</v>
      </c>
    </row>
    <row r="144" ht="44" customHeight="1" spans="1:24">
      <c r="A144" s="12" t="s">
        <v>21</v>
      </c>
      <c r="B144" s="12">
        <v>1</v>
      </c>
      <c r="C144" s="12">
        <v>1</v>
      </c>
      <c r="D144" s="12" t="s">
        <v>1063</v>
      </c>
      <c r="E144" s="13" t="s">
        <v>1064</v>
      </c>
      <c r="F144" s="13" t="s">
        <v>1065</v>
      </c>
      <c r="G144" s="13" t="s">
        <v>30</v>
      </c>
      <c r="H144" s="12" t="s">
        <v>30</v>
      </c>
      <c r="I144" s="12" t="s">
        <v>1066</v>
      </c>
      <c r="J144" s="12" t="s">
        <v>72</v>
      </c>
      <c r="K144" s="13" t="s">
        <v>1067</v>
      </c>
      <c r="L144" s="13" t="s">
        <v>316</v>
      </c>
      <c r="M144" s="13" t="s">
        <v>1068</v>
      </c>
      <c r="N144" s="13" t="s">
        <v>1069</v>
      </c>
      <c r="O144" s="13" t="s">
        <v>1070</v>
      </c>
      <c r="P144" s="13" t="s">
        <v>1071</v>
      </c>
      <c r="Q144" s="13" t="s">
        <v>865</v>
      </c>
      <c r="R144" s="13" t="s">
        <v>1072</v>
      </c>
      <c r="S144" s="13" t="s">
        <v>1073</v>
      </c>
      <c r="T144" s="13" t="s">
        <v>227</v>
      </c>
      <c r="U144" s="13" t="s">
        <v>228</v>
      </c>
      <c r="V144" s="13" t="s">
        <v>229</v>
      </c>
      <c r="W144" s="12">
        <f t="shared" si="4"/>
        <v>1</v>
      </c>
      <c r="X144" s="12">
        <f t="shared" si="5"/>
        <v>1</v>
      </c>
    </row>
    <row r="145" ht="44" customHeight="1" spans="1:24">
      <c r="A145" s="12" t="s">
        <v>21</v>
      </c>
      <c r="B145" s="12">
        <v>2</v>
      </c>
      <c r="C145" s="12">
        <v>1</v>
      </c>
      <c r="D145" s="12" t="s">
        <v>1063</v>
      </c>
      <c r="E145" s="13" t="s">
        <v>1074</v>
      </c>
      <c r="F145" s="13" t="s">
        <v>1075</v>
      </c>
      <c r="G145" s="13" t="s">
        <v>30</v>
      </c>
      <c r="H145" s="12" t="s">
        <v>30</v>
      </c>
      <c r="I145" s="12" t="s">
        <v>1066</v>
      </c>
      <c r="J145" s="12" t="s">
        <v>72</v>
      </c>
      <c r="K145" s="13" t="s">
        <v>1076</v>
      </c>
      <c r="L145" s="13" t="s">
        <v>1077</v>
      </c>
      <c r="M145" s="13" t="s">
        <v>1078</v>
      </c>
      <c r="N145" s="13" t="s">
        <v>1079</v>
      </c>
      <c r="O145" s="13" t="s">
        <v>1080</v>
      </c>
      <c r="P145" s="13" t="s">
        <v>1081</v>
      </c>
      <c r="Q145" s="13" t="s">
        <v>1082</v>
      </c>
      <c r="R145" s="13" t="s">
        <v>1083</v>
      </c>
      <c r="S145" s="13" t="s">
        <v>1084</v>
      </c>
      <c r="T145" s="13" t="s">
        <v>227</v>
      </c>
      <c r="U145" s="13" t="s">
        <v>228</v>
      </c>
      <c r="V145" s="13" t="s">
        <v>229</v>
      </c>
      <c r="W145" s="12">
        <f t="shared" si="4"/>
        <v>1</v>
      </c>
      <c r="X145" s="12">
        <f t="shared" si="5"/>
        <v>1</v>
      </c>
    </row>
    <row r="146" ht="44" customHeight="1" spans="1:24">
      <c r="A146" s="12" t="s">
        <v>21</v>
      </c>
      <c r="B146" s="12">
        <v>3</v>
      </c>
      <c r="C146" s="12">
        <v>1</v>
      </c>
      <c r="D146" s="12" t="s">
        <v>1063</v>
      </c>
      <c r="E146" s="13" t="s">
        <v>1085</v>
      </c>
      <c r="F146" s="13" t="s">
        <v>1086</v>
      </c>
      <c r="G146" s="13" t="s">
        <v>30</v>
      </c>
      <c r="H146" s="12" t="s">
        <v>30</v>
      </c>
      <c r="I146" s="12" t="s">
        <v>1066</v>
      </c>
      <c r="J146" s="12" t="s">
        <v>112</v>
      </c>
      <c r="K146" s="13" t="s">
        <v>1087</v>
      </c>
      <c r="L146" s="13" t="s">
        <v>261</v>
      </c>
      <c r="M146" s="13" t="s">
        <v>1088</v>
      </c>
      <c r="N146" s="13" t="s">
        <v>1089</v>
      </c>
      <c r="O146" s="13" t="s">
        <v>1090</v>
      </c>
      <c r="P146" s="13" t="s">
        <v>1091</v>
      </c>
      <c r="Q146" s="13" t="s">
        <v>1029</v>
      </c>
      <c r="R146" s="13" t="s">
        <v>1092</v>
      </c>
      <c r="S146" s="13" t="s">
        <v>1093</v>
      </c>
      <c r="T146" s="13" t="s">
        <v>227</v>
      </c>
      <c r="U146" s="13" t="s">
        <v>228</v>
      </c>
      <c r="V146" s="13" t="s">
        <v>229</v>
      </c>
      <c r="W146" s="12">
        <f t="shared" si="4"/>
        <v>1</v>
      </c>
      <c r="X146" s="12">
        <f t="shared" si="5"/>
        <v>1</v>
      </c>
    </row>
    <row r="147" ht="44" customHeight="1" spans="1:24">
      <c r="A147" s="12" t="s">
        <v>21</v>
      </c>
      <c r="B147" s="12">
        <v>4</v>
      </c>
      <c r="C147" s="12">
        <v>1</v>
      </c>
      <c r="D147" s="12" t="s">
        <v>1063</v>
      </c>
      <c r="E147" s="13" t="s">
        <v>1094</v>
      </c>
      <c r="F147" s="13" t="s">
        <v>1095</v>
      </c>
      <c r="G147" s="13" t="s">
        <v>30</v>
      </c>
      <c r="H147" s="12" t="s">
        <v>30</v>
      </c>
      <c r="I147" s="12" t="s">
        <v>1066</v>
      </c>
      <c r="J147" s="12" t="s">
        <v>112</v>
      </c>
      <c r="K147" s="13" t="s">
        <v>1096</v>
      </c>
      <c r="L147" s="13" t="s">
        <v>604</v>
      </c>
      <c r="M147" s="13" t="s">
        <v>1097</v>
      </c>
      <c r="N147" s="13" t="s">
        <v>1098</v>
      </c>
      <c r="O147" s="13" t="s">
        <v>1099</v>
      </c>
      <c r="P147" s="13" t="s">
        <v>1100</v>
      </c>
      <c r="Q147" s="13" t="s">
        <v>1101</v>
      </c>
      <c r="R147" s="13" t="s">
        <v>1102</v>
      </c>
      <c r="S147" s="13" t="s">
        <v>1103</v>
      </c>
      <c r="T147" s="13" t="s">
        <v>227</v>
      </c>
      <c r="U147" s="13" t="s">
        <v>228</v>
      </c>
      <c r="V147" s="13" t="s">
        <v>229</v>
      </c>
      <c r="W147" s="12">
        <f t="shared" si="4"/>
        <v>1</v>
      </c>
      <c r="X147" s="12">
        <f t="shared" si="5"/>
        <v>1</v>
      </c>
    </row>
    <row r="148" ht="44" customHeight="1" spans="1:24">
      <c r="A148" s="14" t="s">
        <v>21</v>
      </c>
      <c r="B148" s="14">
        <v>5</v>
      </c>
      <c r="C148" s="14">
        <v>1</v>
      </c>
      <c r="D148" s="14" t="s">
        <v>1104</v>
      </c>
      <c r="E148" s="15" t="s">
        <v>171</v>
      </c>
      <c r="F148" s="15" t="s">
        <v>1105</v>
      </c>
      <c r="G148" s="15" t="s">
        <v>30</v>
      </c>
      <c r="H148" s="14" t="s">
        <v>30</v>
      </c>
      <c r="I148" s="14" t="s">
        <v>1106</v>
      </c>
      <c r="J148" s="14" t="s">
        <v>112</v>
      </c>
      <c r="K148" s="15" t="s">
        <v>178</v>
      </c>
      <c r="L148" s="15" t="s">
        <v>166</v>
      </c>
      <c r="M148" s="15" t="s">
        <v>1107</v>
      </c>
      <c r="N148" s="15" t="s">
        <v>1108</v>
      </c>
      <c r="O148" s="15" t="s">
        <v>1109</v>
      </c>
      <c r="P148" s="15" t="s">
        <v>1110</v>
      </c>
      <c r="Q148" s="15" t="s">
        <v>1111</v>
      </c>
      <c r="R148" s="15" t="s">
        <v>1112</v>
      </c>
      <c r="S148" s="15" t="s">
        <v>173</v>
      </c>
      <c r="T148" s="15" t="s">
        <v>185</v>
      </c>
      <c r="U148" s="15" t="s">
        <v>174</v>
      </c>
      <c r="V148" s="15" t="s">
        <v>1113</v>
      </c>
      <c r="W148" s="14">
        <f t="shared" si="4"/>
        <v>1</v>
      </c>
      <c r="X148" s="14">
        <f t="shared" si="5"/>
        <v>0</v>
      </c>
    </row>
    <row r="149" ht="44" customHeight="1" spans="1:24">
      <c r="A149" s="14" t="s">
        <v>21</v>
      </c>
      <c r="B149" s="14">
        <v>6</v>
      </c>
      <c r="C149" s="14">
        <v>1</v>
      </c>
      <c r="D149" s="14" t="s">
        <v>1104</v>
      </c>
      <c r="E149" s="15" t="s">
        <v>725</v>
      </c>
      <c r="F149" s="15" t="s">
        <v>1114</v>
      </c>
      <c r="G149" s="15" t="s">
        <v>30</v>
      </c>
      <c r="H149" s="14" t="s">
        <v>30</v>
      </c>
      <c r="I149" s="14" t="s">
        <v>1106</v>
      </c>
      <c r="J149" s="14" t="s">
        <v>112</v>
      </c>
      <c r="K149" s="15" t="s">
        <v>1115</v>
      </c>
      <c r="L149" s="15" t="s">
        <v>166</v>
      </c>
      <c r="M149" s="15" t="s">
        <v>1116</v>
      </c>
      <c r="N149" s="15" t="s">
        <v>1117</v>
      </c>
      <c r="O149" s="15" t="s">
        <v>1118</v>
      </c>
      <c r="P149" s="15" t="s">
        <v>1119</v>
      </c>
      <c r="Q149" s="15" t="s">
        <v>1120</v>
      </c>
      <c r="R149" s="15" t="s">
        <v>1121</v>
      </c>
      <c r="S149" s="15" t="s">
        <v>194</v>
      </c>
      <c r="T149" s="15" t="s">
        <v>578</v>
      </c>
      <c r="U149" s="15" t="s">
        <v>174</v>
      </c>
      <c r="V149" s="15" t="s">
        <v>1122</v>
      </c>
      <c r="W149" s="14">
        <f t="shared" si="4"/>
        <v>1</v>
      </c>
      <c r="X149" s="14">
        <f t="shared" si="5"/>
        <v>0</v>
      </c>
    </row>
    <row r="150" ht="44" customHeight="1" spans="1:24">
      <c r="A150" s="12" t="s">
        <v>21</v>
      </c>
      <c r="B150" s="12">
        <v>7</v>
      </c>
      <c r="C150" s="12">
        <v>1</v>
      </c>
      <c r="D150" s="12" t="s">
        <v>1104</v>
      </c>
      <c r="E150" s="13" t="s">
        <v>154</v>
      </c>
      <c r="F150" s="13" t="s">
        <v>1123</v>
      </c>
      <c r="G150" s="13" t="s">
        <v>30</v>
      </c>
      <c r="H150" s="12" t="s">
        <v>30</v>
      </c>
      <c r="I150" s="12" t="s">
        <v>1106</v>
      </c>
      <c r="J150" s="12" t="s">
        <v>72</v>
      </c>
      <c r="K150" s="13" t="s">
        <v>73</v>
      </c>
      <c r="L150" s="13" t="s">
        <v>1124</v>
      </c>
      <c r="M150" s="13" t="s">
        <v>1125</v>
      </c>
      <c r="N150" s="13" t="s">
        <v>1126</v>
      </c>
      <c r="O150" s="13" t="s">
        <v>1127</v>
      </c>
      <c r="P150" s="13" t="s">
        <v>1128</v>
      </c>
      <c r="Q150" s="13" t="s">
        <v>1129</v>
      </c>
      <c r="R150" s="13" t="s">
        <v>1130</v>
      </c>
      <c r="S150" s="13" t="s">
        <v>865</v>
      </c>
      <c r="T150" s="13" t="s">
        <v>82</v>
      </c>
      <c r="U150" s="13" t="s">
        <v>83</v>
      </c>
      <c r="V150" s="13" t="s">
        <v>1131</v>
      </c>
      <c r="W150" s="12">
        <f t="shared" si="4"/>
        <v>1</v>
      </c>
      <c r="X150" s="12">
        <f t="shared" si="5"/>
        <v>1</v>
      </c>
    </row>
    <row r="151" ht="44" customHeight="1" spans="1:24">
      <c r="A151" s="12" t="s">
        <v>21</v>
      </c>
      <c r="B151" s="12">
        <v>8</v>
      </c>
      <c r="C151" s="12">
        <v>1</v>
      </c>
      <c r="D151" s="12" t="s">
        <v>1104</v>
      </c>
      <c r="E151" s="13" t="s">
        <v>1132</v>
      </c>
      <c r="F151" s="13" t="s">
        <v>1133</v>
      </c>
      <c r="G151" s="13" t="s">
        <v>30</v>
      </c>
      <c r="H151" s="12" t="s">
        <v>30</v>
      </c>
      <c r="I151" s="12" t="s">
        <v>1106</v>
      </c>
      <c r="J151" s="12" t="s">
        <v>72</v>
      </c>
      <c r="K151" s="13" t="s">
        <v>73</v>
      </c>
      <c r="L151" s="13" t="s">
        <v>397</v>
      </c>
      <c r="M151" s="13" t="s">
        <v>1134</v>
      </c>
      <c r="N151" s="13" t="s">
        <v>1135</v>
      </c>
      <c r="O151" s="13" t="s">
        <v>1136</v>
      </c>
      <c r="P151" s="13" t="s">
        <v>1137</v>
      </c>
      <c r="Q151" s="13" t="s">
        <v>1138</v>
      </c>
      <c r="R151" s="13" t="s">
        <v>1130</v>
      </c>
      <c r="S151" s="13" t="s">
        <v>1138</v>
      </c>
      <c r="T151" s="13" t="s">
        <v>82</v>
      </c>
      <c r="U151" s="13" t="s">
        <v>83</v>
      </c>
      <c r="V151" s="13" t="s">
        <v>1139</v>
      </c>
      <c r="W151" s="12">
        <f t="shared" si="4"/>
        <v>1</v>
      </c>
      <c r="X151" s="12">
        <f t="shared" si="5"/>
        <v>1</v>
      </c>
    </row>
    <row r="152" ht="44" customHeight="1" spans="1:24">
      <c r="A152" s="12" t="s">
        <v>21</v>
      </c>
      <c r="B152" s="12">
        <v>9</v>
      </c>
      <c r="C152" s="12">
        <v>1</v>
      </c>
      <c r="D152" s="12" t="s">
        <v>1104</v>
      </c>
      <c r="E152" s="13" t="s">
        <v>285</v>
      </c>
      <c r="F152" s="13" t="s">
        <v>1140</v>
      </c>
      <c r="G152" s="13" t="s">
        <v>30</v>
      </c>
      <c r="H152" s="12" t="s">
        <v>30</v>
      </c>
      <c r="I152" s="12" t="s">
        <v>1106</v>
      </c>
      <c r="J152" s="12" t="s">
        <v>112</v>
      </c>
      <c r="K152" s="13" t="s">
        <v>73</v>
      </c>
      <c r="L152" s="13" t="s">
        <v>280</v>
      </c>
      <c r="M152" s="13" t="s">
        <v>1141</v>
      </c>
      <c r="N152" s="13" t="s">
        <v>1142</v>
      </c>
      <c r="O152" s="13" t="s">
        <v>1143</v>
      </c>
      <c r="P152" s="13" t="s">
        <v>1144</v>
      </c>
      <c r="Q152" s="13" t="s">
        <v>1145</v>
      </c>
      <c r="R152" s="13" t="s">
        <v>1130</v>
      </c>
      <c r="S152" s="13" t="s">
        <v>1146</v>
      </c>
      <c r="T152" s="13" t="s">
        <v>82</v>
      </c>
      <c r="U152" s="13" t="s">
        <v>122</v>
      </c>
      <c r="V152" s="13" t="s">
        <v>1147</v>
      </c>
      <c r="W152" s="12">
        <f t="shared" si="4"/>
        <v>1</v>
      </c>
      <c r="X152" s="12">
        <f t="shared" si="5"/>
        <v>1</v>
      </c>
    </row>
    <row r="153" ht="44" customHeight="1" spans="1:24">
      <c r="A153" s="14" t="s">
        <v>21</v>
      </c>
      <c r="B153" s="14">
        <v>10</v>
      </c>
      <c r="C153" s="14">
        <v>1</v>
      </c>
      <c r="D153" s="14" t="s">
        <v>1104</v>
      </c>
      <c r="E153" s="15" t="s">
        <v>105</v>
      </c>
      <c r="F153" s="15" t="s">
        <v>1148</v>
      </c>
      <c r="G153" s="15" t="s">
        <v>30</v>
      </c>
      <c r="H153" s="14" t="s">
        <v>30</v>
      </c>
      <c r="I153" s="14" t="s">
        <v>1106</v>
      </c>
      <c r="J153" s="14" t="s">
        <v>72</v>
      </c>
      <c r="K153" s="15" t="s">
        <v>1149</v>
      </c>
      <c r="L153" s="15" t="s">
        <v>166</v>
      </c>
      <c r="M153" s="15" t="s">
        <v>1150</v>
      </c>
      <c r="N153" s="15" t="s">
        <v>1151</v>
      </c>
      <c r="O153" s="15" t="s">
        <v>1152</v>
      </c>
      <c r="P153" s="15" t="s">
        <v>1153</v>
      </c>
      <c r="Q153" s="15" t="s">
        <v>1154</v>
      </c>
      <c r="R153" s="15" t="s">
        <v>1155</v>
      </c>
      <c r="S153" s="15" t="s">
        <v>1156</v>
      </c>
      <c r="T153" s="15" t="s">
        <v>1157</v>
      </c>
      <c r="U153" s="15" t="s">
        <v>174</v>
      </c>
      <c r="V153" s="15" t="s">
        <v>1158</v>
      </c>
      <c r="W153" s="14">
        <f t="shared" si="4"/>
        <v>1</v>
      </c>
      <c r="X153" s="14">
        <f t="shared" si="5"/>
        <v>0</v>
      </c>
    </row>
    <row r="154" ht="44" customHeight="1" spans="1:24">
      <c r="A154" s="12" t="s">
        <v>21</v>
      </c>
      <c r="B154" s="12">
        <v>11</v>
      </c>
      <c r="C154" s="12">
        <v>1</v>
      </c>
      <c r="D154" s="12" t="s">
        <v>1104</v>
      </c>
      <c r="E154" s="13" t="s">
        <v>740</v>
      </c>
      <c r="F154" s="13" t="s">
        <v>1159</v>
      </c>
      <c r="G154" s="13" t="s">
        <v>30</v>
      </c>
      <c r="H154" s="12" t="s">
        <v>30</v>
      </c>
      <c r="I154" s="12" t="s">
        <v>1106</v>
      </c>
      <c r="J154" s="12" t="s">
        <v>112</v>
      </c>
      <c r="K154" s="13" t="s">
        <v>73</v>
      </c>
      <c r="L154" s="13" t="s">
        <v>570</v>
      </c>
      <c r="M154" s="13" t="s">
        <v>575</v>
      </c>
      <c r="N154" s="13" t="s">
        <v>1160</v>
      </c>
      <c r="O154" s="13" t="s">
        <v>1161</v>
      </c>
      <c r="P154" s="13" t="s">
        <v>1162</v>
      </c>
      <c r="Q154" s="13" t="s">
        <v>1163</v>
      </c>
      <c r="R154" s="13" t="s">
        <v>1164</v>
      </c>
      <c r="S154" s="13" t="s">
        <v>577</v>
      </c>
      <c r="T154" s="13" t="s">
        <v>1165</v>
      </c>
      <c r="U154" s="13" t="s">
        <v>122</v>
      </c>
      <c r="V154" s="13" t="s">
        <v>579</v>
      </c>
      <c r="W154" s="12">
        <f t="shared" si="4"/>
        <v>1</v>
      </c>
      <c r="X154" s="12">
        <f t="shared" si="5"/>
        <v>1</v>
      </c>
    </row>
    <row r="155" ht="44" customHeight="1" spans="1:24">
      <c r="A155" s="12" t="s">
        <v>21</v>
      </c>
      <c r="B155" s="12">
        <v>12</v>
      </c>
      <c r="C155" s="12">
        <v>1</v>
      </c>
      <c r="D155" s="12" t="s">
        <v>1104</v>
      </c>
      <c r="E155" s="13" t="s">
        <v>1166</v>
      </c>
      <c r="F155" s="13" t="s">
        <v>1167</v>
      </c>
      <c r="G155" s="13" t="s">
        <v>30</v>
      </c>
      <c r="H155" s="12" t="s">
        <v>30</v>
      </c>
      <c r="I155" s="12" t="s">
        <v>1106</v>
      </c>
      <c r="J155" s="12" t="s">
        <v>112</v>
      </c>
      <c r="K155" s="13" t="s">
        <v>73</v>
      </c>
      <c r="L155" s="13" t="s">
        <v>1168</v>
      </c>
      <c r="M155" s="13" t="s">
        <v>1169</v>
      </c>
      <c r="N155" s="13" t="s">
        <v>1170</v>
      </c>
      <c r="O155" s="13" t="s">
        <v>1171</v>
      </c>
      <c r="P155" s="13" t="s">
        <v>1172</v>
      </c>
      <c r="Q155" s="13" t="s">
        <v>1173</v>
      </c>
      <c r="R155" s="13" t="s">
        <v>1174</v>
      </c>
      <c r="S155" s="13" t="s">
        <v>1175</v>
      </c>
      <c r="T155" s="13" t="s">
        <v>578</v>
      </c>
      <c r="U155" s="13" t="s">
        <v>122</v>
      </c>
      <c r="V155" s="13" t="s">
        <v>1176</v>
      </c>
      <c r="W155" s="12">
        <f t="shared" si="4"/>
        <v>1</v>
      </c>
      <c r="X155" s="12">
        <f t="shared" si="5"/>
        <v>1</v>
      </c>
    </row>
    <row r="156" ht="44" customHeight="1" spans="1:24">
      <c r="A156" s="12" t="s">
        <v>21</v>
      </c>
      <c r="B156" s="12">
        <v>13</v>
      </c>
      <c r="C156" s="12">
        <v>1</v>
      </c>
      <c r="D156" s="12" t="s">
        <v>1104</v>
      </c>
      <c r="E156" s="13" t="s">
        <v>1029</v>
      </c>
      <c r="F156" s="13" t="s">
        <v>1177</v>
      </c>
      <c r="G156" s="13" t="s">
        <v>30</v>
      </c>
      <c r="H156" s="12" t="s">
        <v>30</v>
      </c>
      <c r="I156" s="12" t="s">
        <v>1106</v>
      </c>
      <c r="J156" s="12" t="s">
        <v>72</v>
      </c>
      <c r="K156" s="13" t="s">
        <v>73</v>
      </c>
      <c r="L156" s="13" t="s">
        <v>525</v>
      </c>
      <c r="M156" s="13" t="s">
        <v>1178</v>
      </c>
      <c r="N156" s="13" t="s">
        <v>1179</v>
      </c>
      <c r="O156" s="13" t="s">
        <v>1180</v>
      </c>
      <c r="P156" s="13" t="s">
        <v>1181</v>
      </c>
      <c r="Q156" s="13" t="s">
        <v>1182</v>
      </c>
      <c r="R156" s="13" t="s">
        <v>1183</v>
      </c>
      <c r="S156" s="13" t="s">
        <v>1184</v>
      </c>
      <c r="T156" s="13" t="s">
        <v>299</v>
      </c>
      <c r="U156" s="13" t="s">
        <v>1185</v>
      </c>
      <c r="V156" s="13" t="s">
        <v>1186</v>
      </c>
      <c r="W156" s="12">
        <f t="shared" si="4"/>
        <v>1</v>
      </c>
      <c r="X156" s="12">
        <f t="shared" si="5"/>
        <v>1</v>
      </c>
    </row>
    <row r="157" ht="44" customHeight="1" spans="1:24">
      <c r="A157" s="12" t="s">
        <v>21</v>
      </c>
      <c r="B157" s="12">
        <v>14</v>
      </c>
      <c r="C157" s="12">
        <v>1</v>
      </c>
      <c r="D157" s="12" t="s">
        <v>1104</v>
      </c>
      <c r="E157" s="13" t="s">
        <v>1187</v>
      </c>
      <c r="F157" s="13" t="s">
        <v>1188</v>
      </c>
      <c r="G157" s="13" t="s">
        <v>30</v>
      </c>
      <c r="H157" s="12" t="s">
        <v>30</v>
      </c>
      <c r="I157" s="12" t="s">
        <v>1106</v>
      </c>
      <c r="J157" s="12" t="s">
        <v>72</v>
      </c>
      <c r="K157" s="13" t="s">
        <v>73</v>
      </c>
      <c r="L157" s="13" t="s">
        <v>1189</v>
      </c>
      <c r="M157" s="13" t="s">
        <v>1190</v>
      </c>
      <c r="N157" s="13" t="s">
        <v>1191</v>
      </c>
      <c r="O157" s="13" t="s">
        <v>1192</v>
      </c>
      <c r="P157" s="13" t="s">
        <v>1193</v>
      </c>
      <c r="Q157" s="13" t="s">
        <v>1194</v>
      </c>
      <c r="R157" s="13" t="s">
        <v>1195</v>
      </c>
      <c r="S157" s="13" t="s">
        <v>604</v>
      </c>
      <c r="T157" s="13" t="s">
        <v>299</v>
      </c>
      <c r="U157" s="13" t="s">
        <v>300</v>
      </c>
      <c r="V157" s="13" t="s">
        <v>301</v>
      </c>
      <c r="W157" s="12">
        <f t="shared" si="4"/>
        <v>1</v>
      </c>
      <c r="X157" s="12">
        <f t="shared" si="5"/>
        <v>1</v>
      </c>
    </row>
    <row r="158" ht="44" customHeight="1" spans="1:24">
      <c r="A158" s="12" t="s">
        <v>21</v>
      </c>
      <c r="B158" s="12">
        <v>15</v>
      </c>
      <c r="C158" s="12">
        <v>1</v>
      </c>
      <c r="D158" s="12" t="s">
        <v>1104</v>
      </c>
      <c r="E158" s="13" t="s">
        <v>1196</v>
      </c>
      <c r="F158" s="13" t="s">
        <v>1197</v>
      </c>
      <c r="G158" s="13" t="s">
        <v>30</v>
      </c>
      <c r="H158" s="12" t="s">
        <v>30</v>
      </c>
      <c r="I158" s="12" t="s">
        <v>1106</v>
      </c>
      <c r="J158" s="12" t="s">
        <v>112</v>
      </c>
      <c r="K158" s="13" t="s">
        <v>73</v>
      </c>
      <c r="L158" s="13" t="s">
        <v>1198</v>
      </c>
      <c r="M158" s="13" t="s">
        <v>1199</v>
      </c>
      <c r="N158" s="13" t="s">
        <v>1200</v>
      </c>
      <c r="O158" s="13" t="s">
        <v>1201</v>
      </c>
      <c r="P158" s="13" t="s">
        <v>1202</v>
      </c>
      <c r="Q158" s="13" t="s">
        <v>1203</v>
      </c>
      <c r="R158" s="13" t="s">
        <v>1204</v>
      </c>
      <c r="S158" s="13" t="s">
        <v>298</v>
      </c>
      <c r="T158" s="13" t="s">
        <v>299</v>
      </c>
      <c r="U158" s="13" t="s">
        <v>300</v>
      </c>
      <c r="V158" s="13" t="s">
        <v>301</v>
      </c>
      <c r="W158" s="12">
        <f t="shared" si="4"/>
        <v>1</v>
      </c>
      <c r="X158" s="12">
        <f t="shared" si="5"/>
        <v>1</v>
      </c>
    </row>
    <row r="159" ht="44" customHeight="1" spans="1:24">
      <c r="A159" s="12" t="s">
        <v>21</v>
      </c>
      <c r="B159" s="12">
        <v>16</v>
      </c>
      <c r="C159" s="12">
        <v>1</v>
      </c>
      <c r="D159" s="12" t="s">
        <v>1104</v>
      </c>
      <c r="E159" s="13" t="s">
        <v>1205</v>
      </c>
      <c r="F159" s="13" t="s">
        <v>1206</v>
      </c>
      <c r="G159" s="13" t="s">
        <v>30</v>
      </c>
      <c r="H159" s="12" t="s">
        <v>30</v>
      </c>
      <c r="I159" s="12" t="s">
        <v>1106</v>
      </c>
      <c r="J159" s="12" t="s">
        <v>112</v>
      </c>
      <c r="K159" s="13" t="s">
        <v>73</v>
      </c>
      <c r="L159" s="13" t="s">
        <v>638</v>
      </c>
      <c r="M159" s="13" t="s">
        <v>1207</v>
      </c>
      <c r="N159" s="13" t="s">
        <v>1208</v>
      </c>
      <c r="O159" s="13" t="s">
        <v>1209</v>
      </c>
      <c r="P159" s="13" t="s">
        <v>1210</v>
      </c>
      <c r="Q159" s="13" t="s">
        <v>1211</v>
      </c>
      <c r="R159" s="13" t="s">
        <v>1212</v>
      </c>
      <c r="S159" s="13" t="s">
        <v>633</v>
      </c>
      <c r="T159" s="13" t="s">
        <v>299</v>
      </c>
      <c r="U159" s="13" t="s">
        <v>300</v>
      </c>
      <c r="V159" s="13" t="s">
        <v>301</v>
      </c>
      <c r="W159" s="12">
        <f t="shared" si="4"/>
        <v>1</v>
      </c>
      <c r="X159" s="12">
        <f t="shared" si="5"/>
        <v>1</v>
      </c>
    </row>
    <row r="160" ht="44" customHeight="1" spans="1:24">
      <c r="A160" s="12" t="s">
        <v>21</v>
      </c>
      <c r="B160" s="12">
        <v>17</v>
      </c>
      <c r="C160" s="12">
        <v>1</v>
      </c>
      <c r="D160" s="12" t="s">
        <v>1104</v>
      </c>
      <c r="E160" s="13" t="s">
        <v>1213</v>
      </c>
      <c r="F160" s="13" t="s">
        <v>1214</v>
      </c>
      <c r="G160" s="13" t="s">
        <v>30</v>
      </c>
      <c r="H160" s="12" t="s">
        <v>30</v>
      </c>
      <c r="I160" s="12" t="s">
        <v>1106</v>
      </c>
      <c r="J160" s="12" t="s">
        <v>112</v>
      </c>
      <c r="K160" s="13" t="s">
        <v>1215</v>
      </c>
      <c r="L160" s="13" t="s">
        <v>1216</v>
      </c>
      <c r="M160" s="13" t="s">
        <v>1217</v>
      </c>
      <c r="N160" s="13" t="s">
        <v>1218</v>
      </c>
      <c r="O160" s="13" t="s">
        <v>1219</v>
      </c>
      <c r="P160" s="13" t="s">
        <v>1220</v>
      </c>
      <c r="Q160" s="13" t="s">
        <v>1221</v>
      </c>
      <c r="R160" s="13" t="s">
        <v>1222</v>
      </c>
      <c r="S160" s="13" t="s">
        <v>1223</v>
      </c>
      <c r="T160" s="13" t="s">
        <v>227</v>
      </c>
      <c r="U160" s="13" t="s">
        <v>228</v>
      </c>
      <c r="V160" s="13" t="s">
        <v>229</v>
      </c>
      <c r="W160" s="12">
        <f t="shared" si="4"/>
        <v>1</v>
      </c>
      <c r="X160" s="12">
        <f t="shared" si="5"/>
        <v>1</v>
      </c>
    </row>
    <row r="161" ht="44" customHeight="1" spans="1:24">
      <c r="A161" s="14" t="s">
        <v>21</v>
      </c>
      <c r="B161" s="14">
        <v>18</v>
      </c>
      <c r="C161" s="14">
        <v>1</v>
      </c>
      <c r="D161" s="14" t="s">
        <v>1224</v>
      </c>
      <c r="E161" s="15" t="s">
        <v>1225</v>
      </c>
      <c r="F161" s="15" t="s">
        <v>1226</v>
      </c>
      <c r="G161" s="15" t="s">
        <v>30</v>
      </c>
      <c r="H161" s="14" t="s">
        <v>30</v>
      </c>
      <c r="I161" s="14" t="s">
        <v>1227</v>
      </c>
      <c r="J161" s="14" t="s">
        <v>112</v>
      </c>
      <c r="K161" s="15" t="s">
        <v>1115</v>
      </c>
      <c r="L161" s="15" t="s">
        <v>166</v>
      </c>
      <c r="M161" s="15" t="s">
        <v>1228</v>
      </c>
      <c r="N161" s="15" t="s">
        <v>1229</v>
      </c>
      <c r="O161" s="15" t="s">
        <v>1230</v>
      </c>
      <c r="P161" s="15" t="s">
        <v>1231</v>
      </c>
      <c r="Q161" s="15" t="s">
        <v>1232</v>
      </c>
      <c r="R161" s="15" t="s">
        <v>1233</v>
      </c>
      <c r="S161" s="15" t="s">
        <v>194</v>
      </c>
      <c r="T161" s="15" t="s">
        <v>578</v>
      </c>
      <c r="U161" s="15" t="s">
        <v>174</v>
      </c>
      <c r="V161" s="15" t="s">
        <v>728</v>
      </c>
      <c r="W161" s="14">
        <f t="shared" si="4"/>
        <v>1</v>
      </c>
      <c r="X161" s="14">
        <f t="shared" si="5"/>
        <v>0</v>
      </c>
    </row>
    <row r="162" ht="44" customHeight="1" spans="1:24">
      <c r="A162" s="12" t="s">
        <v>21</v>
      </c>
      <c r="B162" s="12">
        <v>19</v>
      </c>
      <c r="C162" s="12">
        <v>1</v>
      </c>
      <c r="D162" s="12" t="s">
        <v>1224</v>
      </c>
      <c r="E162" s="13" t="s">
        <v>1234</v>
      </c>
      <c r="F162" s="13" t="s">
        <v>1235</v>
      </c>
      <c r="G162" s="13" t="s">
        <v>30</v>
      </c>
      <c r="H162" s="12" t="s">
        <v>30</v>
      </c>
      <c r="I162" s="12" t="s">
        <v>1227</v>
      </c>
      <c r="J162" s="12" t="s">
        <v>112</v>
      </c>
      <c r="K162" s="13" t="s">
        <v>73</v>
      </c>
      <c r="L162" s="13" t="s">
        <v>1236</v>
      </c>
      <c r="M162" s="13" t="s">
        <v>1237</v>
      </c>
      <c r="N162" s="13" t="s">
        <v>1238</v>
      </c>
      <c r="O162" s="13" t="s">
        <v>1239</v>
      </c>
      <c r="P162" s="13" t="s">
        <v>1240</v>
      </c>
      <c r="Q162" s="13" t="s">
        <v>740</v>
      </c>
      <c r="R162" s="13" t="s">
        <v>1241</v>
      </c>
      <c r="S162" s="13" t="s">
        <v>1242</v>
      </c>
      <c r="T162" s="13" t="s">
        <v>578</v>
      </c>
      <c r="U162" s="13" t="s">
        <v>122</v>
      </c>
      <c r="V162" s="13" t="s">
        <v>1243</v>
      </c>
      <c r="W162" s="12">
        <f t="shared" si="4"/>
        <v>1</v>
      </c>
      <c r="X162" s="12">
        <f t="shared" si="5"/>
        <v>1</v>
      </c>
    </row>
    <row r="163" ht="44" customHeight="1" spans="1:24">
      <c r="A163" s="12" t="s">
        <v>21</v>
      </c>
      <c r="B163" s="12">
        <v>20</v>
      </c>
      <c r="C163" s="12">
        <v>1</v>
      </c>
      <c r="D163" s="12" t="s">
        <v>1224</v>
      </c>
      <c r="E163" s="13" t="s">
        <v>1244</v>
      </c>
      <c r="F163" s="13" t="s">
        <v>1245</v>
      </c>
      <c r="G163" s="13" t="s">
        <v>30</v>
      </c>
      <c r="H163" s="12" t="s">
        <v>30</v>
      </c>
      <c r="I163" s="12" t="s">
        <v>1227</v>
      </c>
      <c r="J163" s="12" t="s">
        <v>72</v>
      </c>
      <c r="K163" s="13" t="s">
        <v>73</v>
      </c>
      <c r="L163" s="13" t="s">
        <v>1246</v>
      </c>
      <c r="M163" s="13" t="s">
        <v>1247</v>
      </c>
      <c r="N163" s="13" t="s">
        <v>1248</v>
      </c>
      <c r="O163" s="13" t="s">
        <v>1249</v>
      </c>
      <c r="P163" s="13" t="s">
        <v>1250</v>
      </c>
      <c r="Q163" s="13" t="s">
        <v>105</v>
      </c>
      <c r="R163" s="13" t="s">
        <v>1251</v>
      </c>
      <c r="S163" s="13" t="s">
        <v>773</v>
      </c>
      <c r="T163" s="13" t="s">
        <v>578</v>
      </c>
      <c r="U163" s="13" t="s">
        <v>1252</v>
      </c>
      <c r="V163" s="13" t="s">
        <v>1253</v>
      </c>
      <c r="W163" s="12">
        <f t="shared" si="4"/>
        <v>1</v>
      </c>
      <c r="X163" s="12">
        <f t="shared" si="5"/>
        <v>1</v>
      </c>
    </row>
    <row r="164" ht="44" customHeight="1" spans="1:24">
      <c r="A164" s="12" t="s">
        <v>21</v>
      </c>
      <c r="B164" s="12">
        <v>21</v>
      </c>
      <c r="C164" s="12">
        <v>1</v>
      </c>
      <c r="D164" s="12" t="s">
        <v>1224</v>
      </c>
      <c r="E164" s="13" t="s">
        <v>1254</v>
      </c>
      <c r="F164" s="13" t="s">
        <v>1255</v>
      </c>
      <c r="G164" s="13" t="s">
        <v>30</v>
      </c>
      <c r="H164" s="12" t="s">
        <v>30</v>
      </c>
      <c r="I164" s="12" t="s">
        <v>1227</v>
      </c>
      <c r="J164" s="12" t="s">
        <v>72</v>
      </c>
      <c r="K164" s="13" t="s">
        <v>73</v>
      </c>
      <c r="L164" s="13" t="s">
        <v>1256</v>
      </c>
      <c r="M164" s="13" t="s">
        <v>1257</v>
      </c>
      <c r="N164" s="13" t="s">
        <v>1258</v>
      </c>
      <c r="O164" s="13" t="s">
        <v>1259</v>
      </c>
      <c r="P164" s="13" t="s">
        <v>1260</v>
      </c>
      <c r="Q164" s="13" t="s">
        <v>105</v>
      </c>
      <c r="R164" s="13" t="s">
        <v>1261</v>
      </c>
      <c r="S164" s="13" t="s">
        <v>1262</v>
      </c>
      <c r="T164" s="13" t="s">
        <v>578</v>
      </c>
      <c r="U164" s="13" t="s">
        <v>1252</v>
      </c>
      <c r="V164" s="13" t="s">
        <v>1253</v>
      </c>
      <c r="W164" s="12">
        <f t="shared" si="4"/>
        <v>1</v>
      </c>
      <c r="X164" s="12">
        <f t="shared" si="5"/>
        <v>1</v>
      </c>
    </row>
    <row r="165" ht="44" customHeight="1" spans="1:24">
      <c r="A165" s="12" t="s">
        <v>21</v>
      </c>
      <c r="B165" s="12">
        <v>22</v>
      </c>
      <c r="C165" s="12">
        <v>1</v>
      </c>
      <c r="D165" s="12" t="s">
        <v>1224</v>
      </c>
      <c r="E165" s="13" t="s">
        <v>1263</v>
      </c>
      <c r="F165" s="13" t="s">
        <v>1264</v>
      </c>
      <c r="G165" s="13" t="s">
        <v>30</v>
      </c>
      <c r="H165" s="12" t="s">
        <v>30</v>
      </c>
      <c r="I165" s="12" t="s">
        <v>1227</v>
      </c>
      <c r="J165" s="12" t="s">
        <v>72</v>
      </c>
      <c r="K165" s="13" t="s">
        <v>73</v>
      </c>
      <c r="L165" s="13" t="s">
        <v>1265</v>
      </c>
      <c r="M165" s="13" t="s">
        <v>1266</v>
      </c>
      <c r="N165" s="13" t="s">
        <v>1267</v>
      </c>
      <c r="O165" s="13" t="s">
        <v>1268</v>
      </c>
      <c r="P165" s="13" t="s">
        <v>1269</v>
      </c>
      <c r="Q165" s="13" t="s">
        <v>105</v>
      </c>
      <c r="R165" s="13" t="s">
        <v>1270</v>
      </c>
      <c r="S165" s="13" t="s">
        <v>1271</v>
      </c>
      <c r="T165" s="13" t="s">
        <v>578</v>
      </c>
      <c r="U165" s="13" t="s">
        <v>1252</v>
      </c>
      <c r="V165" s="13" t="s">
        <v>1253</v>
      </c>
      <c r="W165" s="12">
        <f t="shared" si="4"/>
        <v>1</v>
      </c>
      <c r="X165" s="12">
        <f t="shared" si="5"/>
        <v>1</v>
      </c>
    </row>
    <row r="166" ht="44" customHeight="1" spans="1:24">
      <c r="A166" s="12" t="s">
        <v>21</v>
      </c>
      <c r="B166" s="12">
        <v>23</v>
      </c>
      <c r="C166" s="12">
        <v>1</v>
      </c>
      <c r="D166" s="12" t="s">
        <v>1224</v>
      </c>
      <c r="E166" s="13" t="s">
        <v>1272</v>
      </c>
      <c r="F166" s="13" t="s">
        <v>1273</v>
      </c>
      <c r="G166" s="13" t="s">
        <v>30</v>
      </c>
      <c r="H166" s="12" t="s">
        <v>30</v>
      </c>
      <c r="I166" s="12" t="s">
        <v>1227</v>
      </c>
      <c r="J166" s="12" t="s">
        <v>72</v>
      </c>
      <c r="K166" s="13" t="s">
        <v>73</v>
      </c>
      <c r="L166" s="13" t="s">
        <v>1274</v>
      </c>
      <c r="M166" s="13" t="s">
        <v>1275</v>
      </c>
      <c r="N166" s="13" t="s">
        <v>1276</v>
      </c>
      <c r="O166" s="13" t="s">
        <v>1277</v>
      </c>
      <c r="P166" s="13" t="s">
        <v>1278</v>
      </c>
      <c r="Q166" s="13" t="s">
        <v>105</v>
      </c>
      <c r="R166" s="13" t="s">
        <v>1279</v>
      </c>
      <c r="S166" s="13" t="s">
        <v>1280</v>
      </c>
      <c r="T166" s="13" t="s">
        <v>578</v>
      </c>
      <c r="U166" s="13" t="s">
        <v>1252</v>
      </c>
      <c r="V166" s="13" t="s">
        <v>1253</v>
      </c>
      <c r="W166" s="12">
        <f t="shared" si="4"/>
        <v>1</v>
      </c>
      <c r="X166" s="12">
        <f t="shared" si="5"/>
        <v>1</v>
      </c>
    </row>
    <row r="167" ht="44" customHeight="1" spans="1:24">
      <c r="A167" s="12" t="s">
        <v>21</v>
      </c>
      <c r="B167" s="12">
        <v>24</v>
      </c>
      <c r="C167" s="12">
        <v>1</v>
      </c>
      <c r="D167" s="12" t="s">
        <v>1224</v>
      </c>
      <c r="E167" s="13" t="s">
        <v>1281</v>
      </c>
      <c r="F167" s="13" t="s">
        <v>1282</v>
      </c>
      <c r="G167" s="13" t="s">
        <v>30</v>
      </c>
      <c r="H167" s="12" t="s">
        <v>30</v>
      </c>
      <c r="I167" s="12" t="s">
        <v>1227</v>
      </c>
      <c r="J167" s="12" t="s">
        <v>112</v>
      </c>
      <c r="K167" s="13" t="s">
        <v>73</v>
      </c>
      <c r="L167" s="13" t="s">
        <v>1283</v>
      </c>
      <c r="M167" s="13" t="s">
        <v>1284</v>
      </c>
      <c r="N167" s="13" t="s">
        <v>1285</v>
      </c>
      <c r="O167" s="13" t="s">
        <v>1286</v>
      </c>
      <c r="P167" s="13" t="s">
        <v>1240</v>
      </c>
      <c r="Q167" s="13" t="s">
        <v>740</v>
      </c>
      <c r="R167" s="13" t="s">
        <v>1287</v>
      </c>
      <c r="S167" s="13" t="s">
        <v>1288</v>
      </c>
      <c r="T167" s="13" t="s">
        <v>578</v>
      </c>
      <c r="U167" s="13" t="s">
        <v>122</v>
      </c>
      <c r="V167" s="13" t="s">
        <v>579</v>
      </c>
      <c r="W167" s="12">
        <f t="shared" si="4"/>
        <v>1</v>
      </c>
      <c r="X167" s="12">
        <f t="shared" si="5"/>
        <v>1</v>
      </c>
    </row>
    <row r="168" ht="44" customHeight="1" spans="1:24">
      <c r="A168" s="12" t="s">
        <v>21</v>
      </c>
      <c r="B168" s="12">
        <v>25</v>
      </c>
      <c r="C168" s="12">
        <v>1</v>
      </c>
      <c r="D168" s="12" t="s">
        <v>1224</v>
      </c>
      <c r="E168" s="13" t="s">
        <v>1289</v>
      </c>
      <c r="F168" s="13" t="s">
        <v>1290</v>
      </c>
      <c r="G168" s="13" t="s">
        <v>30</v>
      </c>
      <c r="H168" s="12" t="s">
        <v>30</v>
      </c>
      <c r="I168" s="12" t="s">
        <v>1227</v>
      </c>
      <c r="J168" s="12" t="s">
        <v>72</v>
      </c>
      <c r="K168" s="13" t="s">
        <v>73</v>
      </c>
      <c r="L168" s="13" t="s">
        <v>1189</v>
      </c>
      <c r="M168" s="13" t="s">
        <v>1291</v>
      </c>
      <c r="N168" s="13" t="s">
        <v>1292</v>
      </c>
      <c r="O168" s="13" t="s">
        <v>1293</v>
      </c>
      <c r="P168" s="13" t="s">
        <v>1294</v>
      </c>
      <c r="Q168" s="13" t="s">
        <v>1295</v>
      </c>
      <c r="R168" s="13" t="s">
        <v>1296</v>
      </c>
      <c r="S168" s="13" t="s">
        <v>604</v>
      </c>
      <c r="T168" s="13" t="s">
        <v>299</v>
      </c>
      <c r="U168" s="13" t="s">
        <v>300</v>
      </c>
      <c r="V168" s="13" t="s">
        <v>301</v>
      </c>
      <c r="W168" s="12">
        <f t="shared" si="4"/>
        <v>1</v>
      </c>
      <c r="X168" s="12">
        <f t="shared" si="5"/>
        <v>1</v>
      </c>
    </row>
    <row r="169" ht="44" customHeight="1" spans="1:24">
      <c r="A169" s="12" t="s">
        <v>21</v>
      </c>
      <c r="B169" s="12">
        <v>26</v>
      </c>
      <c r="C169" s="12">
        <v>1</v>
      </c>
      <c r="D169" s="12" t="s">
        <v>1224</v>
      </c>
      <c r="E169" s="13" t="s">
        <v>1297</v>
      </c>
      <c r="F169" s="13" t="s">
        <v>1298</v>
      </c>
      <c r="G169" s="13" t="s">
        <v>30</v>
      </c>
      <c r="H169" s="12" t="s">
        <v>30</v>
      </c>
      <c r="I169" s="12" t="s">
        <v>1227</v>
      </c>
      <c r="J169" s="12" t="s">
        <v>72</v>
      </c>
      <c r="K169" s="13" t="s">
        <v>73</v>
      </c>
      <c r="L169" s="13" t="s">
        <v>1299</v>
      </c>
      <c r="M169" s="13" t="s">
        <v>1300</v>
      </c>
      <c r="N169" s="13" t="s">
        <v>1301</v>
      </c>
      <c r="O169" s="13" t="s">
        <v>1302</v>
      </c>
      <c r="P169" s="13" t="s">
        <v>1303</v>
      </c>
      <c r="Q169" s="13" t="s">
        <v>1304</v>
      </c>
      <c r="R169" s="13" t="s">
        <v>1305</v>
      </c>
      <c r="S169" s="13" t="s">
        <v>604</v>
      </c>
      <c r="T169" s="13" t="s">
        <v>299</v>
      </c>
      <c r="U169" s="13" t="s">
        <v>300</v>
      </c>
      <c r="V169" s="13" t="s">
        <v>301</v>
      </c>
      <c r="W169" s="12">
        <f t="shared" si="4"/>
        <v>1</v>
      </c>
      <c r="X169" s="12">
        <f t="shared" si="5"/>
        <v>1</v>
      </c>
    </row>
    <row r="170" ht="44" customHeight="1" spans="1:24">
      <c r="A170" s="12" t="s">
        <v>21</v>
      </c>
      <c r="B170" s="12">
        <v>27</v>
      </c>
      <c r="C170" s="12">
        <v>1</v>
      </c>
      <c r="D170" s="12" t="s">
        <v>1224</v>
      </c>
      <c r="E170" s="13" t="s">
        <v>1306</v>
      </c>
      <c r="F170" s="13" t="s">
        <v>1307</v>
      </c>
      <c r="G170" s="13" t="s">
        <v>30</v>
      </c>
      <c r="H170" s="12" t="s">
        <v>30</v>
      </c>
      <c r="I170" s="12" t="s">
        <v>1227</v>
      </c>
      <c r="J170" s="12" t="s">
        <v>72</v>
      </c>
      <c r="K170" s="13" t="s">
        <v>73</v>
      </c>
      <c r="L170" s="13" t="s">
        <v>1308</v>
      </c>
      <c r="M170" s="13" t="s">
        <v>1309</v>
      </c>
      <c r="N170" s="13" t="s">
        <v>1310</v>
      </c>
      <c r="O170" s="13" t="s">
        <v>1311</v>
      </c>
      <c r="P170" s="13" t="s">
        <v>1312</v>
      </c>
      <c r="Q170" s="13" t="s">
        <v>309</v>
      </c>
      <c r="R170" s="13" t="s">
        <v>1313</v>
      </c>
      <c r="S170" s="13" t="s">
        <v>604</v>
      </c>
      <c r="T170" s="13" t="s">
        <v>299</v>
      </c>
      <c r="U170" s="13" t="s">
        <v>300</v>
      </c>
      <c r="V170" s="13" t="s">
        <v>301</v>
      </c>
      <c r="W170" s="12">
        <f t="shared" si="4"/>
        <v>1</v>
      </c>
      <c r="X170" s="12">
        <f t="shared" si="5"/>
        <v>1</v>
      </c>
    </row>
    <row r="171" ht="44" customHeight="1" spans="1:24">
      <c r="A171" s="12" t="s">
        <v>21</v>
      </c>
      <c r="B171" s="12">
        <v>28</v>
      </c>
      <c r="C171" s="12">
        <v>1</v>
      </c>
      <c r="D171" s="12" t="s">
        <v>1224</v>
      </c>
      <c r="E171" s="13" t="s">
        <v>1314</v>
      </c>
      <c r="F171" s="13" t="s">
        <v>1315</v>
      </c>
      <c r="G171" s="13" t="s">
        <v>30</v>
      </c>
      <c r="H171" s="12" t="s">
        <v>30</v>
      </c>
      <c r="I171" s="12" t="s">
        <v>1227</v>
      </c>
      <c r="J171" s="12" t="s">
        <v>112</v>
      </c>
      <c r="K171" s="13" t="s">
        <v>73</v>
      </c>
      <c r="L171" s="13" t="s">
        <v>1316</v>
      </c>
      <c r="M171" s="13" t="s">
        <v>1317</v>
      </c>
      <c r="N171" s="13" t="s">
        <v>1318</v>
      </c>
      <c r="O171" s="13" t="s">
        <v>1319</v>
      </c>
      <c r="P171" s="13" t="s">
        <v>1320</v>
      </c>
      <c r="Q171" s="13" t="s">
        <v>1321</v>
      </c>
      <c r="R171" s="13" t="s">
        <v>1322</v>
      </c>
      <c r="S171" s="13" t="s">
        <v>1323</v>
      </c>
      <c r="T171" s="13" t="s">
        <v>299</v>
      </c>
      <c r="U171" s="13" t="s">
        <v>300</v>
      </c>
      <c r="V171" s="13" t="s">
        <v>301</v>
      </c>
      <c r="W171" s="12">
        <f t="shared" si="4"/>
        <v>1</v>
      </c>
      <c r="X171" s="12">
        <f t="shared" si="5"/>
        <v>1</v>
      </c>
    </row>
    <row r="172" ht="44" customHeight="1" spans="1:24">
      <c r="A172" s="12" t="s">
        <v>21</v>
      </c>
      <c r="B172" s="12">
        <v>29</v>
      </c>
      <c r="C172" s="12">
        <v>1</v>
      </c>
      <c r="D172" s="12" t="s">
        <v>1224</v>
      </c>
      <c r="E172" s="13" t="s">
        <v>1324</v>
      </c>
      <c r="F172" s="13" t="s">
        <v>1325</v>
      </c>
      <c r="G172" s="13" t="s">
        <v>30</v>
      </c>
      <c r="H172" s="12" t="s">
        <v>30</v>
      </c>
      <c r="I172" s="12" t="s">
        <v>1227</v>
      </c>
      <c r="J172" s="12" t="s">
        <v>112</v>
      </c>
      <c r="K172" s="13" t="s">
        <v>73</v>
      </c>
      <c r="L172" s="13" t="s">
        <v>1326</v>
      </c>
      <c r="M172" s="13" t="s">
        <v>1327</v>
      </c>
      <c r="N172" s="13" t="s">
        <v>1328</v>
      </c>
      <c r="O172" s="13" t="s">
        <v>1329</v>
      </c>
      <c r="P172" s="13" t="s">
        <v>1330</v>
      </c>
      <c r="Q172" s="13" t="s">
        <v>1331</v>
      </c>
      <c r="R172" s="13" t="s">
        <v>1332</v>
      </c>
      <c r="S172" s="13" t="s">
        <v>604</v>
      </c>
      <c r="T172" s="13" t="s">
        <v>299</v>
      </c>
      <c r="U172" s="13" t="s">
        <v>300</v>
      </c>
      <c r="V172" s="13" t="s">
        <v>301</v>
      </c>
      <c r="W172" s="12">
        <f t="shared" si="4"/>
        <v>1</v>
      </c>
      <c r="X172" s="12">
        <f t="shared" si="5"/>
        <v>1</v>
      </c>
    </row>
    <row r="173" ht="44" customHeight="1" spans="1:24">
      <c r="A173" s="12" t="s">
        <v>21</v>
      </c>
      <c r="B173" s="12">
        <v>30</v>
      </c>
      <c r="C173" s="12">
        <v>1</v>
      </c>
      <c r="D173" s="12" t="s">
        <v>1224</v>
      </c>
      <c r="E173" s="13" t="s">
        <v>1333</v>
      </c>
      <c r="F173" s="13" t="s">
        <v>1334</v>
      </c>
      <c r="G173" s="13" t="s">
        <v>30</v>
      </c>
      <c r="H173" s="12" t="s">
        <v>30</v>
      </c>
      <c r="I173" s="12" t="s">
        <v>1227</v>
      </c>
      <c r="J173" s="12" t="s">
        <v>112</v>
      </c>
      <c r="K173" s="13" t="s">
        <v>73</v>
      </c>
      <c r="L173" s="13" t="s">
        <v>833</v>
      </c>
      <c r="M173" s="13" t="s">
        <v>1335</v>
      </c>
      <c r="N173" s="13" t="s">
        <v>835</v>
      </c>
      <c r="O173" s="13" t="s">
        <v>1336</v>
      </c>
      <c r="P173" s="13" t="s">
        <v>1337</v>
      </c>
      <c r="Q173" s="13" t="s">
        <v>1338</v>
      </c>
      <c r="R173" s="13" t="s">
        <v>1339</v>
      </c>
      <c r="S173" s="13" t="s">
        <v>839</v>
      </c>
      <c r="T173" s="13" t="s">
        <v>299</v>
      </c>
      <c r="U173" s="13" t="s">
        <v>300</v>
      </c>
      <c r="V173" s="13" t="s">
        <v>301</v>
      </c>
      <c r="W173" s="12">
        <f t="shared" si="4"/>
        <v>1</v>
      </c>
      <c r="X173" s="12">
        <f t="shared" si="5"/>
        <v>1</v>
      </c>
    </row>
    <row r="174" ht="44" customHeight="1" spans="1:24">
      <c r="A174" s="12" t="s">
        <v>21</v>
      </c>
      <c r="B174" s="12">
        <v>31</v>
      </c>
      <c r="C174" s="12">
        <v>1</v>
      </c>
      <c r="D174" s="12" t="s">
        <v>1224</v>
      </c>
      <c r="E174" s="13" t="s">
        <v>1340</v>
      </c>
      <c r="F174" s="13" t="s">
        <v>1341</v>
      </c>
      <c r="G174" s="13" t="s">
        <v>30</v>
      </c>
      <c r="H174" s="12" t="s">
        <v>30</v>
      </c>
      <c r="I174" s="12" t="s">
        <v>1227</v>
      </c>
      <c r="J174" s="12" t="s">
        <v>112</v>
      </c>
      <c r="K174" s="13" t="s">
        <v>73</v>
      </c>
      <c r="L174" s="13" t="s">
        <v>777</v>
      </c>
      <c r="M174" s="13" t="s">
        <v>1342</v>
      </c>
      <c r="N174" s="13" t="s">
        <v>1343</v>
      </c>
      <c r="O174" s="13" t="s">
        <v>1344</v>
      </c>
      <c r="P174" s="13" t="s">
        <v>1345</v>
      </c>
      <c r="Q174" s="13" t="s">
        <v>1346</v>
      </c>
      <c r="R174" s="13" t="s">
        <v>1347</v>
      </c>
      <c r="S174" s="13" t="s">
        <v>270</v>
      </c>
      <c r="T174" s="13" t="s">
        <v>299</v>
      </c>
      <c r="U174" s="13" t="s">
        <v>300</v>
      </c>
      <c r="V174" s="13" t="s">
        <v>301</v>
      </c>
      <c r="W174" s="12">
        <f t="shared" si="4"/>
        <v>1</v>
      </c>
      <c r="X174" s="12">
        <f t="shared" si="5"/>
        <v>1</v>
      </c>
    </row>
    <row r="175" ht="44" customHeight="1" spans="1:24">
      <c r="A175" s="12" t="s">
        <v>21</v>
      </c>
      <c r="B175" s="12">
        <v>32</v>
      </c>
      <c r="C175" s="12">
        <v>1</v>
      </c>
      <c r="D175" s="12" t="s">
        <v>1224</v>
      </c>
      <c r="E175" s="13" t="s">
        <v>1348</v>
      </c>
      <c r="F175" s="13" t="s">
        <v>1349</v>
      </c>
      <c r="G175" s="13" t="s">
        <v>30</v>
      </c>
      <c r="H175" s="12" t="s">
        <v>30</v>
      </c>
      <c r="I175" s="12" t="s">
        <v>1227</v>
      </c>
      <c r="J175" s="12" t="s">
        <v>112</v>
      </c>
      <c r="K175" s="13" t="s">
        <v>1350</v>
      </c>
      <c r="L175" s="13" t="s">
        <v>1351</v>
      </c>
      <c r="M175" s="13" t="s">
        <v>1352</v>
      </c>
      <c r="N175" s="13" t="s">
        <v>1353</v>
      </c>
      <c r="O175" s="13" t="s">
        <v>1354</v>
      </c>
      <c r="P175" s="13" t="s">
        <v>1355</v>
      </c>
      <c r="Q175" s="13" t="s">
        <v>1356</v>
      </c>
      <c r="R175" s="13" t="s">
        <v>1357</v>
      </c>
      <c r="S175" s="13" t="s">
        <v>1358</v>
      </c>
      <c r="T175" s="13" t="s">
        <v>227</v>
      </c>
      <c r="U175" s="13" t="s">
        <v>228</v>
      </c>
      <c r="V175" s="13" t="s">
        <v>229</v>
      </c>
      <c r="W175" s="12">
        <f t="shared" si="4"/>
        <v>1</v>
      </c>
      <c r="X175" s="12">
        <f t="shared" si="5"/>
        <v>1</v>
      </c>
    </row>
    <row r="176" ht="44" customHeight="1" spans="1:24">
      <c r="A176" s="12" t="s">
        <v>21</v>
      </c>
      <c r="B176" s="12">
        <v>33</v>
      </c>
      <c r="C176" s="12">
        <v>1</v>
      </c>
      <c r="D176" s="12" t="s">
        <v>1359</v>
      </c>
      <c r="E176" s="13" t="s">
        <v>1360</v>
      </c>
      <c r="F176" s="13" t="s">
        <v>1361</v>
      </c>
      <c r="G176" s="13" t="s">
        <v>30</v>
      </c>
      <c r="H176" s="12" t="s">
        <v>30</v>
      </c>
      <c r="I176" s="12" t="s">
        <v>1362</v>
      </c>
      <c r="J176" s="12" t="s">
        <v>72</v>
      </c>
      <c r="K176" s="13" t="s">
        <v>73</v>
      </c>
      <c r="L176" s="13" t="s">
        <v>81</v>
      </c>
      <c r="M176" s="13" t="s">
        <v>1363</v>
      </c>
      <c r="N176" s="13" t="s">
        <v>1364</v>
      </c>
      <c r="O176" s="13" t="s">
        <v>1365</v>
      </c>
      <c r="P176" s="13" t="s">
        <v>1366</v>
      </c>
      <c r="Q176" s="13" t="s">
        <v>1367</v>
      </c>
      <c r="R176" s="13" t="s">
        <v>1368</v>
      </c>
      <c r="S176" s="13" t="s">
        <v>81</v>
      </c>
      <c r="T176" s="13" t="s">
        <v>866</v>
      </c>
      <c r="U176" s="13" t="s">
        <v>1369</v>
      </c>
      <c r="V176" s="13" t="s">
        <v>1370</v>
      </c>
      <c r="W176" s="12">
        <f t="shared" si="4"/>
        <v>1</v>
      </c>
      <c r="X176" s="12">
        <f t="shared" si="5"/>
        <v>1</v>
      </c>
    </row>
    <row r="177" ht="44" customHeight="1" spans="1:24">
      <c r="A177" s="12" t="s">
        <v>21</v>
      </c>
      <c r="B177" s="12">
        <v>34</v>
      </c>
      <c r="C177" s="12">
        <v>1</v>
      </c>
      <c r="D177" s="12" t="s">
        <v>1359</v>
      </c>
      <c r="E177" s="13" t="s">
        <v>1371</v>
      </c>
      <c r="F177" s="13" t="s">
        <v>1372</v>
      </c>
      <c r="G177" s="13" t="s">
        <v>30</v>
      </c>
      <c r="H177" s="12" t="s">
        <v>30</v>
      </c>
      <c r="I177" s="12" t="s">
        <v>1362</v>
      </c>
      <c r="J177" s="12" t="s">
        <v>72</v>
      </c>
      <c r="K177" s="13" t="s">
        <v>73</v>
      </c>
      <c r="L177" s="13" t="s">
        <v>1373</v>
      </c>
      <c r="M177" s="13" t="s">
        <v>1374</v>
      </c>
      <c r="N177" s="13" t="s">
        <v>1375</v>
      </c>
      <c r="O177" s="13" t="s">
        <v>1376</v>
      </c>
      <c r="P177" s="13" t="s">
        <v>1377</v>
      </c>
      <c r="Q177" s="13" t="s">
        <v>1378</v>
      </c>
      <c r="R177" s="13" t="s">
        <v>1368</v>
      </c>
      <c r="S177" s="13" t="s">
        <v>1373</v>
      </c>
      <c r="T177" s="13" t="s">
        <v>866</v>
      </c>
      <c r="U177" s="13" t="s">
        <v>1369</v>
      </c>
      <c r="V177" s="13" t="s">
        <v>1379</v>
      </c>
      <c r="W177" s="12">
        <f t="shared" si="4"/>
        <v>1</v>
      </c>
      <c r="X177" s="12">
        <f t="shared" si="5"/>
        <v>1</v>
      </c>
    </row>
    <row r="178" ht="44" customHeight="1" spans="1:24">
      <c r="A178" s="12" t="s">
        <v>21</v>
      </c>
      <c r="B178" s="12">
        <v>35</v>
      </c>
      <c r="C178" s="12">
        <v>1</v>
      </c>
      <c r="D178" s="12" t="s">
        <v>1359</v>
      </c>
      <c r="E178" s="13" t="s">
        <v>1380</v>
      </c>
      <c r="F178" s="13" t="s">
        <v>1381</v>
      </c>
      <c r="G178" s="13" t="s">
        <v>30</v>
      </c>
      <c r="H178" s="12" t="s">
        <v>30</v>
      </c>
      <c r="I178" s="12" t="s">
        <v>1362</v>
      </c>
      <c r="J178" s="12" t="s">
        <v>72</v>
      </c>
      <c r="K178" s="13" t="s">
        <v>73</v>
      </c>
      <c r="L178" s="13" t="s">
        <v>1373</v>
      </c>
      <c r="M178" s="13" t="s">
        <v>1382</v>
      </c>
      <c r="N178" s="13" t="s">
        <v>1375</v>
      </c>
      <c r="O178" s="13" t="s">
        <v>1376</v>
      </c>
      <c r="P178" s="13" t="s">
        <v>1377</v>
      </c>
      <c r="Q178" s="13" t="s">
        <v>1378</v>
      </c>
      <c r="R178" s="13" t="s">
        <v>1368</v>
      </c>
      <c r="S178" s="13" t="s">
        <v>1373</v>
      </c>
      <c r="T178" s="13" t="s">
        <v>866</v>
      </c>
      <c r="U178" s="13" t="s">
        <v>1369</v>
      </c>
      <c r="V178" s="13" t="s">
        <v>1379</v>
      </c>
      <c r="W178" s="12">
        <f t="shared" si="4"/>
        <v>1</v>
      </c>
      <c r="X178" s="12">
        <f t="shared" si="5"/>
        <v>1</v>
      </c>
    </row>
    <row r="179" ht="44" customHeight="1" spans="1:24">
      <c r="A179" s="14" t="s">
        <v>21</v>
      </c>
      <c r="B179" s="14">
        <v>36</v>
      </c>
      <c r="C179" s="14">
        <v>1</v>
      </c>
      <c r="D179" s="14" t="s">
        <v>1359</v>
      </c>
      <c r="E179" s="15" t="s">
        <v>1383</v>
      </c>
      <c r="F179" s="15" t="s">
        <v>1384</v>
      </c>
      <c r="G179" s="15" t="s">
        <v>30</v>
      </c>
      <c r="H179" s="14" t="s">
        <v>30</v>
      </c>
      <c r="I179" s="14" t="s">
        <v>1362</v>
      </c>
      <c r="J179" s="14" t="s">
        <v>72</v>
      </c>
      <c r="K179" s="15" t="s">
        <v>1385</v>
      </c>
      <c r="L179" s="15" t="s">
        <v>166</v>
      </c>
      <c r="M179" s="15" t="s">
        <v>1386</v>
      </c>
      <c r="N179" s="15" t="s">
        <v>1387</v>
      </c>
      <c r="O179" s="15" t="s">
        <v>1388</v>
      </c>
      <c r="P179" s="15" t="s">
        <v>1389</v>
      </c>
      <c r="Q179" s="15" t="s">
        <v>154</v>
      </c>
      <c r="R179" s="15" t="s">
        <v>1368</v>
      </c>
      <c r="S179" s="15" t="s">
        <v>1390</v>
      </c>
      <c r="T179" s="15" t="s">
        <v>866</v>
      </c>
      <c r="U179" s="15" t="s">
        <v>174</v>
      </c>
      <c r="V179" s="15" t="s">
        <v>1391</v>
      </c>
      <c r="W179" s="14">
        <f t="shared" si="4"/>
        <v>1</v>
      </c>
      <c r="X179" s="14">
        <f t="shared" si="5"/>
        <v>0</v>
      </c>
    </row>
    <row r="180" ht="44" customHeight="1" spans="1:24">
      <c r="A180" s="12" t="s">
        <v>21</v>
      </c>
      <c r="B180" s="12">
        <v>37</v>
      </c>
      <c r="C180" s="12">
        <v>1</v>
      </c>
      <c r="D180" s="12" t="s">
        <v>1359</v>
      </c>
      <c r="E180" s="13" t="s">
        <v>1392</v>
      </c>
      <c r="F180" s="13" t="s">
        <v>1393</v>
      </c>
      <c r="G180" s="13" t="s">
        <v>30</v>
      </c>
      <c r="H180" s="12" t="s">
        <v>30</v>
      </c>
      <c r="I180" s="12" t="s">
        <v>1362</v>
      </c>
      <c r="J180" s="12" t="s">
        <v>72</v>
      </c>
      <c r="K180" s="13" t="s">
        <v>73</v>
      </c>
      <c r="L180" s="13" t="s">
        <v>1394</v>
      </c>
      <c r="M180" s="13" t="s">
        <v>1395</v>
      </c>
      <c r="N180" s="13" t="s">
        <v>1396</v>
      </c>
      <c r="O180" s="13" t="s">
        <v>1397</v>
      </c>
      <c r="P180" s="13" t="s">
        <v>1398</v>
      </c>
      <c r="Q180" s="13" t="s">
        <v>1399</v>
      </c>
      <c r="R180" s="13" t="s">
        <v>1368</v>
      </c>
      <c r="S180" s="13" t="s">
        <v>714</v>
      </c>
      <c r="T180" s="13" t="s">
        <v>727</v>
      </c>
      <c r="U180" s="13" t="s">
        <v>1369</v>
      </c>
      <c r="V180" s="13" t="s">
        <v>1400</v>
      </c>
      <c r="W180" s="12">
        <f t="shared" si="4"/>
        <v>1</v>
      </c>
      <c r="X180" s="12">
        <f t="shared" si="5"/>
        <v>1</v>
      </c>
    </row>
    <row r="181" ht="44" customHeight="1" spans="1:24">
      <c r="A181" s="12" t="s">
        <v>21</v>
      </c>
      <c r="B181" s="12">
        <v>38</v>
      </c>
      <c r="C181" s="12">
        <v>1</v>
      </c>
      <c r="D181" s="12" t="s">
        <v>1359</v>
      </c>
      <c r="E181" s="13" t="s">
        <v>1401</v>
      </c>
      <c r="F181" s="13" t="s">
        <v>1402</v>
      </c>
      <c r="G181" s="13" t="s">
        <v>30</v>
      </c>
      <c r="H181" s="12" t="s">
        <v>30</v>
      </c>
      <c r="I181" s="12" t="s">
        <v>1362</v>
      </c>
      <c r="J181" s="12" t="s">
        <v>72</v>
      </c>
      <c r="K181" s="13" t="s">
        <v>73</v>
      </c>
      <c r="L181" s="13" t="s">
        <v>881</v>
      </c>
      <c r="M181" s="13" t="s">
        <v>1403</v>
      </c>
      <c r="N181" s="13" t="s">
        <v>1404</v>
      </c>
      <c r="O181" s="13" t="s">
        <v>1405</v>
      </c>
      <c r="P181" s="13" t="s">
        <v>1406</v>
      </c>
      <c r="Q181" s="13" t="s">
        <v>105</v>
      </c>
      <c r="R181" s="13" t="s">
        <v>1407</v>
      </c>
      <c r="S181" s="13" t="s">
        <v>887</v>
      </c>
      <c r="T181" s="13" t="s">
        <v>866</v>
      </c>
      <c r="U181" s="13" t="s">
        <v>1369</v>
      </c>
      <c r="V181" s="13" t="s">
        <v>1408</v>
      </c>
      <c r="W181" s="12">
        <f t="shared" si="4"/>
        <v>1</v>
      </c>
      <c r="X181" s="12">
        <f t="shared" si="5"/>
        <v>1</v>
      </c>
    </row>
    <row r="182" ht="44" customHeight="1" spans="1:24">
      <c r="A182" s="12" t="s">
        <v>21</v>
      </c>
      <c r="B182" s="12">
        <v>39</v>
      </c>
      <c r="C182" s="12">
        <v>1</v>
      </c>
      <c r="D182" s="12" t="s">
        <v>1359</v>
      </c>
      <c r="E182" s="13" t="s">
        <v>1409</v>
      </c>
      <c r="F182" s="13" t="s">
        <v>1410</v>
      </c>
      <c r="G182" s="13" t="s">
        <v>30</v>
      </c>
      <c r="H182" s="12" t="s">
        <v>30</v>
      </c>
      <c r="I182" s="12" t="s">
        <v>1362</v>
      </c>
      <c r="J182" s="12" t="s">
        <v>72</v>
      </c>
      <c r="K182" s="13" t="s">
        <v>73</v>
      </c>
      <c r="L182" s="13" t="s">
        <v>896</v>
      </c>
      <c r="M182" s="13" t="s">
        <v>1411</v>
      </c>
      <c r="N182" s="13" t="s">
        <v>1412</v>
      </c>
      <c r="O182" s="13" t="s">
        <v>1413</v>
      </c>
      <c r="P182" s="13" t="s">
        <v>1414</v>
      </c>
      <c r="Q182" s="13" t="s">
        <v>105</v>
      </c>
      <c r="R182" s="13" t="s">
        <v>1368</v>
      </c>
      <c r="S182" s="13" t="s">
        <v>896</v>
      </c>
      <c r="T182" s="13" t="s">
        <v>578</v>
      </c>
      <c r="U182" s="13" t="s">
        <v>1369</v>
      </c>
      <c r="V182" s="13" t="s">
        <v>1415</v>
      </c>
      <c r="W182" s="12">
        <f t="shared" si="4"/>
        <v>1</v>
      </c>
      <c r="X182" s="12">
        <f t="shared" si="5"/>
        <v>1</v>
      </c>
    </row>
    <row r="183" ht="44" customHeight="1" spans="1:24">
      <c r="A183" s="12" t="s">
        <v>21</v>
      </c>
      <c r="B183" s="12">
        <v>40</v>
      </c>
      <c r="C183" s="12">
        <v>1</v>
      </c>
      <c r="D183" s="12" t="s">
        <v>1359</v>
      </c>
      <c r="E183" s="13" t="s">
        <v>1416</v>
      </c>
      <c r="F183" s="13" t="s">
        <v>1417</v>
      </c>
      <c r="G183" s="13" t="s">
        <v>30</v>
      </c>
      <c r="H183" s="12" t="s">
        <v>30</v>
      </c>
      <c r="I183" s="12" t="s">
        <v>1362</v>
      </c>
      <c r="J183" s="12" t="s">
        <v>72</v>
      </c>
      <c r="K183" s="13" t="s">
        <v>73</v>
      </c>
      <c r="L183" s="13" t="s">
        <v>907</v>
      </c>
      <c r="M183" s="13" t="s">
        <v>1418</v>
      </c>
      <c r="N183" s="13" t="s">
        <v>1419</v>
      </c>
      <c r="O183" s="13" t="s">
        <v>1420</v>
      </c>
      <c r="P183" s="13" t="s">
        <v>1421</v>
      </c>
      <c r="Q183" s="13" t="s">
        <v>1422</v>
      </c>
      <c r="R183" s="13" t="s">
        <v>1368</v>
      </c>
      <c r="S183" s="13" t="s">
        <v>907</v>
      </c>
      <c r="T183" s="13" t="s">
        <v>866</v>
      </c>
      <c r="U183" s="13" t="s">
        <v>1369</v>
      </c>
      <c r="V183" s="13" t="s">
        <v>1415</v>
      </c>
      <c r="W183" s="12">
        <f t="shared" si="4"/>
        <v>1</v>
      </c>
      <c r="X183" s="12">
        <f t="shared" si="5"/>
        <v>1</v>
      </c>
    </row>
    <row r="184" ht="44" customHeight="1" spans="1:24">
      <c r="A184" s="12" t="s">
        <v>21</v>
      </c>
      <c r="B184" s="12">
        <v>41</v>
      </c>
      <c r="C184" s="12">
        <v>1</v>
      </c>
      <c r="D184" s="12" t="s">
        <v>1359</v>
      </c>
      <c r="E184" s="13" t="s">
        <v>1423</v>
      </c>
      <c r="F184" s="13" t="s">
        <v>1424</v>
      </c>
      <c r="G184" s="13" t="s">
        <v>30</v>
      </c>
      <c r="H184" s="12" t="s">
        <v>30</v>
      </c>
      <c r="I184" s="12" t="s">
        <v>1362</v>
      </c>
      <c r="J184" s="12" t="s">
        <v>112</v>
      </c>
      <c r="K184" s="13" t="s">
        <v>73</v>
      </c>
      <c r="L184" s="13" t="s">
        <v>531</v>
      </c>
      <c r="M184" s="13" t="s">
        <v>1425</v>
      </c>
      <c r="N184" s="13" t="s">
        <v>1426</v>
      </c>
      <c r="O184" s="13" t="s">
        <v>1427</v>
      </c>
      <c r="P184" s="13" t="s">
        <v>1428</v>
      </c>
      <c r="Q184" s="13" t="s">
        <v>105</v>
      </c>
      <c r="R184" s="13" t="s">
        <v>1429</v>
      </c>
      <c r="S184" s="13" t="s">
        <v>531</v>
      </c>
      <c r="T184" s="13" t="s">
        <v>82</v>
      </c>
      <c r="U184" s="13" t="s">
        <v>83</v>
      </c>
      <c r="V184" s="13" t="s">
        <v>1430</v>
      </c>
      <c r="W184" s="12">
        <f t="shared" si="4"/>
        <v>1</v>
      </c>
      <c r="X184" s="12">
        <f t="shared" si="5"/>
        <v>1</v>
      </c>
    </row>
    <row r="185" ht="44" customHeight="1" spans="1:24">
      <c r="A185" s="12" t="s">
        <v>21</v>
      </c>
      <c r="B185" s="12">
        <v>42</v>
      </c>
      <c r="C185" s="12">
        <v>1</v>
      </c>
      <c r="D185" s="12" t="s">
        <v>1359</v>
      </c>
      <c r="E185" s="13" t="s">
        <v>1431</v>
      </c>
      <c r="F185" s="13" t="s">
        <v>1432</v>
      </c>
      <c r="G185" s="13" t="s">
        <v>30</v>
      </c>
      <c r="H185" s="12" t="s">
        <v>30</v>
      </c>
      <c r="I185" s="12" t="s">
        <v>1362</v>
      </c>
      <c r="J185" s="12" t="s">
        <v>112</v>
      </c>
      <c r="K185" s="13" t="s">
        <v>73</v>
      </c>
      <c r="L185" s="13" t="s">
        <v>377</v>
      </c>
      <c r="M185" s="13" t="s">
        <v>1433</v>
      </c>
      <c r="N185" s="13" t="s">
        <v>1434</v>
      </c>
      <c r="O185" s="13" t="s">
        <v>1435</v>
      </c>
      <c r="P185" s="13" t="s">
        <v>1436</v>
      </c>
      <c r="Q185" s="13" t="s">
        <v>1437</v>
      </c>
      <c r="R185" s="13" t="s">
        <v>1368</v>
      </c>
      <c r="S185" s="13" t="s">
        <v>952</v>
      </c>
      <c r="T185" s="13" t="s">
        <v>866</v>
      </c>
      <c r="U185" s="13" t="s">
        <v>1369</v>
      </c>
      <c r="V185" s="13" t="s">
        <v>1438</v>
      </c>
      <c r="W185" s="12">
        <f t="shared" si="4"/>
        <v>1</v>
      </c>
      <c r="X185" s="12">
        <f t="shared" si="5"/>
        <v>1</v>
      </c>
    </row>
    <row r="186" ht="44" customHeight="1" spans="1:24">
      <c r="A186" s="12" t="s">
        <v>21</v>
      </c>
      <c r="B186" s="12">
        <v>43</v>
      </c>
      <c r="C186" s="12">
        <v>1</v>
      </c>
      <c r="D186" s="12" t="s">
        <v>1359</v>
      </c>
      <c r="E186" s="13" t="s">
        <v>1439</v>
      </c>
      <c r="F186" s="13" t="s">
        <v>1440</v>
      </c>
      <c r="G186" s="13" t="s">
        <v>30</v>
      </c>
      <c r="H186" s="12" t="s">
        <v>30</v>
      </c>
      <c r="I186" s="12" t="s">
        <v>1362</v>
      </c>
      <c r="J186" s="12" t="s">
        <v>112</v>
      </c>
      <c r="K186" s="13" t="s">
        <v>73</v>
      </c>
      <c r="L186" s="13" t="s">
        <v>81</v>
      </c>
      <c r="M186" s="13" t="s">
        <v>1441</v>
      </c>
      <c r="N186" s="13" t="s">
        <v>1442</v>
      </c>
      <c r="O186" s="13" t="s">
        <v>1443</v>
      </c>
      <c r="P186" s="13" t="s">
        <v>1444</v>
      </c>
      <c r="Q186" s="13" t="s">
        <v>1445</v>
      </c>
      <c r="R186" s="13" t="s">
        <v>1446</v>
      </c>
      <c r="S186" s="13" t="s">
        <v>81</v>
      </c>
      <c r="T186" s="13" t="s">
        <v>1157</v>
      </c>
      <c r="U186" s="13" t="s">
        <v>1369</v>
      </c>
      <c r="V186" s="13" t="s">
        <v>1447</v>
      </c>
      <c r="W186" s="12">
        <f t="shared" si="4"/>
        <v>1</v>
      </c>
      <c r="X186" s="12">
        <f t="shared" si="5"/>
        <v>1</v>
      </c>
    </row>
    <row r="187" ht="44" customHeight="1" spans="1:24">
      <c r="A187" s="12" t="s">
        <v>21</v>
      </c>
      <c r="B187" s="12">
        <v>44</v>
      </c>
      <c r="C187" s="12">
        <v>1</v>
      </c>
      <c r="D187" s="12" t="s">
        <v>1359</v>
      </c>
      <c r="E187" s="13" t="s">
        <v>1448</v>
      </c>
      <c r="F187" s="13" t="s">
        <v>1449</v>
      </c>
      <c r="G187" s="13" t="s">
        <v>30</v>
      </c>
      <c r="H187" s="12" t="s">
        <v>30</v>
      </c>
      <c r="I187" s="12" t="s">
        <v>1362</v>
      </c>
      <c r="J187" s="12" t="s">
        <v>72</v>
      </c>
      <c r="K187" s="13" t="s">
        <v>73</v>
      </c>
      <c r="L187" s="13" t="s">
        <v>316</v>
      </c>
      <c r="M187" s="13" t="s">
        <v>1450</v>
      </c>
      <c r="N187" s="13" t="s">
        <v>1451</v>
      </c>
      <c r="O187" s="13" t="s">
        <v>1452</v>
      </c>
      <c r="P187" s="13" t="s">
        <v>1453</v>
      </c>
      <c r="Q187" s="13" t="s">
        <v>154</v>
      </c>
      <c r="R187" s="13" t="s">
        <v>1454</v>
      </c>
      <c r="S187" s="13" t="s">
        <v>1455</v>
      </c>
      <c r="T187" s="13" t="s">
        <v>299</v>
      </c>
      <c r="U187" s="13" t="s">
        <v>300</v>
      </c>
      <c r="V187" s="13" t="s">
        <v>301</v>
      </c>
      <c r="W187" s="12">
        <f t="shared" si="4"/>
        <v>1</v>
      </c>
      <c r="X187" s="12">
        <f t="shared" si="5"/>
        <v>1</v>
      </c>
    </row>
    <row r="188" ht="44" customHeight="1" spans="1:24">
      <c r="A188" s="12" t="s">
        <v>21</v>
      </c>
      <c r="B188" s="12">
        <v>45</v>
      </c>
      <c r="C188" s="12">
        <v>1</v>
      </c>
      <c r="D188" s="12" t="s">
        <v>1359</v>
      </c>
      <c r="E188" s="13" t="s">
        <v>1456</v>
      </c>
      <c r="F188" s="13" t="s">
        <v>1457</v>
      </c>
      <c r="G188" s="13" t="s">
        <v>30</v>
      </c>
      <c r="H188" s="12" t="s">
        <v>30</v>
      </c>
      <c r="I188" s="12" t="s">
        <v>1362</v>
      </c>
      <c r="J188" s="12" t="s">
        <v>72</v>
      </c>
      <c r="K188" s="13" t="s">
        <v>73</v>
      </c>
      <c r="L188" s="13" t="s">
        <v>30</v>
      </c>
      <c r="M188" s="13" t="s">
        <v>1458</v>
      </c>
      <c r="N188" s="13" t="s">
        <v>1459</v>
      </c>
      <c r="O188" s="13" t="s">
        <v>1460</v>
      </c>
      <c r="P188" s="13" t="s">
        <v>1461</v>
      </c>
      <c r="Q188" s="13" t="s">
        <v>973</v>
      </c>
      <c r="R188" s="13" t="s">
        <v>1462</v>
      </c>
      <c r="S188" s="13" t="s">
        <v>1463</v>
      </c>
      <c r="T188" s="13" t="s">
        <v>299</v>
      </c>
      <c r="U188" s="13" t="s">
        <v>300</v>
      </c>
      <c r="V188" s="13" t="s">
        <v>301</v>
      </c>
      <c r="W188" s="12">
        <f t="shared" si="4"/>
        <v>1</v>
      </c>
      <c r="X188" s="12">
        <f t="shared" si="5"/>
        <v>1</v>
      </c>
    </row>
    <row r="189" ht="44" customHeight="1" spans="1:24">
      <c r="A189" s="12" t="s">
        <v>21</v>
      </c>
      <c r="B189" s="12">
        <v>46</v>
      </c>
      <c r="C189" s="12">
        <v>1</v>
      </c>
      <c r="D189" s="12" t="s">
        <v>1359</v>
      </c>
      <c r="E189" s="13" t="s">
        <v>1464</v>
      </c>
      <c r="F189" s="13" t="s">
        <v>1465</v>
      </c>
      <c r="G189" s="13" t="s">
        <v>30</v>
      </c>
      <c r="H189" s="12" t="s">
        <v>30</v>
      </c>
      <c r="I189" s="12" t="s">
        <v>1362</v>
      </c>
      <c r="J189" s="12" t="s">
        <v>72</v>
      </c>
      <c r="K189" s="13" t="s">
        <v>73</v>
      </c>
      <c r="L189" s="13" t="s">
        <v>30</v>
      </c>
      <c r="M189" s="13" t="s">
        <v>1466</v>
      </c>
      <c r="N189" s="13" t="s">
        <v>1467</v>
      </c>
      <c r="O189" s="13" t="s">
        <v>1468</v>
      </c>
      <c r="P189" s="13" t="s">
        <v>1398</v>
      </c>
      <c r="Q189" s="13" t="s">
        <v>1469</v>
      </c>
      <c r="R189" s="13" t="s">
        <v>1470</v>
      </c>
      <c r="S189" s="13" t="s">
        <v>1471</v>
      </c>
      <c r="T189" s="13" t="s">
        <v>299</v>
      </c>
      <c r="U189" s="13" t="s">
        <v>300</v>
      </c>
      <c r="V189" s="13" t="s">
        <v>301</v>
      </c>
      <c r="W189" s="12">
        <f t="shared" si="4"/>
        <v>1</v>
      </c>
      <c r="X189" s="12">
        <f t="shared" si="5"/>
        <v>1</v>
      </c>
    </row>
    <row r="190" ht="44" customHeight="1" spans="1:24">
      <c r="A190" s="12" t="s">
        <v>21</v>
      </c>
      <c r="B190" s="12">
        <v>47</v>
      </c>
      <c r="C190" s="12">
        <v>1</v>
      </c>
      <c r="D190" s="12" t="s">
        <v>1359</v>
      </c>
      <c r="E190" s="13" t="s">
        <v>1472</v>
      </c>
      <c r="F190" s="13" t="s">
        <v>1473</v>
      </c>
      <c r="G190" s="13" t="s">
        <v>30</v>
      </c>
      <c r="H190" s="12" t="s">
        <v>30</v>
      </c>
      <c r="I190" s="12" t="s">
        <v>1362</v>
      </c>
      <c r="J190" s="12" t="s">
        <v>72</v>
      </c>
      <c r="K190" s="13" t="s">
        <v>73</v>
      </c>
      <c r="L190" s="13" t="s">
        <v>30</v>
      </c>
      <c r="M190" s="13" t="s">
        <v>1474</v>
      </c>
      <c r="N190" s="13" t="s">
        <v>1475</v>
      </c>
      <c r="O190" s="13" t="s">
        <v>1476</v>
      </c>
      <c r="P190" s="13" t="s">
        <v>1477</v>
      </c>
      <c r="Q190" s="13" t="s">
        <v>1029</v>
      </c>
      <c r="R190" s="13" t="s">
        <v>1478</v>
      </c>
      <c r="S190" s="13" t="s">
        <v>1479</v>
      </c>
      <c r="T190" s="13" t="s">
        <v>299</v>
      </c>
      <c r="U190" s="13" t="s">
        <v>1185</v>
      </c>
      <c r="V190" s="13" t="s">
        <v>1480</v>
      </c>
      <c r="W190" s="12">
        <f t="shared" si="4"/>
        <v>1</v>
      </c>
      <c r="X190" s="12">
        <f t="shared" si="5"/>
        <v>1</v>
      </c>
    </row>
    <row r="191" ht="44" customHeight="1" spans="1:24">
      <c r="A191" s="12" t="s">
        <v>21</v>
      </c>
      <c r="B191" s="12">
        <v>48</v>
      </c>
      <c r="C191" s="12">
        <v>1</v>
      </c>
      <c r="D191" s="12" t="s">
        <v>1359</v>
      </c>
      <c r="E191" s="13" t="s">
        <v>1481</v>
      </c>
      <c r="F191" s="13" t="s">
        <v>1482</v>
      </c>
      <c r="G191" s="13" t="s">
        <v>30</v>
      </c>
      <c r="H191" s="12" t="s">
        <v>30</v>
      </c>
      <c r="I191" s="12" t="s">
        <v>1362</v>
      </c>
      <c r="J191" s="12" t="s">
        <v>72</v>
      </c>
      <c r="K191" s="13" t="s">
        <v>73</v>
      </c>
      <c r="L191" s="13" t="s">
        <v>30</v>
      </c>
      <c r="M191" s="13" t="s">
        <v>1483</v>
      </c>
      <c r="N191" s="13" t="s">
        <v>1484</v>
      </c>
      <c r="O191" s="13" t="s">
        <v>1485</v>
      </c>
      <c r="P191" s="13" t="s">
        <v>1486</v>
      </c>
      <c r="Q191" s="13" t="s">
        <v>1487</v>
      </c>
      <c r="R191" s="13" t="s">
        <v>1488</v>
      </c>
      <c r="S191" s="13" t="s">
        <v>633</v>
      </c>
      <c r="T191" s="13" t="s">
        <v>299</v>
      </c>
      <c r="U191" s="13" t="s">
        <v>300</v>
      </c>
      <c r="V191" s="13" t="s">
        <v>301</v>
      </c>
      <c r="W191" s="12">
        <f t="shared" si="4"/>
        <v>1</v>
      </c>
      <c r="X191" s="12">
        <f t="shared" si="5"/>
        <v>1</v>
      </c>
    </row>
    <row r="192" ht="44" customHeight="1" spans="1:24">
      <c r="A192" s="12" t="s">
        <v>21</v>
      </c>
      <c r="B192" s="12">
        <v>49</v>
      </c>
      <c r="C192" s="12">
        <v>1</v>
      </c>
      <c r="D192" s="12" t="s">
        <v>1359</v>
      </c>
      <c r="E192" s="13" t="s">
        <v>1489</v>
      </c>
      <c r="F192" s="13" t="s">
        <v>1490</v>
      </c>
      <c r="G192" s="13" t="s">
        <v>30</v>
      </c>
      <c r="H192" s="12" t="s">
        <v>30</v>
      </c>
      <c r="I192" s="12" t="s">
        <v>1362</v>
      </c>
      <c r="J192" s="12" t="s">
        <v>112</v>
      </c>
      <c r="K192" s="13" t="s">
        <v>73</v>
      </c>
      <c r="L192" s="13" t="s">
        <v>30</v>
      </c>
      <c r="M192" s="13" t="s">
        <v>1491</v>
      </c>
      <c r="N192" s="13" t="s">
        <v>1492</v>
      </c>
      <c r="O192" s="13" t="s">
        <v>1493</v>
      </c>
      <c r="P192" s="13" t="s">
        <v>1494</v>
      </c>
      <c r="Q192" s="13" t="s">
        <v>1495</v>
      </c>
      <c r="R192" s="13" t="s">
        <v>1496</v>
      </c>
      <c r="S192" s="13" t="s">
        <v>1497</v>
      </c>
      <c r="T192" s="13" t="s">
        <v>299</v>
      </c>
      <c r="U192" s="13" t="s">
        <v>300</v>
      </c>
      <c r="V192" s="13" t="s">
        <v>301</v>
      </c>
      <c r="W192" s="12">
        <f t="shared" si="4"/>
        <v>1</v>
      </c>
      <c r="X192" s="12">
        <f t="shared" si="5"/>
        <v>1</v>
      </c>
    </row>
    <row r="193" ht="44" customHeight="1" spans="1:24">
      <c r="A193" s="12" t="s">
        <v>21</v>
      </c>
      <c r="B193" s="12">
        <v>50</v>
      </c>
      <c r="C193" s="12">
        <v>1</v>
      </c>
      <c r="D193" s="12" t="s">
        <v>1359</v>
      </c>
      <c r="E193" s="13" t="s">
        <v>1498</v>
      </c>
      <c r="F193" s="13" t="s">
        <v>1499</v>
      </c>
      <c r="G193" s="13" t="s">
        <v>30</v>
      </c>
      <c r="H193" s="12" t="s">
        <v>30</v>
      </c>
      <c r="I193" s="12" t="s">
        <v>1362</v>
      </c>
      <c r="J193" s="12" t="s">
        <v>112</v>
      </c>
      <c r="K193" s="13" t="s">
        <v>73</v>
      </c>
      <c r="L193" s="13" t="s">
        <v>30</v>
      </c>
      <c r="M193" s="13" t="s">
        <v>1500</v>
      </c>
      <c r="N193" s="13" t="s">
        <v>1501</v>
      </c>
      <c r="O193" s="13" t="s">
        <v>1502</v>
      </c>
      <c r="P193" s="13" t="s">
        <v>1503</v>
      </c>
      <c r="Q193" s="13" t="s">
        <v>1495</v>
      </c>
      <c r="R193" s="13" t="s">
        <v>1504</v>
      </c>
      <c r="S193" s="13" t="s">
        <v>81</v>
      </c>
      <c r="T193" s="13" t="s">
        <v>299</v>
      </c>
      <c r="U193" s="13" t="s">
        <v>300</v>
      </c>
      <c r="V193" s="13" t="s">
        <v>301</v>
      </c>
      <c r="W193" s="12">
        <f t="shared" si="4"/>
        <v>1</v>
      </c>
      <c r="X193" s="12">
        <f t="shared" si="5"/>
        <v>1</v>
      </c>
    </row>
    <row r="194" ht="44" customHeight="1" spans="1:24">
      <c r="A194" s="12" t="s">
        <v>21</v>
      </c>
      <c r="B194" s="12">
        <v>51</v>
      </c>
      <c r="C194" s="12">
        <v>1</v>
      </c>
      <c r="D194" s="12" t="s">
        <v>1359</v>
      </c>
      <c r="E194" s="13" t="s">
        <v>1505</v>
      </c>
      <c r="F194" s="13" t="s">
        <v>1506</v>
      </c>
      <c r="G194" s="13" t="s">
        <v>30</v>
      </c>
      <c r="H194" s="12" t="s">
        <v>30</v>
      </c>
      <c r="I194" s="12" t="s">
        <v>1362</v>
      </c>
      <c r="J194" s="12" t="s">
        <v>112</v>
      </c>
      <c r="K194" s="13" t="s">
        <v>73</v>
      </c>
      <c r="L194" s="13" t="s">
        <v>30</v>
      </c>
      <c r="M194" s="13" t="s">
        <v>1507</v>
      </c>
      <c r="N194" s="13" t="s">
        <v>1508</v>
      </c>
      <c r="O194" s="13" t="s">
        <v>1509</v>
      </c>
      <c r="P194" s="13" t="s">
        <v>1510</v>
      </c>
      <c r="Q194" s="13" t="s">
        <v>1511</v>
      </c>
      <c r="R194" s="13" t="s">
        <v>1512</v>
      </c>
      <c r="S194" s="13" t="s">
        <v>1513</v>
      </c>
      <c r="T194" s="13" t="s">
        <v>299</v>
      </c>
      <c r="U194" s="13" t="s">
        <v>300</v>
      </c>
      <c r="V194" s="13" t="s">
        <v>301</v>
      </c>
      <c r="W194" s="12">
        <f t="shared" si="4"/>
        <v>1</v>
      </c>
      <c r="X194" s="12">
        <f t="shared" si="5"/>
        <v>1</v>
      </c>
    </row>
    <row r="195" ht="44" customHeight="1" spans="1:24">
      <c r="A195" s="12" t="s">
        <v>21</v>
      </c>
      <c r="B195" s="12">
        <v>52</v>
      </c>
      <c r="C195" s="12">
        <v>1</v>
      </c>
      <c r="D195" s="12" t="s">
        <v>1359</v>
      </c>
      <c r="E195" s="13" t="s">
        <v>1514</v>
      </c>
      <c r="F195" s="13" t="s">
        <v>1515</v>
      </c>
      <c r="G195" s="13" t="s">
        <v>30</v>
      </c>
      <c r="H195" s="12" t="s">
        <v>30</v>
      </c>
      <c r="I195" s="12" t="s">
        <v>1362</v>
      </c>
      <c r="J195" s="12" t="s">
        <v>112</v>
      </c>
      <c r="K195" s="13" t="s">
        <v>1516</v>
      </c>
      <c r="L195" s="13" t="s">
        <v>81</v>
      </c>
      <c r="M195" s="13" t="s">
        <v>1517</v>
      </c>
      <c r="N195" s="13" t="s">
        <v>1518</v>
      </c>
      <c r="O195" s="13" t="s">
        <v>1519</v>
      </c>
      <c r="P195" s="13" t="s">
        <v>1520</v>
      </c>
      <c r="Q195" s="13" t="s">
        <v>81</v>
      </c>
      <c r="R195" s="13" t="s">
        <v>1521</v>
      </c>
      <c r="S195" s="13" t="s">
        <v>1522</v>
      </c>
      <c r="T195" s="13" t="s">
        <v>227</v>
      </c>
      <c r="U195" s="13" t="s">
        <v>228</v>
      </c>
      <c r="V195" s="13" t="s">
        <v>229</v>
      </c>
      <c r="W195" s="12">
        <f t="shared" si="4"/>
        <v>1</v>
      </c>
      <c r="X195" s="12">
        <f t="shared" si="5"/>
        <v>1</v>
      </c>
    </row>
    <row r="196" ht="44" customHeight="1" spans="1:24">
      <c r="A196" s="12" t="s">
        <v>21</v>
      </c>
      <c r="B196" s="12">
        <v>53</v>
      </c>
      <c r="C196" s="12">
        <v>1</v>
      </c>
      <c r="D196" s="12" t="s">
        <v>1359</v>
      </c>
      <c r="E196" s="13" t="s">
        <v>1523</v>
      </c>
      <c r="F196" s="13" t="s">
        <v>1524</v>
      </c>
      <c r="G196" s="13" t="s">
        <v>30</v>
      </c>
      <c r="H196" s="12" t="s">
        <v>30</v>
      </c>
      <c r="I196" s="12" t="s">
        <v>1362</v>
      </c>
      <c r="J196" s="12" t="s">
        <v>112</v>
      </c>
      <c r="K196" s="13" t="s">
        <v>1497</v>
      </c>
      <c r="L196" s="13" t="s">
        <v>81</v>
      </c>
      <c r="M196" s="13" t="s">
        <v>1525</v>
      </c>
      <c r="N196" s="13" t="s">
        <v>1526</v>
      </c>
      <c r="O196" s="13" t="s">
        <v>1527</v>
      </c>
      <c r="P196" s="13" t="s">
        <v>1520</v>
      </c>
      <c r="Q196" s="13" t="s">
        <v>81</v>
      </c>
      <c r="R196" s="13" t="s">
        <v>1528</v>
      </c>
      <c r="S196" s="13" t="s">
        <v>1529</v>
      </c>
      <c r="T196" s="13" t="s">
        <v>227</v>
      </c>
      <c r="U196" s="13" t="s">
        <v>228</v>
      </c>
      <c r="V196" s="13" t="s">
        <v>229</v>
      </c>
      <c r="W196" s="12">
        <f t="shared" si="4"/>
        <v>1</v>
      </c>
      <c r="X196" s="12">
        <f t="shared" si="5"/>
        <v>1</v>
      </c>
    </row>
    <row r="197" ht="44" customHeight="1" spans="1:24">
      <c r="A197" s="12" t="s">
        <v>21</v>
      </c>
      <c r="B197" s="12">
        <v>54</v>
      </c>
      <c r="C197" s="12">
        <v>1</v>
      </c>
      <c r="D197" s="12" t="s">
        <v>1359</v>
      </c>
      <c r="E197" s="13" t="s">
        <v>1530</v>
      </c>
      <c r="F197" s="13" t="s">
        <v>1531</v>
      </c>
      <c r="G197" s="13" t="s">
        <v>30</v>
      </c>
      <c r="H197" s="12" t="s">
        <v>30</v>
      </c>
      <c r="I197" s="12" t="s">
        <v>1362</v>
      </c>
      <c r="J197" s="12" t="s">
        <v>112</v>
      </c>
      <c r="K197" s="13" t="s">
        <v>1532</v>
      </c>
      <c r="L197" s="13" t="s">
        <v>604</v>
      </c>
      <c r="M197" s="13" t="s">
        <v>1533</v>
      </c>
      <c r="N197" s="13" t="s">
        <v>1534</v>
      </c>
      <c r="O197" s="13" t="s">
        <v>1535</v>
      </c>
      <c r="P197" s="13" t="s">
        <v>1520</v>
      </c>
      <c r="Q197" s="13" t="s">
        <v>1536</v>
      </c>
      <c r="R197" s="13" t="s">
        <v>1537</v>
      </c>
      <c r="S197" s="13" t="s">
        <v>1538</v>
      </c>
      <c r="T197" s="13" t="s">
        <v>227</v>
      </c>
      <c r="U197" s="13" t="s">
        <v>228</v>
      </c>
      <c r="V197" s="13" t="s">
        <v>229</v>
      </c>
      <c r="W197" s="12">
        <f t="shared" ref="W197:W238" si="6">IF(OR(D197="场景母图",D197="场景多视角"),0,1)</f>
        <v>1</v>
      </c>
      <c r="X197" s="12">
        <f t="shared" ref="X197:X238" si="7">IF(LEFT(U197,2)="历史",0,1)</f>
        <v>1</v>
      </c>
    </row>
    <row r="198" ht="44" customHeight="1" spans="1:24">
      <c r="A198" s="12" t="s">
        <v>21</v>
      </c>
      <c r="B198" s="12">
        <v>55</v>
      </c>
      <c r="C198" s="12">
        <v>1</v>
      </c>
      <c r="D198" s="12" t="s">
        <v>1359</v>
      </c>
      <c r="E198" s="13" t="s">
        <v>1539</v>
      </c>
      <c r="F198" s="13" t="s">
        <v>1540</v>
      </c>
      <c r="G198" s="13" t="s">
        <v>30</v>
      </c>
      <c r="H198" s="12" t="s">
        <v>30</v>
      </c>
      <c r="I198" s="12" t="s">
        <v>1362</v>
      </c>
      <c r="J198" s="12" t="s">
        <v>112</v>
      </c>
      <c r="K198" s="13" t="s">
        <v>1541</v>
      </c>
      <c r="L198" s="13" t="s">
        <v>1542</v>
      </c>
      <c r="M198" s="13" t="s">
        <v>1543</v>
      </c>
      <c r="N198" s="13" t="s">
        <v>1544</v>
      </c>
      <c r="O198" s="13" t="s">
        <v>1545</v>
      </c>
      <c r="P198" s="13" t="s">
        <v>1520</v>
      </c>
      <c r="Q198" s="13" t="s">
        <v>1546</v>
      </c>
      <c r="R198" s="13" t="s">
        <v>1547</v>
      </c>
      <c r="S198" s="13" t="s">
        <v>1548</v>
      </c>
      <c r="T198" s="13" t="s">
        <v>227</v>
      </c>
      <c r="U198" s="13" t="s">
        <v>228</v>
      </c>
      <c r="V198" s="13" t="s">
        <v>229</v>
      </c>
      <c r="W198" s="12">
        <f t="shared" si="6"/>
        <v>1</v>
      </c>
      <c r="X198" s="12">
        <f t="shared" si="7"/>
        <v>1</v>
      </c>
    </row>
    <row r="199" ht="44" customHeight="1" spans="1:24">
      <c r="A199" s="12" t="s">
        <v>21</v>
      </c>
      <c r="B199" s="12">
        <v>56</v>
      </c>
      <c r="C199" s="12">
        <v>1</v>
      </c>
      <c r="D199" s="12" t="s">
        <v>1549</v>
      </c>
      <c r="E199" s="13" t="s">
        <v>1550</v>
      </c>
      <c r="F199" s="13" t="s">
        <v>1551</v>
      </c>
      <c r="G199" s="13" t="s">
        <v>30</v>
      </c>
      <c r="H199" s="12" t="s">
        <v>30</v>
      </c>
      <c r="I199" s="12" t="s">
        <v>1552</v>
      </c>
      <c r="J199" s="12" t="s">
        <v>72</v>
      </c>
      <c r="K199" s="13" t="s">
        <v>73</v>
      </c>
      <c r="L199" s="13" t="s">
        <v>890</v>
      </c>
      <c r="M199" s="13" t="s">
        <v>1553</v>
      </c>
      <c r="N199" s="13" t="s">
        <v>1554</v>
      </c>
      <c r="O199" s="13" t="s">
        <v>1555</v>
      </c>
      <c r="P199" s="13" t="s">
        <v>1556</v>
      </c>
      <c r="Q199" s="13" t="s">
        <v>105</v>
      </c>
      <c r="R199" s="13" t="s">
        <v>1557</v>
      </c>
      <c r="S199" s="13" t="s">
        <v>896</v>
      </c>
      <c r="T199" s="13" t="s">
        <v>963</v>
      </c>
      <c r="U199" s="13" t="s">
        <v>83</v>
      </c>
      <c r="V199" s="13" t="s">
        <v>1558</v>
      </c>
      <c r="W199" s="12">
        <f t="shared" si="6"/>
        <v>1</v>
      </c>
      <c r="X199" s="12">
        <f t="shared" si="7"/>
        <v>1</v>
      </c>
    </row>
    <row r="200" ht="44" customHeight="1" spans="1:24">
      <c r="A200" s="12" t="s">
        <v>21</v>
      </c>
      <c r="B200" s="12">
        <v>57</v>
      </c>
      <c r="C200" s="12">
        <v>1</v>
      </c>
      <c r="D200" s="12" t="s">
        <v>1549</v>
      </c>
      <c r="E200" s="13" t="s">
        <v>1559</v>
      </c>
      <c r="F200" s="13" t="s">
        <v>1560</v>
      </c>
      <c r="G200" s="13" t="s">
        <v>30</v>
      </c>
      <c r="H200" s="12" t="s">
        <v>30</v>
      </c>
      <c r="I200" s="12" t="s">
        <v>1552</v>
      </c>
      <c r="J200" s="12" t="s">
        <v>112</v>
      </c>
      <c r="K200" s="13" t="s">
        <v>73</v>
      </c>
      <c r="L200" s="13" t="s">
        <v>1561</v>
      </c>
      <c r="M200" s="13" t="s">
        <v>1562</v>
      </c>
      <c r="N200" s="13" t="s">
        <v>1563</v>
      </c>
      <c r="O200" s="13" t="s">
        <v>1564</v>
      </c>
      <c r="P200" s="13" t="s">
        <v>1565</v>
      </c>
      <c r="Q200" s="13" t="s">
        <v>1566</v>
      </c>
      <c r="R200" s="13" t="s">
        <v>1567</v>
      </c>
      <c r="S200" s="13" t="s">
        <v>81</v>
      </c>
      <c r="T200" s="13" t="s">
        <v>1568</v>
      </c>
      <c r="U200" s="13" t="s">
        <v>1369</v>
      </c>
      <c r="V200" s="13" t="s">
        <v>1569</v>
      </c>
      <c r="W200" s="12">
        <f t="shared" si="6"/>
        <v>1</v>
      </c>
      <c r="X200" s="12">
        <f t="shared" si="7"/>
        <v>1</v>
      </c>
    </row>
    <row r="201" ht="44" customHeight="1" spans="1:24">
      <c r="A201" s="14" t="s">
        <v>21</v>
      </c>
      <c r="B201" s="14">
        <v>58</v>
      </c>
      <c r="C201" s="14">
        <v>1</v>
      </c>
      <c r="D201" s="14" t="s">
        <v>1549</v>
      </c>
      <c r="E201" s="15" t="s">
        <v>1570</v>
      </c>
      <c r="F201" s="15" t="s">
        <v>1571</v>
      </c>
      <c r="G201" s="15" t="s">
        <v>30</v>
      </c>
      <c r="H201" s="14" t="s">
        <v>30</v>
      </c>
      <c r="I201" s="14" t="s">
        <v>1552</v>
      </c>
      <c r="J201" s="14" t="s">
        <v>112</v>
      </c>
      <c r="K201" s="15" t="s">
        <v>178</v>
      </c>
      <c r="L201" s="15" t="s">
        <v>166</v>
      </c>
      <c r="M201" s="15" t="s">
        <v>1572</v>
      </c>
      <c r="N201" s="15" t="s">
        <v>1573</v>
      </c>
      <c r="O201" s="15" t="s">
        <v>1574</v>
      </c>
      <c r="P201" s="15" t="s">
        <v>1565</v>
      </c>
      <c r="Q201" s="15" t="s">
        <v>1566</v>
      </c>
      <c r="R201" s="15" t="s">
        <v>1567</v>
      </c>
      <c r="S201" s="15" t="s">
        <v>173</v>
      </c>
      <c r="T201" s="15" t="s">
        <v>1575</v>
      </c>
      <c r="U201" s="15" t="s">
        <v>174</v>
      </c>
      <c r="V201" s="15" t="s">
        <v>1576</v>
      </c>
      <c r="W201" s="14">
        <f t="shared" si="6"/>
        <v>1</v>
      </c>
      <c r="X201" s="14">
        <f t="shared" si="7"/>
        <v>0</v>
      </c>
    </row>
    <row r="202" ht="44" customHeight="1" spans="1:24">
      <c r="A202" s="12" t="s">
        <v>21</v>
      </c>
      <c r="B202" s="12">
        <v>59</v>
      </c>
      <c r="C202" s="12">
        <v>1</v>
      </c>
      <c r="D202" s="12" t="s">
        <v>1549</v>
      </c>
      <c r="E202" s="13" t="s">
        <v>1577</v>
      </c>
      <c r="F202" s="13" t="s">
        <v>1578</v>
      </c>
      <c r="G202" s="13" t="s">
        <v>30</v>
      </c>
      <c r="H202" s="12" t="s">
        <v>30</v>
      </c>
      <c r="I202" s="12" t="s">
        <v>1552</v>
      </c>
      <c r="J202" s="12" t="s">
        <v>112</v>
      </c>
      <c r="K202" s="13" t="s">
        <v>73</v>
      </c>
      <c r="L202" s="13" t="s">
        <v>1579</v>
      </c>
      <c r="M202" s="13" t="s">
        <v>1580</v>
      </c>
      <c r="N202" s="13" t="s">
        <v>1581</v>
      </c>
      <c r="O202" s="13" t="s">
        <v>1582</v>
      </c>
      <c r="P202" s="13" t="s">
        <v>1565</v>
      </c>
      <c r="Q202" s="13" t="s">
        <v>1566</v>
      </c>
      <c r="R202" s="13" t="s">
        <v>1583</v>
      </c>
      <c r="S202" s="13" t="s">
        <v>714</v>
      </c>
      <c r="T202" s="13" t="s">
        <v>1575</v>
      </c>
      <c r="U202" s="13" t="s">
        <v>964</v>
      </c>
      <c r="V202" s="13" t="s">
        <v>1569</v>
      </c>
      <c r="W202" s="12">
        <f t="shared" si="6"/>
        <v>1</v>
      </c>
      <c r="X202" s="12">
        <f t="shared" si="7"/>
        <v>1</v>
      </c>
    </row>
    <row r="203" ht="44" customHeight="1" spans="1:24">
      <c r="A203" s="12" t="s">
        <v>21</v>
      </c>
      <c r="B203" s="12">
        <v>60</v>
      </c>
      <c r="C203" s="12">
        <v>1</v>
      </c>
      <c r="D203" s="12" t="s">
        <v>1549</v>
      </c>
      <c r="E203" s="13" t="s">
        <v>1584</v>
      </c>
      <c r="F203" s="13" t="s">
        <v>1585</v>
      </c>
      <c r="G203" s="13" t="s">
        <v>30</v>
      </c>
      <c r="H203" s="12" t="s">
        <v>30</v>
      </c>
      <c r="I203" s="12" t="s">
        <v>1552</v>
      </c>
      <c r="J203" s="12" t="s">
        <v>72</v>
      </c>
      <c r="K203" s="13" t="s">
        <v>73</v>
      </c>
      <c r="L203" s="13" t="s">
        <v>1561</v>
      </c>
      <c r="M203" s="13" t="s">
        <v>1586</v>
      </c>
      <c r="N203" s="13" t="s">
        <v>1587</v>
      </c>
      <c r="O203" s="13" t="s">
        <v>1588</v>
      </c>
      <c r="P203" s="13" t="s">
        <v>1589</v>
      </c>
      <c r="Q203" s="13" t="s">
        <v>1495</v>
      </c>
      <c r="R203" s="13" t="s">
        <v>1590</v>
      </c>
      <c r="S203" s="13" t="s">
        <v>1591</v>
      </c>
      <c r="T203" s="13" t="s">
        <v>299</v>
      </c>
      <c r="U203" s="13" t="s">
        <v>1185</v>
      </c>
      <c r="V203" s="13" t="s">
        <v>1592</v>
      </c>
      <c r="W203" s="12">
        <f t="shared" si="6"/>
        <v>1</v>
      </c>
      <c r="X203" s="12">
        <f t="shared" si="7"/>
        <v>1</v>
      </c>
    </row>
    <row r="204" ht="44" customHeight="1" spans="1:24">
      <c r="A204" s="12" t="s">
        <v>21</v>
      </c>
      <c r="B204" s="12">
        <v>61</v>
      </c>
      <c r="C204" s="12">
        <v>1</v>
      </c>
      <c r="D204" s="12" t="s">
        <v>1549</v>
      </c>
      <c r="E204" s="13" t="s">
        <v>1593</v>
      </c>
      <c r="F204" s="13" t="s">
        <v>1594</v>
      </c>
      <c r="G204" s="13" t="s">
        <v>30</v>
      </c>
      <c r="H204" s="12" t="s">
        <v>30</v>
      </c>
      <c r="I204" s="12" t="s">
        <v>1552</v>
      </c>
      <c r="J204" s="12" t="s">
        <v>112</v>
      </c>
      <c r="K204" s="13" t="s">
        <v>73</v>
      </c>
      <c r="L204" s="13" t="s">
        <v>1595</v>
      </c>
      <c r="M204" s="13" t="s">
        <v>1596</v>
      </c>
      <c r="N204" s="13" t="s">
        <v>1597</v>
      </c>
      <c r="O204" s="13" t="s">
        <v>1598</v>
      </c>
      <c r="P204" s="13" t="s">
        <v>1599</v>
      </c>
      <c r="Q204" s="13" t="s">
        <v>1600</v>
      </c>
      <c r="R204" s="13" t="s">
        <v>1601</v>
      </c>
      <c r="S204" s="13" t="s">
        <v>1602</v>
      </c>
      <c r="T204" s="13" t="s">
        <v>299</v>
      </c>
      <c r="U204" s="13" t="s">
        <v>300</v>
      </c>
      <c r="V204" s="13" t="s">
        <v>301</v>
      </c>
      <c r="W204" s="12">
        <f t="shared" si="6"/>
        <v>1</v>
      </c>
      <c r="X204" s="12">
        <f t="shared" si="7"/>
        <v>1</v>
      </c>
    </row>
    <row r="205" ht="44" customHeight="1" spans="1:24">
      <c r="A205" s="12" t="s">
        <v>21</v>
      </c>
      <c r="B205" s="12">
        <v>62</v>
      </c>
      <c r="C205" s="12">
        <v>1</v>
      </c>
      <c r="D205" s="12" t="s">
        <v>1549</v>
      </c>
      <c r="E205" s="13" t="s">
        <v>1603</v>
      </c>
      <c r="F205" s="13" t="s">
        <v>1604</v>
      </c>
      <c r="G205" s="13" t="s">
        <v>30</v>
      </c>
      <c r="H205" s="12" t="s">
        <v>30</v>
      </c>
      <c r="I205" s="12" t="s">
        <v>1552</v>
      </c>
      <c r="J205" s="12" t="s">
        <v>112</v>
      </c>
      <c r="K205" s="13" t="s">
        <v>73</v>
      </c>
      <c r="L205" s="13" t="s">
        <v>911</v>
      </c>
      <c r="M205" s="13" t="s">
        <v>1605</v>
      </c>
      <c r="N205" s="13" t="s">
        <v>1606</v>
      </c>
      <c r="O205" s="13" t="s">
        <v>1607</v>
      </c>
      <c r="P205" s="13" t="s">
        <v>1608</v>
      </c>
      <c r="Q205" s="13" t="s">
        <v>1495</v>
      </c>
      <c r="R205" s="13" t="s">
        <v>1609</v>
      </c>
      <c r="S205" s="13" t="s">
        <v>1513</v>
      </c>
      <c r="T205" s="13" t="s">
        <v>299</v>
      </c>
      <c r="U205" s="13" t="s">
        <v>300</v>
      </c>
      <c r="V205" s="13" t="s">
        <v>301</v>
      </c>
      <c r="W205" s="12">
        <f t="shared" si="6"/>
        <v>1</v>
      </c>
      <c r="X205" s="12">
        <f t="shared" si="7"/>
        <v>1</v>
      </c>
    </row>
    <row r="206" ht="44" customHeight="1" spans="1:24">
      <c r="A206" s="12" t="s">
        <v>21</v>
      </c>
      <c r="B206" s="12">
        <v>63</v>
      </c>
      <c r="C206" s="12">
        <v>1</v>
      </c>
      <c r="D206" s="12" t="s">
        <v>1549</v>
      </c>
      <c r="E206" s="13" t="s">
        <v>1610</v>
      </c>
      <c r="F206" s="13" t="s">
        <v>1611</v>
      </c>
      <c r="G206" s="13" t="s">
        <v>30</v>
      </c>
      <c r="H206" s="12" t="s">
        <v>30</v>
      </c>
      <c r="I206" s="12" t="s">
        <v>1552</v>
      </c>
      <c r="J206" s="12" t="s">
        <v>112</v>
      </c>
      <c r="K206" s="13" t="s">
        <v>1612</v>
      </c>
      <c r="L206" s="13" t="s">
        <v>1351</v>
      </c>
      <c r="M206" s="13" t="s">
        <v>1613</v>
      </c>
      <c r="N206" s="13" t="s">
        <v>1614</v>
      </c>
      <c r="O206" s="13" t="s">
        <v>1615</v>
      </c>
      <c r="P206" s="13" t="s">
        <v>1616</v>
      </c>
      <c r="Q206" s="13" t="s">
        <v>1617</v>
      </c>
      <c r="R206" s="13" t="s">
        <v>1618</v>
      </c>
      <c r="S206" s="13" t="s">
        <v>1619</v>
      </c>
      <c r="T206" s="13" t="s">
        <v>227</v>
      </c>
      <c r="U206" s="13" t="s">
        <v>228</v>
      </c>
      <c r="V206" s="13" t="s">
        <v>229</v>
      </c>
      <c r="W206" s="12">
        <f t="shared" si="6"/>
        <v>1</v>
      </c>
      <c r="X206" s="12">
        <f t="shared" si="7"/>
        <v>1</v>
      </c>
    </row>
    <row r="207" ht="44" customHeight="1" spans="1:24">
      <c r="A207" s="12" t="s">
        <v>21</v>
      </c>
      <c r="B207" s="12">
        <v>64</v>
      </c>
      <c r="C207" s="12">
        <v>1</v>
      </c>
      <c r="D207" s="12" t="s">
        <v>1549</v>
      </c>
      <c r="E207" s="13" t="s">
        <v>1620</v>
      </c>
      <c r="F207" s="13" t="s">
        <v>1621</v>
      </c>
      <c r="G207" s="13" t="s">
        <v>30</v>
      </c>
      <c r="H207" s="12" t="s">
        <v>30</v>
      </c>
      <c r="I207" s="12" t="s">
        <v>1552</v>
      </c>
      <c r="J207" s="12" t="s">
        <v>112</v>
      </c>
      <c r="K207" s="13" t="s">
        <v>1622</v>
      </c>
      <c r="L207" s="13" t="s">
        <v>1623</v>
      </c>
      <c r="M207" s="13" t="s">
        <v>1624</v>
      </c>
      <c r="N207" s="13" t="s">
        <v>1625</v>
      </c>
      <c r="O207" s="13" t="s">
        <v>1626</v>
      </c>
      <c r="P207" s="13" t="s">
        <v>1627</v>
      </c>
      <c r="Q207" s="13" t="s">
        <v>1628</v>
      </c>
      <c r="R207" s="13" t="s">
        <v>1629</v>
      </c>
      <c r="S207" s="13" t="s">
        <v>1630</v>
      </c>
      <c r="T207" s="13" t="s">
        <v>227</v>
      </c>
      <c r="U207" s="13" t="s">
        <v>228</v>
      </c>
      <c r="V207" s="13" t="s">
        <v>229</v>
      </c>
      <c r="W207" s="12">
        <f t="shared" si="6"/>
        <v>1</v>
      </c>
      <c r="X207" s="12">
        <f t="shared" si="7"/>
        <v>1</v>
      </c>
    </row>
    <row r="208" ht="44" customHeight="1" spans="1:24">
      <c r="A208" s="12" t="s">
        <v>21</v>
      </c>
      <c r="B208" s="12">
        <v>65</v>
      </c>
      <c r="C208" s="12">
        <v>1</v>
      </c>
      <c r="D208" s="12" t="s">
        <v>1549</v>
      </c>
      <c r="E208" s="13" t="s">
        <v>1631</v>
      </c>
      <c r="F208" s="13" t="s">
        <v>1632</v>
      </c>
      <c r="G208" s="13" t="s">
        <v>30</v>
      </c>
      <c r="H208" s="12" t="s">
        <v>30</v>
      </c>
      <c r="I208" s="12" t="s">
        <v>1552</v>
      </c>
      <c r="J208" s="12" t="s">
        <v>112</v>
      </c>
      <c r="K208" s="13" t="s">
        <v>1633</v>
      </c>
      <c r="L208" s="13" t="s">
        <v>604</v>
      </c>
      <c r="M208" s="13" t="s">
        <v>1634</v>
      </c>
      <c r="N208" s="13" t="s">
        <v>1635</v>
      </c>
      <c r="O208" s="13" t="s">
        <v>1636</v>
      </c>
      <c r="P208" s="13" t="s">
        <v>1637</v>
      </c>
      <c r="Q208" s="13" t="s">
        <v>1638</v>
      </c>
      <c r="R208" s="13" t="s">
        <v>1639</v>
      </c>
      <c r="S208" s="13" t="s">
        <v>1538</v>
      </c>
      <c r="T208" s="13" t="s">
        <v>227</v>
      </c>
      <c r="U208" s="13" t="s">
        <v>228</v>
      </c>
      <c r="V208" s="13" t="s">
        <v>229</v>
      </c>
      <c r="W208" s="12">
        <f t="shared" si="6"/>
        <v>1</v>
      </c>
      <c r="X208" s="12">
        <f t="shared" si="7"/>
        <v>1</v>
      </c>
    </row>
    <row r="209" ht="44" customHeight="1" spans="1:24">
      <c r="A209" s="12" t="s">
        <v>24</v>
      </c>
      <c r="B209" s="12">
        <v>1</v>
      </c>
      <c r="C209" s="12">
        <v>1</v>
      </c>
      <c r="D209" s="12" t="s">
        <v>1640</v>
      </c>
      <c r="E209" s="13" t="s">
        <v>1641</v>
      </c>
      <c r="F209" s="13" t="s">
        <v>1642</v>
      </c>
      <c r="G209" s="13" t="s">
        <v>30</v>
      </c>
      <c r="H209" s="12" t="s">
        <v>30</v>
      </c>
      <c r="I209" s="12" t="s">
        <v>1643</v>
      </c>
      <c r="J209" s="12" t="s">
        <v>72</v>
      </c>
      <c r="K209" s="13" t="s">
        <v>73</v>
      </c>
      <c r="L209" s="13" t="s">
        <v>1644</v>
      </c>
      <c r="M209" s="13" t="s">
        <v>1645</v>
      </c>
      <c r="N209" s="13" t="s">
        <v>1646</v>
      </c>
      <c r="O209" s="13" t="s">
        <v>1647</v>
      </c>
      <c r="P209" s="13" t="s">
        <v>1648</v>
      </c>
      <c r="Q209" s="13" t="s">
        <v>1649</v>
      </c>
      <c r="R209" s="13" t="s">
        <v>1650</v>
      </c>
      <c r="S209" s="13" t="s">
        <v>81</v>
      </c>
      <c r="T209" s="13" t="s">
        <v>82</v>
      </c>
      <c r="U209" s="13" t="s">
        <v>83</v>
      </c>
      <c r="V209" s="13" t="s">
        <v>1651</v>
      </c>
      <c r="W209" s="12">
        <f t="shared" si="6"/>
        <v>1</v>
      </c>
      <c r="X209" s="12">
        <f t="shared" si="7"/>
        <v>1</v>
      </c>
    </row>
    <row r="210" ht="44" customHeight="1" spans="1:24">
      <c r="A210" s="12" t="s">
        <v>24</v>
      </c>
      <c r="B210" s="12">
        <v>2</v>
      </c>
      <c r="C210" s="12">
        <v>1</v>
      </c>
      <c r="D210" s="12" t="s">
        <v>1640</v>
      </c>
      <c r="E210" s="13" t="s">
        <v>1652</v>
      </c>
      <c r="F210" s="13" t="s">
        <v>1653</v>
      </c>
      <c r="G210" s="13" t="s">
        <v>30</v>
      </c>
      <c r="H210" s="12" t="s">
        <v>30</v>
      </c>
      <c r="I210" s="12" t="s">
        <v>1643</v>
      </c>
      <c r="J210" s="12" t="s">
        <v>72</v>
      </c>
      <c r="K210" s="13" t="s">
        <v>73</v>
      </c>
      <c r="L210" s="13" t="s">
        <v>1654</v>
      </c>
      <c r="M210" s="13" t="s">
        <v>1655</v>
      </c>
      <c r="N210" s="13" t="s">
        <v>1656</v>
      </c>
      <c r="O210" s="13" t="s">
        <v>1657</v>
      </c>
      <c r="P210" s="13" t="s">
        <v>1658</v>
      </c>
      <c r="Q210" s="13" t="s">
        <v>1649</v>
      </c>
      <c r="R210" s="13" t="s">
        <v>1650</v>
      </c>
      <c r="S210" s="13" t="s">
        <v>81</v>
      </c>
      <c r="T210" s="13" t="s">
        <v>82</v>
      </c>
      <c r="U210" s="13" t="s">
        <v>83</v>
      </c>
      <c r="V210" s="13" t="s">
        <v>1651</v>
      </c>
      <c r="W210" s="12">
        <f t="shared" si="6"/>
        <v>1</v>
      </c>
      <c r="X210" s="12">
        <f t="shared" si="7"/>
        <v>1</v>
      </c>
    </row>
    <row r="211" ht="44" customHeight="1" spans="1:24">
      <c r="A211" s="12" t="s">
        <v>24</v>
      </c>
      <c r="B211" s="12">
        <v>3</v>
      </c>
      <c r="C211" s="12">
        <v>1</v>
      </c>
      <c r="D211" s="12" t="s">
        <v>1640</v>
      </c>
      <c r="E211" s="13" t="s">
        <v>1659</v>
      </c>
      <c r="F211" s="13" t="s">
        <v>1660</v>
      </c>
      <c r="G211" s="13" t="s">
        <v>30</v>
      </c>
      <c r="H211" s="12" t="s">
        <v>30</v>
      </c>
      <c r="I211" s="12" t="s">
        <v>1643</v>
      </c>
      <c r="J211" s="12" t="s">
        <v>72</v>
      </c>
      <c r="K211" s="13" t="s">
        <v>73</v>
      </c>
      <c r="L211" s="13" t="s">
        <v>1661</v>
      </c>
      <c r="M211" s="13" t="s">
        <v>1662</v>
      </c>
      <c r="N211" s="13" t="s">
        <v>1663</v>
      </c>
      <c r="O211" s="13" t="s">
        <v>1664</v>
      </c>
      <c r="P211" s="13" t="s">
        <v>1665</v>
      </c>
      <c r="Q211" s="13" t="s">
        <v>1666</v>
      </c>
      <c r="R211" s="13" t="s">
        <v>1650</v>
      </c>
      <c r="S211" s="13" t="s">
        <v>81</v>
      </c>
      <c r="T211" s="13" t="s">
        <v>82</v>
      </c>
      <c r="U211" s="13" t="s">
        <v>83</v>
      </c>
      <c r="V211" s="13" t="s">
        <v>1651</v>
      </c>
      <c r="W211" s="12">
        <f t="shared" si="6"/>
        <v>1</v>
      </c>
      <c r="X211" s="12">
        <f t="shared" si="7"/>
        <v>1</v>
      </c>
    </row>
    <row r="212" ht="44" customHeight="1" spans="1:24">
      <c r="A212" s="14" t="s">
        <v>24</v>
      </c>
      <c r="B212" s="14">
        <v>4</v>
      </c>
      <c r="C212" s="14">
        <v>1</v>
      </c>
      <c r="D212" s="14" t="s">
        <v>1640</v>
      </c>
      <c r="E212" s="15" t="s">
        <v>1667</v>
      </c>
      <c r="F212" s="15" t="s">
        <v>1668</v>
      </c>
      <c r="G212" s="15" t="s">
        <v>30</v>
      </c>
      <c r="H212" s="14" t="s">
        <v>30</v>
      </c>
      <c r="I212" s="14" t="s">
        <v>1643</v>
      </c>
      <c r="J212" s="14" t="s">
        <v>112</v>
      </c>
      <c r="K212" s="15" t="s">
        <v>1669</v>
      </c>
      <c r="L212" s="15" t="s">
        <v>166</v>
      </c>
      <c r="M212" s="15" t="s">
        <v>1670</v>
      </c>
      <c r="N212" s="15" t="s">
        <v>1671</v>
      </c>
      <c r="O212" s="15" t="s">
        <v>1672</v>
      </c>
      <c r="P212" s="15" t="s">
        <v>1673</v>
      </c>
      <c r="Q212" s="15" t="s">
        <v>1674</v>
      </c>
      <c r="R212" s="15" t="s">
        <v>1650</v>
      </c>
      <c r="S212" s="15" t="s">
        <v>173</v>
      </c>
      <c r="T212" s="15" t="s">
        <v>82</v>
      </c>
      <c r="U212" s="15" t="s">
        <v>174</v>
      </c>
      <c r="V212" s="15" t="s">
        <v>186</v>
      </c>
      <c r="W212" s="14">
        <f t="shared" si="6"/>
        <v>1</v>
      </c>
      <c r="X212" s="14">
        <f t="shared" si="7"/>
        <v>0</v>
      </c>
    </row>
    <row r="213" ht="44" customHeight="1" spans="1:24">
      <c r="A213" s="12" t="s">
        <v>24</v>
      </c>
      <c r="B213" s="12">
        <v>5</v>
      </c>
      <c r="C213" s="12">
        <v>1</v>
      </c>
      <c r="D213" s="12" t="s">
        <v>1640</v>
      </c>
      <c r="E213" s="13" t="s">
        <v>1675</v>
      </c>
      <c r="F213" s="13" t="s">
        <v>1676</v>
      </c>
      <c r="G213" s="13" t="s">
        <v>30</v>
      </c>
      <c r="H213" s="12" t="s">
        <v>30</v>
      </c>
      <c r="I213" s="12" t="s">
        <v>1643</v>
      </c>
      <c r="J213" s="12" t="s">
        <v>112</v>
      </c>
      <c r="K213" s="13" t="s">
        <v>73</v>
      </c>
      <c r="L213" s="13" t="s">
        <v>1677</v>
      </c>
      <c r="M213" s="13" t="s">
        <v>1678</v>
      </c>
      <c r="N213" s="13" t="s">
        <v>1679</v>
      </c>
      <c r="O213" s="13" t="s">
        <v>1680</v>
      </c>
      <c r="P213" s="13" t="s">
        <v>1658</v>
      </c>
      <c r="Q213" s="13" t="s">
        <v>1681</v>
      </c>
      <c r="R213" s="13" t="s">
        <v>1650</v>
      </c>
      <c r="S213" s="13" t="s">
        <v>194</v>
      </c>
      <c r="T213" s="13" t="s">
        <v>82</v>
      </c>
      <c r="U213" s="13" t="s">
        <v>83</v>
      </c>
      <c r="V213" s="13" t="s">
        <v>1682</v>
      </c>
      <c r="W213" s="12">
        <f t="shared" si="6"/>
        <v>1</v>
      </c>
      <c r="X213" s="12">
        <f t="shared" si="7"/>
        <v>1</v>
      </c>
    </row>
    <row r="214" ht="44" customHeight="1" spans="1:24">
      <c r="A214" s="14" t="s">
        <v>24</v>
      </c>
      <c r="B214" s="14">
        <v>6</v>
      </c>
      <c r="C214" s="14">
        <v>1</v>
      </c>
      <c r="D214" s="14" t="s">
        <v>1640</v>
      </c>
      <c r="E214" s="15" t="s">
        <v>1683</v>
      </c>
      <c r="F214" s="15" t="s">
        <v>1684</v>
      </c>
      <c r="G214" s="15" t="s">
        <v>30</v>
      </c>
      <c r="H214" s="14" t="s">
        <v>30</v>
      </c>
      <c r="I214" s="14" t="s">
        <v>1643</v>
      </c>
      <c r="J214" s="14" t="s">
        <v>112</v>
      </c>
      <c r="K214" s="15" t="s">
        <v>1685</v>
      </c>
      <c r="L214" s="15" t="s">
        <v>166</v>
      </c>
      <c r="M214" s="15" t="s">
        <v>1686</v>
      </c>
      <c r="N214" s="15" t="s">
        <v>1687</v>
      </c>
      <c r="O214" s="15" t="s">
        <v>1688</v>
      </c>
      <c r="P214" s="15" t="s">
        <v>1689</v>
      </c>
      <c r="Q214" s="15" t="s">
        <v>1674</v>
      </c>
      <c r="R214" s="15" t="s">
        <v>1650</v>
      </c>
      <c r="S214" s="15" t="s">
        <v>209</v>
      </c>
      <c r="T214" s="15" t="s">
        <v>82</v>
      </c>
      <c r="U214" s="15" t="s">
        <v>174</v>
      </c>
      <c r="V214" s="15" t="s">
        <v>186</v>
      </c>
      <c r="W214" s="14">
        <f t="shared" si="6"/>
        <v>1</v>
      </c>
      <c r="X214" s="14">
        <f t="shared" si="7"/>
        <v>0</v>
      </c>
    </row>
    <row r="215" ht="44" customHeight="1" spans="1:24">
      <c r="A215" s="12" t="s">
        <v>24</v>
      </c>
      <c r="B215" s="12">
        <v>7</v>
      </c>
      <c r="C215" s="12">
        <v>1</v>
      </c>
      <c r="D215" s="12" t="s">
        <v>1640</v>
      </c>
      <c r="E215" s="13" t="s">
        <v>1690</v>
      </c>
      <c r="F215" s="13" t="s">
        <v>1691</v>
      </c>
      <c r="G215" s="13" t="s">
        <v>30</v>
      </c>
      <c r="H215" s="12" t="s">
        <v>30</v>
      </c>
      <c r="I215" s="12" t="s">
        <v>1643</v>
      </c>
      <c r="J215" s="12" t="s">
        <v>112</v>
      </c>
      <c r="K215" s="13" t="s">
        <v>73</v>
      </c>
      <c r="L215" s="13" t="s">
        <v>1692</v>
      </c>
      <c r="M215" s="13" t="s">
        <v>1693</v>
      </c>
      <c r="N215" s="13" t="s">
        <v>1694</v>
      </c>
      <c r="O215" s="13" t="s">
        <v>1695</v>
      </c>
      <c r="P215" s="13" t="s">
        <v>1658</v>
      </c>
      <c r="Q215" s="13" t="s">
        <v>1696</v>
      </c>
      <c r="R215" s="13" t="s">
        <v>1650</v>
      </c>
      <c r="S215" s="13" t="s">
        <v>1697</v>
      </c>
      <c r="T215" s="13" t="s">
        <v>82</v>
      </c>
      <c r="U215" s="13" t="s">
        <v>83</v>
      </c>
      <c r="V215" s="13" t="s">
        <v>1698</v>
      </c>
      <c r="W215" s="12">
        <f t="shared" si="6"/>
        <v>1</v>
      </c>
      <c r="X215" s="12">
        <f t="shared" si="7"/>
        <v>1</v>
      </c>
    </row>
    <row r="216" ht="44" customHeight="1" spans="1:24">
      <c r="A216" s="12" t="s">
        <v>24</v>
      </c>
      <c r="B216" s="12">
        <v>8</v>
      </c>
      <c r="C216" s="12">
        <v>1</v>
      </c>
      <c r="D216" s="12" t="s">
        <v>1640</v>
      </c>
      <c r="E216" s="13" t="s">
        <v>1699</v>
      </c>
      <c r="F216" s="13" t="s">
        <v>1700</v>
      </c>
      <c r="G216" s="13" t="s">
        <v>30</v>
      </c>
      <c r="H216" s="12" t="s">
        <v>30</v>
      </c>
      <c r="I216" s="12" t="s">
        <v>1643</v>
      </c>
      <c r="J216" s="12" t="s">
        <v>112</v>
      </c>
      <c r="K216" s="13" t="s">
        <v>73</v>
      </c>
      <c r="L216" s="13" t="s">
        <v>1701</v>
      </c>
      <c r="M216" s="13" t="s">
        <v>1702</v>
      </c>
      <c r="N216" s="13" t="s">
        <v>1703</v>
      </c>
      <c r="O216" s="13" t="s">
        <v>1704</v>
      </c>
      <c r="P216" s="13" t="s">
        <v>1705</v>
      </c>
      <c r="Q216" s="13" t="s">
        <v>1495</v>
      </c>
      <c r="R216" s="13" t="s">
        <v>1706</v>
      </c>
      <c r="S216" s="13" t="s">
        <v>464</v>
      </c>
      <c r="T216" s="13" t="s">
        <v>299</v>
      </c>
      <c r="U216" s="13" t="s">
        <v>300</v>
      </c>
      <c r="V216" s="13" t="s">
        <v>301</v>
      </c>
      <c r="W216" s="12">
        <f t="shared" si="6"/>
        <v>1</v>
      </c>
      <c r="X216" s="12">
        <f t="shared" si="7"/>
        <v>1</v>
      </c>
    </row>
    <row r="217" ht="44" customHeight="1" spans="1:24">
      <c r="A217" s="12" t="s">
        <v>24</v>
      </c>
      <c r="B217" s="12">
        <v>9</v>
      </c>
      <c r="C217" s="12">
        <v>1</v>
      </c>
      <c r="D217" s="12" t="s">
        <v>1640</v>
      </c>
      <c r="E217" s="13" t="s">
        <v>1707</v>
      </c>
      <c r="F217" s="13" t="s">
        <v>1708</v>
      </c>
      <c r="G217" s="13" t="s">
        <v>30</v>
      </c>
      <c r="H217" s="12" t="s">
        <v>30</v>
      </c>
      <c r="I217" s="12" t="s">
        <v>1643</v>
      </c>
      <c r="J217" s="12" t="s">
        <v>112</v>
      </c>
      <c r="K217" s="13" t="s">
        <v>73</v>
      </c>
      <c r="L217" s="13" t="s">
        <v>478</v>
      </c>
      <c r="M217" s="13" t="s">
        <v>1709</v>
      </c>
      <c r="N217" s="13" t="s">
        <v>1710</v>
      </c>
      <c r="O217" s="13" t="s">
        <v>1704</v>
      </c>
      <c r="P217" s="13" t="s">
        <v>1711</v>
      </c>
      <c r="Q217" s="13" t="s">
        <v>1495</v>
      </c>
      <c r="R217" s="13" t="s">
        <v>1706</v>
      </c>
      <c r="S217" s="13" t="s">
        <v>485</v>
      </c>
      <c r="T217" s="13" t="s">
        <v>299</v>
      </c>
      <c r="U217" s="13" t="s">
        <v>300</v>
      </c>
      <c r="V217" s="13" t="s">
        <v>301</v>
      </c>
      <c r="W217" s="12">
        <f t="shared" si="6"/>
        <v>1</v>
      </c>
      <c r="X217" s="12">
        <f t="shared" si="7"/>
        <v>1</v>
      </c>
    </row>
    <row r="218" ht="44" customHeight="1" spans="1:24">
      <c r="A218" s="12" t="s">
        <v>24</v>
      </c>
      <c r="B218" s="12">
        <v>10</v>
      </c>
      <c r="C218" s="12">
        <v>1</v>
      </c>
      <c r="D218" s="12" t="s">
        <v>1640</v>
      </c>
      <c r="E218" s="13" t="s">
        <v>1712</v>
      </c>
      <c r="F218" s="13" t="s">
        <v>1713</v>
      </c>
      <c r="G218" s="13" t="s">
        <v>30</v>
      </c>
      <c r="H218" s="12" t="s">
        <v>30</v>
      </c>
      <c r="I218" s="12" t="s">
        <v>1643</v>
      </c>
      <c r="J218" s="12" t="s">
        <v>112</v>
      </c>
      <c r="K218" s="13" t="s">
        <v>73</v>
      </c>
      <c r="L218" s="13" t="s">
        <v>1714</v>
      </c>
      <c r="M218" s="13" t="s">
        <v>1715</v>
      </c>
      <c r="N218" s="13" t="s">
        <v>1716</v>
      </c>
      <c r="O218" s="13" t="s">
        <v>1704</v>
      </c>
      <c r="P218" s="13" t="s">
        <v>1717</v>
      </c>
      <c r="Q218" s="13" t="s">
        <v>1495</v>
      </c>
      <c r="R218" s="13" t="s">
        <v>1706</v>
      </c>
      <c r="S218" s="13" t="s">
        <v>500</v>
      </c>
      <c r="T218" s="13" t="s">
        <v>299</v>
      </c>
      <c r="U218" s="13" t="s">
        <v>300</v>
      </c>
      <c r="V218" s="13" t="s">
        <v>301</v>
      </c>
      <c r="W218" s="12">
        <f t="shared" si="6"/>
        <v>1</v>
      </c>
      <c r="X218" s="12">
        <f t="shared" si="7"/>
        <v>1</v>
      </c>
    </row>
    <row r="219" ht="44" customHeight="1" spans="1:24">
      <c r="A219" s="12" t="s">
        <v>24</v>
      </c>
      <c r="B219" s="12">
        <v>11</v>
      </c>
      <c r="C219" s="12">
        <v>1</v>
      </c>
      <c r="D219" s="12" t="s">
        <v>1640</v>
      </c>
      <c r="E219" s="13" t="s">
        <v>1718</v>
      </c>
      <c r="F219" s="13" t="s">
        <v>1719</v>
      </c>
      <c r="G219" s="13" t="s">
        <v>30</v>
      </c>
      <c r="H219" s="12" t="s">
        <v>30</v>
      </c>
      <c r="I219" s="12" t="s">
        <v>1643</v>
      </c>
      <c r="J219" s="12" t="s">
        <v>112</v>
      </c>
      <c r="K219" s="13" t="s">
        <v>73</v>
      </c>
      <c r="L219" s="13" t="s">
        <v>638</v>
      </c>
      <c r="M219" s="13" t="s">
        <v>1720</v>
      </c>
      <c r="N219" s="13" t="s">
        <v>1721</v>
      </c>
      <c r="O219" s="13" t="s">
        <v>1704</v>
      </c>
      <c r="P219" s="13" t="s">
        <v>1722</v>
      </c>
      <c r="Q219" s="13" t="s">
        <v>1495</v>
      </c>
      <c r="R219" s="13" t="s">
        <v>1723</v>
      </c>
      <c r="S219" s="13" t="s">
        <v>633</v>
      </c>
      <c r="T219" s="13" t="s">
        <v>299</v>
      </c>
      <c r="U219" s="13" t="s">
        <v>300</v>
      </c>
      <c r="V219" s="13" t="s">
        <v>301</v>
      </c>
      <c r="W219" s="12">
        <f t="shared" si="6"/>
        <v>1</v>
      </c>
      <c r="X219" s="12">
        <f t="shared" si="7"/>
        <v>1</v>
      </c>
    </row>
    <row r="220" ht="44" customHeight="1" spans="1:24">
      <c r="A220" s="12" t="s">
        <v>24</v>
      </c>
      <c r="B220" s="12">
        <v>12</v>
      </c>
      <c r="C220" s="12">
        <v>1</v>
      </c>
      <c r="D220" s="12" t="s">
        <v>1640</v>
      </c>
      <c r="E220" s="13" t="s">
        <v>1724</v>
      </c>
      <c r="F220" s="13" t="s">
        <v>1725</v>
      </c>
      <c r="G220" s="13" t="s">
        <v>30</v>
      </c>
      <c r="H220" s="12" t="s">
        <v>30</v>
      </c>
      <c r="I220" s="12" t="s">
        <v>1643</v>
      </c>
      <c r="J220" s="12" t="s">
        <v>112</v>
      </c>
      <c r="K220" s="13" t="s">
        <v>73</v>
      </c>
      <c r="L220" s="13" t="s">
        <v>1726</v>
      </c>
      <c r="M220" s="13" t="s">
        <v>1727</v>
      </c>
      <c r="N220" s="13" t="s">
        <v>1728</v>
      </c>
      <c r="O220" s="13" t="s">
        <v>1704</v>
      </c>
      <c r="P220" s="13" t="s">
        <v>1729</v>
      </c>
      <c r="Q220" s="13" t="s">
        <v>1495</v>
      </c>
      <c r="R220" s="13" t="s">
        <v>1706</v>
      </c>
      <c r="S220" s="13" t="s">
        <v>1497</v>
      </c>
      <c r="T220" s="13" t="s">
        <v>299</v>
      </c>
      <c r="U220" s="13" t="s">
        <v>300</v>
      </c>
      <c r="V220" s="13" t="s">
        <v>301</v>
      </c>
      <c r="W220" s="12">
        <f t="shared" si="6"/>
        <v>1</v>
      </c>
      <c r="X220" s="12">
        <f t="shared" si="7"/>
        <v>1</v>
      </c>
    </row>
    <row r="221" ht="44" customHeight="1" spans="1:24">
      <c r="A221" s="12" t="s">
        <v>24</v>
      </c>
      <c r="B221" s="12">
        <v>13</v>
      </c>
      <c r="C221" s="12">
        <v>1</v>
      </c>
      <c r="D221" s="12" t="s">
        <v>1640</v>
      </c>
      <c r="E221" s="13" t="s">
        <v>1730</v>
      </c>
      <c r="F221" s="13" t="s">
        <v>1731</v>
      </c>
      <c r="G221" s="13" t="s">
        <v>30</v>
      </c>
      <c r="H221" s="12" t="s">
        <v>30</v>
      </c>
      <c r="I221" s="12" t="s">
        <v>1643</v>
      </c>
      <c r="J221" s="12" t="s">
        <v>112</v>
      </c>
      <c r="K221" s="13" t="s">
        <v>73</v>
      </c>
      <c r="L221" s="13" t="s">
        <v>505</v>
      </c>
      <c r="M221" s="13" t="s">
        <v>1732</v>
      </c>
      <c r="N221" s="13" t="s">
        <v>1733</v>
      </c>
      <c r="O221" s="13" t="s">
        <v>1704</v>
      </c>
      <c r="P221" s="13" t="s">
        <v>1734</v>
      </c>
      <c r="Q221" s="13" t="s">
        <v>1495</v>
      </c>
      <c r="R221" s="13" t="s">
        <v>1706</v>
      </c>
      <c r="S221" s="13" t="s">
        <v>270</v>
      </c>
      <c r="T221" s="13" t="s">
        <v>299</v>
      </c>
      <c r="U221" s="13" t="s">
        <v>300</v>
      </c>
      <c r="V221" s="13" t="s">
        <v>301</v>
      </c>
      <c r="W221" s="12">
        <f t="shared" si="6"/>
        <v>1</v>
      </c>
      <c r="X221" s="12">
        <f t="shared" si="7"/>
        <v>1</v>
      </c>
    </row>
    <row r="222" ht="44" customHeight="1" spans="1:24">
      <c r="A222" s="12" t="s">
        <v>24</v>
      </c>
      <c r="B222" s="12">
        <v>14</v>
      </c>
      <c r="C222" s="12">
        <v>1</v>
      </c>
      <c r="D222" s="12" t="s">
        <v>1640</v>
      </c>
      <c r="E222" s="13" t="s">
        <v>1735</v>
      </c>
      <c r="F222" s="13" t="s">
        <v>1736</v>
      </c>
      <c r="G222" s="13" t="s">
        <v>30</v>
      </c>
      <c r="H222" s="12" t="s">
        <v>30</v>
      </c>
      <c r="I222" s="12" t="s">
        <v>1643</v>
      </c>
      <c r="J222" s="12" t="s">
        <v>112</v>
      </c>
      <c r="K222" s="13" t="s">
        <v>73</v>
      </c>
      <c r="L222" s="13" t="s">
        <v>1006</v>
      </c>
      <c r="M222" s="13" t="s">
        <v>1737</v>
      </c>
      <c r="N222" s="13" t="s">
        <v>1738</v>
      </c>
      <c r="O222" s="13" t="s">
        <v>1704</v>
      </c>
      <c r="P222" s="13" t="s">
        <v>1739</v>
      </c>
      <c r="Q222" s="13" t="s">
        <v>1495</v>
      </c>
      <c r="R222" s="13" t="s">
        <v>1706</v>
      </c>
      <c r="S222" s="13" t="s">
        <v>311</v>
      </c>
      <c r="T222" s="13" t="s">
        <v>299</v>
      </c>
      <c r="U222" s="13" t="s">
        <v>300</v>
      </c>
      <c r="V222" s="13" t="s">
        <v>301</v>
      </c>
      <c r="W222" s="12">
        <f t="shared" si="6"/>
        <v>1</v>
      </c>
      <c r="X222" s="12">
        <f t="shared" si="7"/>
        <v>1</v>
      </c>
    </row>
    <row r="223" ht="44" customHeight="1" spans="1:24">
      <c r="A223" s="12" t="s">
        <v>24</v>
      </c>
      <c r="B223" s="12">
        <v>15</v>
      </c>
      <c r="C223" s="12">
        <v>1</v>
      </c>
      <c r="D223" s="12" t="s">
        <v>1640</v>
      </c>
      <c r="E223" s="13" t="s">
        <v>1740</v>
      </c>
      <c r="F223" s="13" t="s">
        <v>1741</v>
      </c>
      <c r="G223" s="13" t="s">
        <v>30</v>
      </c>
      <c r="H223" s="12" t="s">
        <v>30</v>
      </c>
      <c r="I223" s="12" t="s">
        <v>1643</v>
      </c>
      <c r="J223" s="12" t="s">
        <v>112</v>
      </c>
      <c r="K223" s="13" t="s">
        <v>218</v>
      </c>
      <c r="L223" s="13" t="s">
        <v>219</v>
      </c>
      <c r="M223" s="13" t="s">
        <v>1742</v>
      </c>
      <c r="N223" s="13" t="s">
        <v>1743</v>
      </c>
      <c r="O223" s="13" t="s">
        <v>1744</v>
      </c>
      <c r="P223" s="13" t="s">
        <v>1745</v>
      </c>
      <c r="Q223" s="13" t="s">
        <v>1746</v>
      </c>
      <c r="R223" s="13" t="s">
        <v>1747</v>
      </c>
      <c r="S223" s="13" t="s">
        <v>1748</v>
      </c>
      <c r="T223" s="13" t="s">
        <v>227</v>
      </c>
      <c r="U223" s="13" t="s">
        <v>228</v>
      </c>
      <c r="V223" s="13" t="s">
        <v>229</v>
      </c>
      <c r="W223" s="12">
        <f t="shared" si="6"/>
        <v>1</v>
      </c>
      <c r="X223" s="12">
        <f t="shared" si="7"/>
        <v>1</v>
      </c>
    </row>
    <row r="224" ht="44" customHeight="1" spans="1:24">
      <c r="A224" s="12" t="s">
        <v>24</v>
      </c>
      <c r="B224" s="12">
        <v>16</v>
      </c>
      <c r="C224" s="12">
        <v>1</v>
      </c>
      <c r="D224" s="12" t="s">
        <v>1640</v>
      </c>
      <c r="E224" s="13" t="s">
        <v>1749</v>
      </c>
      <c r="F224" s="13" t="s">
        <v>1750</v>
      </c>
      <c r="G224" s="13" t="s">
        <v>30</v>
      </c>
      <c r="H224" s="12" t="s">
        <v>30</v>
      </c>
      <c r="I224" s="12" t="s">
        <v>1643</v>
      </c>
      <c r="J224" s="12" t="s">
        <v>112</v>
      </c>
      <c r="K224" s="13" t="s">
        <v>242</v>
      </c>
      <c r="L224" s="13" t="s">
        <v>243</v>
      </c>
      <c r="M224" s="13" t="s">
        <v>1751</v>
      </c>
      <c r="N224" s="13" t="s">
        <v>1752</v>
      </c>
      <c r="O224" s="13" t="s">
        <v>1744</v>
      </c>
      <c r="P224" s="13" t="s">
        <v>1753</v>
      </c>
      <c r="Q224" s="13" t="s">
        <v>1754</v>
      </c>
      <c r="R224" s="13" t="s">
        <v>1747</v>
      </c>
      <c r="S224" s="13" t="s">
        <v>1755</v>
      </c>
      <c r="T224" s="13" t="s">
        <v>227</v>
      </c>
      <c r="U224" s="13" t="s">
        <v>228</v>
      </c>
      <c r="V224" s="13" t="s">
        <v>229</v>
      </c>
      <c r="W224" s="12">
        <f t="shared" si="6"/>
        <v>1</v>
      </c>
      <c r="X224" s="12">
        <f t="shared" si="7"/>
        <v>1</v>
      </c>
    </row>
    <row r="225" ht="44" customHeight="1" spans="1:24">
      <c r="A225" s="12" t="s">
        <v>24</v>
      </c>
      <c r="B225" s="12">
        <v>17</v>
      </c>
      <c r="C225" s="12">
        <v>1</v>
      </c>
      <c r="D225" s="12" t="s">
        <v>1640</v>
      </c>
      <c r="E225" s="13" t="s">
        <v>1756</v>
      </c>
      <c r="F225" s="13" t="s">
        <v>1757</v>
      </c>
      <c r="G225" s="13" t="s">
        <v>30</v>
      </c>
      <c r="H225" s="12" t="s">
        <v>30</v>
      </c>
      <c r="I225" s="12" t="s">
        <v>1643</v>
      </c>
      <c r="J225" s="12" t="s">
        <v>112</v>
      </c>
      <c r="K225" s="13" t="s">
        <v>260</v>
      </c>
      <c r="L225" s="13" t="s">
        <v>261</v>
      </c>
      <c r="M225" s="13" t="s">
        <v>1758</v>
      </c>
      <c r="N225" s="13" t="s">
        <v>1759</v>
      </c>
      <c r="O225" s="13" t="s">
        <v>1744</v>
      </c>
      <c r="P225" s="13" t="s">
        <v>1760</v>
      </c>
      <c r="Q225" s="13" t="s">
        <v>1754</v>
      </c>
      <c r="R225" s="13" t="s">
        <v>1747</v>
      </c>
      <c r="S225" s="13" t="s">
        <v>1761</v>
      </c>
      <c r="T225" s="13" t="s">
        <v>227</v>
      </c>
      <c r="U225" s="13" t="s">
        <v>228</v>
      </c>
      <c r="V225" s="13" t="s">
        <v>229</v>
      </c>
      <c r="W225" s="12">
        <f t="shared" si="6"/>
        <v>1</v>
      </c>
      <c r="X225" s="12">
        <f t="shared" si="7"/>
        <v>1</v>
      </c>
    </row>
    <row r="226" ht="44" customHeight="1" spans="1:24">
      <c r="A226" s="12" t="s">
        <v>24</v>
      </c>
      <c r="B226" s="12">
        <v>18</v>
      </c>
      <c r="C226" s="12">
        <v>1</v>
      </c>
      <c r="D226" s="12" t="s">
        <v>1640</v>
      </c>
      <c r="E226" s="13" t="s">
        <v>1762</v>
      </c>
      <c r="F226" s="13" t="s">
        <v>1763</v>
      </c>
      <c r="G226" s="13" t="s">
        <v>30</v>
      </c>
      <c r="H226" s="12" t="s">
        <v>30</v>
      </c>
      <c r="I226" s="12" t="s">
        <v>1643</v>
      </c>
      <c r="J226" s="12" t="s">
        <v>112</v>
      </c>
      <c r="K226" s="13" t="s">
        <v>1764</v>
      </c>
      <c r="L226" s="13" t="s">
        <v>604</v>
      </c>
      <c r="M226" s="13" t="s">
        <v>1765</v>
      </c>
      <c r="N226" s="13" t="s">
        <v>1766</v>
      </c>
      <c r="O226" s="13" t="s">
        <v>1767</v>
      </c>
      <c r="P226" s="13" t="s">
        <v>1768</v>
      </c>
      <c r="Q226" s="13" t="s">
        <v>1769</v>
      </c>
      <c r="R226" s="13" t="s">
        <v>1770</v>
      </c>
      <c r="S226" s="13" t="s">
        <v>1771</v>
      </c>
      <c r="T226" s="13" t="s">
        <v>227</v>
      </c>
      <c r="U226" s="13" t="s">
        <v>228</v>
      </c>
      <c r="V226" s="13" t="s">
        <v>229</v>
      </c>
      <c r="W226" s="12">
        <f t="shared" si="6"/>
        <v>1</v>
      </c>
      <c r="X226" s="12">
        <f t="shared" si="7"/>
        <v>1</v>
      </c>
    </row>
    <row r="227" ht="44" customHeight="1" spans="1:24">
      <c r="A227" s="12" t="s">
        <v>24</v>
      </c>
      <c r="B227" s="12">
        <v>19</v>
      </c>
      <c r="C227" s="12">
        <v>1</v>
      </c>
      <c r="D227" s="12" t="s">
        <v>1772</v>
      </c>
      <c r="E227" s="13" t="s">
        <v>1773</v>
      </c>
      <c r="F227" s="13" t="s">
        <v>1774</v>
      </c>
      <c r="G227" s="13" t="s">
        <v>30</v>
      </c>
      <c r="H227" s="12" t="s">
        <v>30</v>
      </c>
      <c r="I227" s="12" t="s">
        <v>1775</v>
      </c>
      <c r="J227" s="12" t="s">
        <v>72</v>
      </c>
      <c r="K227" s="13" t="s">
        <v>73</v>
      </c>
      <c r="L227" s="13" t="s">
        <v>1776</v>
      </c>
      <c r="M227" s="13" t="s">
        <v>1777</v>
      </c>
      <c r="N227" s="13" t="s">
        <v>1778</v>
      </c>
      <c r="O227" s="13" t="s">
        <v>1779</v>
      </c>
      <c r="P227" s="13" t="s">
        <v>1780</v>
      </c>
      <c r="Q227" s="13" t="s">
        <v>1781</v>
      </c>
      <c r="R227" s="13" t="s">
        <v>1782</v>
      </c>
      <c r="S227" s="13" t="s">
        <v>1783</v>
      </c>
      <c r="T227" s="13" t="s">
        <v>1784</v>
      </c>
      <c r="U227" s="13" t="s">
        <v>1369</v>
      </c>
      <c r="V227" s="13" t="s">
        <v>1785</v>
      </c>
      <c r="W227" s="12">
        <f t="shared" si="6"/>
        <v>1</v>
      </c>
      <c r="X227" s="12">
        <f t="shared" si="7"/>
        <v>1</v>
      </c>
    </row>
    <row r="228" ht="44" customHeight="1" spans="1:24">
      <c r="A228" s="12" t="s">
        <v>24</v>
      </c>
      <c r="B228" s="12">
        <v>20</v>
      </c>
      <c r="C228" s="12">
        <v>1</v>
      </c>
      <c r="D228" s="12" t="s">
        <v>1772</v>
      </c>
      <c r="E228" s="13" t="s">
        <v>1786</v>
      </c>
      <c r="F228" s="13" t="s">
        <v>1787</v>
      </c>
      <c r="G228" s="13" t="s">
        <v>30</v>
      </c>
      <c r="H228" s="12" t="s">
        <v>30</v>
      </c>
      <c r="I228" s="12" t="s">
        <v>1775</v>
      </c>
      <c r="J228" s="12" t="s">
        <v>72</v>
      </c>
      <c r="K228" s="13" t="s">
        <v>73</v>
      </c>
      <c r="L228" s="13" t="s">
        <v>1788</v>
      </c>
      <c r="M228" s="13" t="s">
        <v>1789</v>
      </c>
      <c r="N228" s="13" t="s">
        <v>1790</v>
      </c>
      <c r="O228" s="13" t="s">
        <v>1791</v>
      </c>
      <c r="P228" s="13" t="s">
        <v>1792</v>
      </c>
      <c r="Q228" s="13" t="s">
        <v>1793</v>
      </c>
      <c r="R228" s="13" t="s">
        <v>1782</v>
      </c>
      <c r="S228" s="13" t="s">
        <v>1794</v>
      </c>
      <c r="T228" s="13" t="s">
        <v>1157</v>
      </c>
      <c r="U228" s="13" t="s">
        <v>1369</v>
      </c>
      <c r="V228" s="13" t="s">
        <v>1785</v>
      </c>
      <c r="W228" s="12">
        <f t="shared" si="6"/>
        <v>1</v>
      </c>
      <c r="X228" s="12">
        <f t="shared" si="7"/>
        <v>1</v>
      </c>
    </row>
    <row r="229" ht="44" customHeight="1" spans="1:24">
      <c r="A229" s="12" t="s">
        <v>24</v>
      </c>
      <c r="B229" s="12">
        <v>21</v>
      </c>
      <c r="C229" s="12">
        <v>1</v>
      </c>
      <c r="D229" s="12" t="s">
        <v>1772</v>
      </c>
      <c r="E229" s="13" t="s">
        <v>1795</v>
      </c>
      <c r="F229" s="13" t="s">
        <v>1796</v>
      </c>
      <c r="G229" s="13" t="s">
        <v>30</v>
      </c>
      <c r="H229" s="12" t="s">
        <v>30</v>
      </c>
      <c r="I229" s="12" t="s">
        <v>1775</v>
      </c>
      <c r="J229" s="12" t="s">
        <v>112</v>
      </c>
      <c r="K229" s="13" t="s">
        <v>73</v>
      </c>
      <c r="L229" s="13" t="s">
        <v>1797</v>
      </c>
      <c r="M229" s="13" t="s">
        <v>1798</v>
      </c>
      <c r="N229" s="13" t="s">
        <v>1799</v>
      </c>
      <c r="O229" s="13" t="s">
        <v>1800</v>
      </c>
      <c r="P229" s="13" t="s">
        <v>1801</v>
      </c>
      <c r="Q229" s="13" t="s">
        <v>1802</v>
      </c>
      <c r="R229" s="13" t="s">
        <v>1782</v>
      </c>
      <c r="S229" s="13" t="s">
        <v>952</v>
      </c>
      <c r="T229" s="13" t="s">
        <v>578</v>
      </c>
      <c r="U229" s="13" t="s">
        <v>1369</v>
      </c>
      <c r="V229" s="13" t="s">
        <v>1803</v>
      </c>
      <c r="W229" s="12">
        <f t="shared" si="6"/>
        <v>1</v>
      </c>
      <c r="X229" s="12">
        <f t="shared" si="7"/>
        <v>1</v>
      </c>
    </row>
    <row r="230" ht="44" customHeight="1" spans="1:24">
      <c r="A230" s="12" t="s">
        <v>24</v>
      </c>
      <c r="B230" s="12">
        <v>22</v>
      </c>
      <c r="C230" s="12">
        <v>1</v>
      </c>
      <c r="D230" s="12" t="s">
        <v>1772</v>
      </c>
      <c r="E230" s="13" t="s">
        <v>1804</v>
      </c>
      <c r="F230" s="13" t="s">
        <v>1805</v>
      </c>
      <c r="G230" s="13" t="s">
        <v>30</v>
      </c>
      <c r="H230" s="12" t="s">
        <v>30</v>
      </c>
      <c r="I230" s="12" t="s">
        <v>1775</v>
      </c>
      <c r="J230" s="12" t="s">
        <v>112</v>
      </c>
      <c r="K230" s="13" t="s">
        <v>73</v>
      </c>
      <c r="L230" s="13" t="s">
        <v>1806</v>
      </c>
      <c r="M230" s="13" t="s">
        <v>1807</v>
      </c>
      <c r="N230" s="13" t="s">
        <v>1808</v>
      </c>
      <c r="O230" s="13" t="s">
        <v>1809</v>
      </c>
      <c r="P230" s="13" t="s">
        <v>1810</v>
      </c>
      <c r="Q230" s="13" t="s">
        <v>1811</v>
      </c>
      <c r="R230" s="13" t="s">
        <v>1782</v>
      </c>
      <c r="S230" s="13" t="s">
        <v>1812</v>
      </c>
      <c r="T230" s="13" t="s">
        <v>1157</v>
      </c>
      <c r="U230" s="13" t="s">
        <v>1369</v>
      </c>
      <c r="V230" s="13" t="s">
        <v>1803</v>
      </c>
      <c r="W230" s="12">
        <f t="shared" si="6"/>
        <v>1</v>
      </c>
      <c r="X230" s="12">
        <f t="shared" si="7"/>
        <v>1</v>
      </c>
    </row>
    <row r="231" ht="44" customHeight="1" spans="1:24">
      <c r="A231" s="12" t="s">
        <v>24</v>
      </c>
      <c r="B231" s="12">
        <v>23</v>
      </c>
      <c r="C231" s="12">
        <v>1</v>
      </c>
      <c r="D231" s="12" t="s">
        <v>1772</v>
      </c>
      <c r="E231" s="13" t="s">
        <v>1813</v>
      </c>
      <c r="F231" s="13" t="s">
        <v>1814</v>
      </c>
      <c r="G231" s="13" t="s">
        <v>30</v>
      </c>
      <c r="H231" s="12" t="s">
        <v>30</v>
      </c>
      <c r="I231" s="12" t="s">
        <v>1775</v>
      </c>
      <c r="J231" s="12" t="s">
        <v>112</v>
      </c>
      <c r="K231" s="13" t="s">
        <v>73</v>
      </c>
      <c r="L231" s="13" t="s">
        <v>1815</v>
      </c>
      <c r="M231" s="13" t="s">
        <v>1816</v>
      </c>
      <c r="N231" s="13" t="s">
        <v>1817</v>
      </c>
      <c r="O231" s="13" t="s">
        <v>1818</v>
      </c>
      <c r="P231" s="13" t="s">
        <v>1819</v>
      </c>
      <c r="Q231" s="13" t="s">
        <v>1138</v>
      </c>
      <c r="R231" s="13" t="s">
        <v>1782</v>
      </c>
      <c r="S231" s="13" t="s">
        <v>1820</v>
      </c>
      <c r="T231" s="13" t="s">
        <v>578</v>
      </c>
      <c r="U231" s="13" t="s">
        <v>1369</v>
      </c>
      <c r="V231" s="13" t="s">
        <v>1803</v>
      </c>
      <c r="W231" s="12">
        <f t="shared" si="6"/>
        <v>1</v>
      </c>
      <c r="X231" s="12">
        <f t="shared" si="7"/>
        <v>1</v>
      </c>
    </row>
    <row r="232" ht="44" customHeight="1" spans="1:24">
      <c r="A232" s="14" t="s">
        <v>24</v>
      </c>
      <c r="B232" s="14">
        <v>24</v>
      </c>
      <c r="C232" s="14">
        <v>1</v>
      </c>
      <c r="D232" s="14" t="s">
        <v>1772</v>
      </c>
      <c r="E232" s="15" t="s">
        <v>1821</v>
      </c>
      <c r="F232" s="15" t="s">
        <v>1822</v>
      </c>
      <c r="G232" s="15" t="s">
        <v>30</v>
      </c>
      <c r="H232" s="14" t="s">
        <v>30</v>
      </c>
      <c r="I232" s="14" t="s">
        <v>1775</v>
      </c>
      <c r="J232" s="14" t="s">
        <v>1823</v>
      </c>
      <c r="K232" s="15" t="s">
        <v>1824</v>
      </c>
      <c r="L232" s="15" t="s">
        <v>166</v>
      </c>
      <c r="M232" s="15" t="s">
        <v>1825</v>
      </c>
      <c r="N232" s="15" t="s">
        <v>1826</v>
      </c>
      <c r="O232" s="15" t="s">
        <v>1827</v>
      </c>
      <c r="P232" s="15" t="s">
        <v>1828</v>
      </c>
      <c r="Q232" s="15" t="s">
        <v>1829</v>
      </c>
      <c r="R232" s="15" t="s">
        <v>1830</v>
      </c>
      <c r="S232" s="15" t="s">
        <v>194</v>
      </c>
      <c r="T232" s="15" t="s">
        <v>1575</v>
      </c>
      <c r="U232" s="15" t="s">
        <v>174</v>
      </c>
      <c r="V232" s="15" t="s">
        <v>1831</v>
      </c>
      <c r="W232" s="14">
        <f t="shared" si="6"/>
        <v>1</v>
      </c>
      <c r="X232" s="14">
        <f t="shared" si="7"/>
        <v>0</v>
      </c>
    </row>
    <row r="233" ht="44" customHeight="1" spans="1:24">
      <c r="A233" s="12" t="s">
        <v>24</v>
      </c>
      <c r="B233" s="12">
        <v>25</v>
      </c>
      <c r="C233" s="12">
        <v>1</v>
      </c>
      <c r="D233" s="12" t="s">
        <v>1772</v>
      </c>
      <c r="E233" s="13" t="s">
        <v>1832</v>
      </c>
      <c r="F233" s="13" t="s">
        <v>1833</v>
      </c>
      <c r="G233" s="13" t="s">
        <v>30</v>
      </c>
      <c r="H233" s="12" t="s">
        <v>30</v>
      </c>
      <c r="I233" s="12" t="s">
        <v>1775</v>
      </c>
      <c r="J233" s="12" t="s">
        <v>112</v>
      </c>
      <c r="K233" s="13" t="s">
        <v>73</v>
      </c>
      <c r="L233" s="13" t="s">
        <v>1834</v>
      </c>
      <c r="M233" s="13" t="s">
        <v>1835</v>
      </c>
      <c r="N233" s="13" t="s">
        <v>1836</v>
      </c>
      <c r="O233" s="13" t="s">
        <v>1837</v>
      </c>
      <c r="P233" s="13" t="s">
        <v>1838</v>
      </c>
      <c r="Q233" s="13" t="s">
        <v>1839</v>
      </c>
      <c r="R233" s="13" t="s">
        <v>1840</v>
      </c>
      <c r="S233" s="13" t="s">
        <v>604</v>
      </c>
      <c r="T233" s="13" t="s">
        <v>299</v>
      </c>
      <c r="U233" s="13" t="s">
        <v>300</v>
      </c>
      <c r="V233" s="13" t="s">
        <v>301</v>
      </c>
      <c r="W233" s="12">
        <f t="shared" si="6"/>
        <v>1</v>
      </c>
      <c r="X233" s="12">
        <f t="shared" si="7"/>
        <v>1</v>
      </c>
    </row>
    <row r="234" ht="44" customHeight="1" spans="1:24">
      <c r="A234" s="12" t="s">
        <v>24</v>
      </c>
      <c r="B234" s="12">
        <v>26</v>
      </c>
      <c r="C234" s="12">
        <v>1</v>
      </c>
      <c r="D234" s="12" t="s">
        <v>1772</v>
      </c>
      <c r="E234" s="13" t="s">
        <v>1841</v>
      </c>
      <c r="F234" s="13" t="s">
        <v>1842</v>
      </c>
      <c r="G234" s="13" t="s">
        <v>30</v>
      </c>
      <c r="H234" s="12" t="s">
        <v>30</v>
      </c>
      <c r="I234" s="12" t="s">
        <v>1775</v>
      </c>
      <c r="J234" s="12" t="s">
        <v>112</v>
      </c>
      <c r="K234" s="13" t="s">
        <v>73</v>
      </c>
      <c r="L234" s="13" t="s">
        <v>1843</v>
      </c>
      <c r="M234" s="13" t="s">
        <v>1844</v>
      </c>
      <c r="N234" s="13" t="s">
        <v>1845</v>
      </c>
      <c r="O234" s="13" t="s">
        <v>1846</v>
      </c>
      <c r="P234" s="13" t="s">
        <v>1847</v>
      </c>
      <c r="Q234" s="13" t="s">
        <v>1848</v>
      </c>
      <c r="R234" s="13" t="s">
        <v>1840</v>
      </c>
      <c r="S234" s="13" t="s">
        <v>604</v>
      </c>
      <c r="T234" s="13" t="s">
        <v>299</v>
      </c>
      <c r="U234" s="13" t="s">
        <v>300</v>
      </c>
      <c r="V234" s="13" t="s">
        <v>301</v>
      </c>
      <c r="W234" s="12">
        <f t="shared" si="6"/>
        <v>1</v>
      </c>
      <c r="X234" s="12">
        <f t="shared" si="7"/>
        <v>1</v>
      </c>
    </row>
    <row r="235" ht="44" customHeight="1" spans="1:24">
      <c r="A235" s="12" t="s">
        <v>24</v>
      </c>
      <c r="B235" s="12">
        <v>27</v>
      </c>
      <c r="C235" s="12">
        <v>1</v>
      </c>
      <c r="D235" s="12" t="s">
        <v>1772</v>
      </c>
      <c r="E235" s="13" t="s">
        <v>1849</v>
      </c>
      <c r="F235" s="13" t="s">
        <v>1850</v>
      </c>
      <c r="G235" s="13" t="s">
        <v>30</v>
      </c>
      <c r="H235" s="12" t="s">
        <v>30</v>
      </c>
      <c r="I235" s="12" t="s">
        <v>1775</v>
      </c>
      <c r="J235" s="12" t="s">
        <v>112</v>
      </c>
      <c r="K235" s="13" t="s">
        <v>73</v>
      </c>
      <c r="L235" s="13" t="s">
        <v>304</v>
      </c>
      <c r="M235" s="13" t="s">
        <v>1851</v>
      </c>
      <c r="N235" s="13" t="s">
        <v>1852</v>
      </c>
      <c r="O235" s="13" t="s">
        <v>1853</v>
      </c>
      <c r="P235" s="13" t="s">
        <v>1854</v>
      </c>
      <c r="Q235" s="13" t="s">
        <v>1304</v>
      </c>
      <c r="R235" s="13" t="s">
        <v>1840</v>
      </c>
      <c r="S235" s="13" t="s">
        <v>311</v>
      </c>
      <c r="T235" s="13" t="s">
        <v>299</v>
      </c>
      <c r="U235" s="13" t="s">
        <v>300</v>
      </c>
      <c r="V235" s="13" t="s">
        <v>301</v>
      </c>
      <c r="W235" s="12">
        <f t="shared" si="6"/>
        <v>1</v>
      </c>
      <c r="X235" s="12">
        <f t="shared" si="7"/>
        <v>1</v>
      </c>
    </row>
    <row r="236" ht="44" customHeight="1" spans="1:24">
      <c r="A236" s="12" t="s">
        <v>24</v>
      </c>
      <c r="B236" s="12">
        <v>28</v>
      </c>
      <c r="C236" s="12">
        <v>1</v>
      </c>
      <c r="D236" s="12" t="s">
        <v>1772</v>
      </c>
      <c r="E236" s="13" t="s">
        <v>1855</v>
      </c>
      <c r="F236" s="13" t="s">
        <v>1856</v>
      </c>
      <c r="G236" s="13" t="s">
        <v>30</v>
      </c>
      <c r="H236" s="12" t="s">
        <v>30</v>
      </c>
      <c r="I236" s="12" t="s">
        <v>1775</v>
      </c>
      <c r="J236" s="12" t="s">
        <v>112</v>
      </c>
      <c r="K236" s="13" t="s">
        <v>73</v>
      </c>
      <c r="L236" s="13" t="s">
        <v>777</v>
      </c>
      <c r="M236" s="13" t="s">
        <v>1857</v>
      </c>
      <c r="N236" s="13" t="s">
        <v>1858</v>
      </c>
      <c r="O236" s="13" t="s">
        <v>1859</v>
      </c>
      <c r="P236" s="13" t="s">
        <v>1860</v>
      </c>
      <c r="Q236" s="13" t="s">
        <v>1861</v>
      </c>
      <c r="R236" s="13" t="s">
        <v>1840</v>
      </c>
      <c r="S236" s="13" t="s">
        <v>270</v>
      </c>
      <c r="T236" s="13" t="s">
        <v>299</v>
      </c>
      <c r="U236" s="13" t="s">
        <v>300</v>
      </c>
      <c r="V236" s="13" t="s">
        <v>301</v>
      </c>
      <c r="W236" s="12">
        <f t="shared" si="6"/>
        <v>1</v>
      </c>
      <c r="X236" s="12">
        <f t="shared" si="7"/>
        <v>1</v>
      </c>
    </row>
    <row r="237" ht="44" customHeight="1" spans="1:24">
      <c r="A237" s="12" t="s">
        <v>24</v>
      </c>
      <c r="B237" s="12">
        <v>29</v>
      </c>
      <c r="C237" s="12">
        <v>1</v>
      </c>
      <c r="D237" s="12" t="s">
        <v>1772</v>
      </c>
      <c r="E237" s="13" t="s">
        <v>1862</v>
      </c>
      <c r="F237" s="13" t="s">
        <v>1863</v>
      </c>
      <c r="G237" s="13" t="s">
        <v>30</v>
      </c>
      <c r="H237" s="12" t="s">
        <v>30</v>
      </c>
      <c r="I237" s="12" t="s">
        <v>1775</v>
      </c>
      <c r="J237" s="12" t="s">
        <v>112</v>
      </c>
      <c r="K237" s="13" t="s">
        <v>73</v>
      </c>
      <c r="L237" s="13" t="s">
        <v>280</v>
      </c>
      <c r="M237" s="13" t="s">
        <v>1864</v>
      </c>
      <c r="N237" s="13" t="s">
        <v>1865</v>
      </c>
      <c r="O237" s="13" t="s">
        <v>1866</v>
      </c>
      <c r="P237" s="13" t="s">
        <v>1867</v>
      </c>
      <c r="Q237" s="13" t="s">
        <v>1868</v>
      </c>
      <c r="R237" s="13" t="s">
        <v>1840</v>
      </c>
      <c r="S237" s="13" t="s">
        <v>1869</v>
      </c>
      <c r="T237" s="13" t="s">
        <v>299</v>
      </c>
      <c r="U237" s="13" t="s">
        <v>300</v>
      </c>
      <c r="V237" s="13" t="s">
        <v>301</v>
      </c>
      <c r="W237" s="12">
        <f t="shared" si="6"/>
        <v>1</v>
      </c>
      <c r="X237" s="12">
        <f t="shared" si="7"/>
        <v>1</v>
      </c>
    </row>
    <row r="238" ht="44" customHeight="1" spans="1:24">
      <c r="A238" s="12" t="s">
        <v>24</v>
      </c>
      <c r="B238" s="12">
        <v>30</v>
      </c>
      <c r="C238" s="12">
        <v>1</v>
      </c>
      <c r="D238" s="12" t="s">
        <v>1772</v>
      </c>
      <c r="E238" s="13" t="s">
        <v>1870</v>
      </c>
      <c r="F238" s="13" t="s">
        <v>1871</v>
      </c>
      <c r="G238" s="13" t="s">
        <v>30</v>
      </c>
      <c r="H238" s="12" t="s">
        <v>30</v>
      </c>
      <c r="I238" s="12" t="s">
        <v>1775</v>
      </c>
      <c r="J238" s="12" t="s">
        <v>112</v>
      </c>
      <c r="K238" s="13" t="s">
        <v>1872</v>
      </c>
      <c r="L238" s="13" t="s">
        <v>1623</v>
      </c>
      <c r="M238" s="13" t="s">
        <v>1873</v>
      </c>
      <c r="N238" s="13" t="s">
        <v>1874</v>
      </c>
      <c r="O238" s="13" t="s">
        <v>1875</v>
      </c>
      <c r="P238" s="13" t="s">
        <v>1876</v>
      </c>
      <c r="Q238" s="13" t="s">
        <v>1877</v>
      </c>
      <c r="R238" s="13" t="s">
        <v>1878</v>
      </c>
      <c r="S238" s="13" t="s">
        <v>1879</v>
      </c>
      <c r="T238" s="13" t="s">
        <v>227</v>
      </c>
      <c r="U238" s="13" t="s">
        <v>228</v>
      </c>
      <c r="V238" s="13" t="s">
        <v>229</v>
      </c>
      <c r="W238" s="12">
        <f t="shared" si="6"/>
        <v>1</v>
      </c>
      <c r="X238" s="12">
        <f t="shared" si="7"/>
        <v>1</v>
      </c>
    </row>
  </sheetData>
  <mergeCells count="2">
    <mergeCell ref="A1:X1"/>
    <mergeCell ref="A2:X2"/>
  </mergeCells>
  <conditionalFormatting sqref="J5:J238">
    <cfRule type="containsText" dxfId="0" priority="1" operator="between" text="P0">
      <formula>NOT(ISERROR(SEARCH("P0",J5)))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showGridLines="0" workbookViewId="0">
      <selection activeCell="A1" sqref="A1:O1"/>
    </sheetView>
  </sheetViews>
  <sheetFormatPr defaultColWidth="9" defaultRowHeight="14"/>
  <cols>
    <col min="1" max="1" width="8" customWidth="1"/>
    <col min="2" max="2" width="7" customWidth="1"/>
    <col min="3" max="3" width="18" customWidth="1"/>
    <col min="4" max="4" width="30" customWidth="1"/>
    <col min="5" max="6" width="43" customWidth="1"/>
    <col min="7" max="7" width="18" customWidth="1"/>
    <col min="8" max="8" width="12" customWidth="1"/>
    <col min="9" max="9" width="9" customWidth="1"/>
    <col min="10" max="10" width="28" customWidth="1"/>
    <col min="11" max="11" width="45" customWidth="1"/>
    <col min="12" max="12" width="38" customWidth="1"/>
    <col min="13" max="13" width="48" customWidth="1"/>
    <col min="14" max="14" width="26" customWidth="1"/>
    <col min="15" max="15" width="38" customWidth="1"/>
  </cols>
  <sheetData>
    <row r="1" ht="38" customHeight="1" spans="1:15">
      <c r="A1" s="10" t="s">
        <v>1880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>
      <c r="A2" s="11" t="s">
        <v>1881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3" ht="14.75"/>
    <row r="4" ht="34" customHeight="1" spans="1:15">
      <c r="A4" s="1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55</v>
      </c>
      <c r="K4" s="2" t="s">
        <v>56</v>
      </c>
      <c r="L4" s="2" t="s">
        <v>58</v>
      </c>
      <c r="M4" s="2" t="s">
        <v>61</v>
      </c>
      <c r="N4" s="2" t="s">
        <v>64</v>
      </c>
      <c r="O4" s="3" t="s">
        <v>65</v>
      </c>
    </row>
    <row r="5" ht="46" customHeight="1" spans="1:15">
      <c r="A5" s="12">
        <v>1</v>
      </c>
      <c r="B5" s="12">
        <v>1</v>
      </c>
      <c r="C5" s="12" t="s">
        <v>68</v>
      </c>
      <c r="D5" s="13" t="s">
        <v>69</v>
      </c>
      <c r="E5" s="13" t="s">
        <v>70</v>
      </c>
      <c r="F5" s="13" t="s">
        <v>30</v>
      </c>
      <c r="G5" s="12" t="s">
        <v>30</v>
      </c>
      <c r="H5" s="12" t="s">
        <v>71</v>
      </c>
      <c r="I5" s="12" t="s">
        <v>72</v>
      </c>
      <c r="J5" s="13" t="s">
        <v>74</v>
      </c>
      <c r="K5" s="13" t="s">
        <v>75</v>
      </c>
      <c r="L5" s="13" t="s">
        <v>77</v>
      </c>
      <c r="M5" s="13" t="s">
        <v>80</v>
      </c>
      <c r="N5" s="13" t="s">
        <v>83</v>
      </c>
      <c r="O5" s="13" t="s">
        <v>84</v>
      </c>
    </row>
    <row r="6" ht="40" customHeight="1" spans="1:15">
      <c r="A6" s="20">
        <v>2</v>
      </c>
      <c r="B6" s="20">
        <v>2</v>
      </c>
      <c r="C6" s="20" t="s">
        <v>85</v>
      </c>
      <c r="D6" s="21" t="s">
        <v>86</v>
      </c>
      <c r="E6" s="21" t="s">
        <v>87</v>
      </c>
      <c r="F6" s="21" t="s">
        <v>70</v>
      </c>
      <c r="G6" s="20" t="s">
        <v>30</v>
      </c>
      <c r="H6" s="20" t="s">
        <v>88</v>
      </c>
      <c r="I6" s="20" t="s">
        <v>72</v>
      </c>
      <c r="J6" s="21" t="s">
        <v>89</v>
      </c>
      <c r="K6" s="21" t="s">
        <v>90</v>
      </c>
      <c r="L6" s="21" t="s">
        <v>92</v>
      </c>
      <c r="M6" s="21" t="s">
        <v>95</v>
      </c>
      <c r="N6" s="21" t="s">
        <v>83</v>
      </c>
      <c r="O6" s="21" t="s">
        <v>97</v>
      </c>
    </row>
    <row r="7" ht="40" customHeight="1" spans="1:15">
      <c r="A7" s="20">
        <v>3</v>
      </c>
      <c r="B7" s="20">
        <v>2</v>
      </c>
      <c r="C7" s="20" t="s">
        <v>85</v>
      </c>
      <c r="D7" s="21" t="s">
        <v>98</v>
      </c>
      <c r="E7" s="21" t="s">
        <v>99</v>
      </c>
      <c r="F7" s="21" t="s">
        <v>70</v>
      </c>
      <c r="G7" s="20" t="s">
        <v>30</v>
      </c>
      <c r="H7" s="20" t="s">
        <v>88</v>
      </c>
      <c r="I7" s="20" t="s">
        <v>72</v>
      </c>
      <c r="J7" s="21" t="s">
        <v>100</v>
      </c>
      <c r="K7" s="21" t="s">
        <v>101</v>
      </c>
      <c r="L7" s="21" t="s">
        <v>103</v>
      </c>
      <c r="M7" s="21" t="s">
        <v>106</v>
      </c>
      <c r="N7" s="21" t="s">
        <v>83</v>
      </c>
      <c r="O7" s="21" t="s">
        <v>109</v>
      </c>
    </row>
    <row r="8" ht="40" customHeight="1" spans="1:15">
      <c r="A8" s="20">
        <v>4</v>
      </c>
      <c r="B8" s="20">
        <v>2</v>
      </c>
      <c r="C8" s="20" t="s">
        <v>85</v>
      </c>
      <c r="D8" s="21" t="s">
        <v>110</v>
      </c>
      <c r="E8" s="21" t="s">
        <v>111</v>
      </c>
      <c r="F8" s="21" t="s">
        <v>70</v>
      </c>
      <c r="G8" s="20" t="s">
        <v>30</v>
      </c>
      <c r="H8" s="20" t="s">
        <v>88</v>
      </c>
      <c r="I8" s="20" t="s">
        <v>112</v>
      </c>
      <c r="J8" s="21" t="s">
        <v>113</v>
      </c>
      <c r="K8" s="21" t="s">
        <v>114</v>
      </c>
      <c r="L8" s="21" t="s">
        <v>116</v>
      </c>
      <c r="M8" s="21" t="s">
        <v>119</v>
      </c>
      <c r="N8" s="21" t="s">
        <v>122</v>
      </c>
      <c r="O8" s="21" t="s">
        <v>123</v>
      </c>
    </row>
    <row r="9" ht="46" customHeight="1" spans="1:15">
      <c r="A9" s="12">
        <v>5</v>
      </c>
      <c r="B9" s="12">
        <v>1</v>
      </c>
      <c r="C9" s="12" t="s">
        <v>68</v>
      </c>
      <c r="D9" s="13" t="s">
        <v>124</v>
      </c>
      <c r="E9" s="13" t="s">
        <v>125</v>
      </c>
      <c r="F9" s="13" t="s">
        <v>30</v>
      </c>
      <c r="G9" s="12" t="s">
        <v>30</v>
      </c>
      <c r="H9" s="12" t="s">
        <v>71</v>
      </c>
      <c r="I9" s="12" t="s">
        <v>72</v>
      </c>
      <c r="J9" s="13" t="s">
        <v>126</v>
      </c>
      <c r="K9" s="13" t="s">
        <v>127</v>
      </c>
      <c r="L9" s="13" t="s">
        <v>77</v>
      </c>
      <c r="M9" s="13" t="s">
        <v>80</v>
      </c>
      <c r="N9" s="13" t="s">
        <v>83</v>
      </c>
      <c r="O9" s="13" t="s">
        <v>130</v>
      </c>
    </row>
    <row r="10" ht="40" customHeight="1" spans="1:15">
      <c r="A10" s="20">
        <v>6</v>
      </c>
      <c r="B10" s="20">
        <v>2</v>
      </c>
      <c r="C10" s="20" t="s">
        <v>85</v>
      </c>
      <c r="D10" s="21" t="s">
        <v>131</v>
      </c>
      <c r="E10" s="21" t="s">
        <v>132</v>
      </c>
      <c r="F10" s="21" t="s">
        <v>125</v>
      </c>
      <c r="G10" s="20" t="s">
        <v>30</v>
      </c>
      <c r="H10" s="20" t="s">
        <v>88</v>
      </c>
      <c r="I10" s="20" t="s">
        <v>72</v>
      </c>
      <c r="J10" s="21" t="s">
        <v>133</v>
      </c>
      <c r="K10" s="21" t="s">
        <v>134</v>
      </c>
      <c r="L10" s="21" t="s">
        <v>92</v>
      </c>
      <c r="M10" s="21" t="s">
        <v>95</v>
      </c>
      <c r="N10" s="21" t="s">
        <v>83</v>
      </c>
      <c r="O10" s="21" t="s">
        <v>136</v>
      </c>
    </row>
    <row r="11" ht="40" customHeight="1" spans="1:15">
      <c r="A11" s="20">
        <v>7</v>
      </c>
      <c r="B11" s="20">
        <v>2</v>
      </c>
      <c r="C11" s="20" t="s">
        <v>85</v>
      </c>
      <c r="D11" s="21" t="s">
        <v>137</v>
      </c>
      <c r="E11" s="21" t="s">
        <v>138</v>
      </c>
      <c r="F11" s="21" t="s">
        <v>125</v>
      </c>
      <c r="G11" s="20" t="s">
        <v>30</v>
      </c>
      <c r="H11" s="20" t="s">
        <v>88</v>
      </c>
      <c r="I11" s="20" t="s">
        <v>72</v>
      </c>
      <c r="J11" s="21" t="s">
        <v>139</v>
      </c>
      <c r="K11" s="21" t="s">
        <v>140</v>
      </c>
      <c r="L11" s="21" t="s">
        <v>103</v>
      </c>
      <c r="M11" s="21" t="s">
        <v>142</v>
      </c>
      <c r="N11" s="21" t="s">
        <v>83</v>
      </c>
      <c r="O11" s="21" t="s">
        <v>109</v>
      </c>
    </row>
    <row r="12" ht="40" customHeight="1" spans="1:15">
      <c r="A12" s="20">
        <v>8</v>
      </c>
      <c r="B12" s="20">
        <v>2</v>
      </c>
      <c r="C12" s="20" t="s">
        <v>85</v>
      </c>
      <c r="D12" s="21" t="s">
        <v>143</v>
      </c>
      <c r="E12" s="21" t="s">
        <v>144</v>
      </c>
      <c r="F12" s="21" t="s">
        <v>125</v>
      </c>
      <c r="G12" s="20" t="s">
        <v>30</v>
      </c>
      <c r="H12" s="20" t="s">
        <v>88</v>
      </c>
      <c r="I12" s="20" t="s">
        <v>112</v>
      </c>
      <c r="J12" s="21" t="s">
        <v>113</v>
      </c>
      <c r="K12" s="21" t="s">
        <v>145</v>
      </c>
      <c r="L12" s="21" t="s">
        <v>116</v>
      </c>
      <c r="M12" s="21" t="s">
        <v>119</v>
      </c>
      <c r="N12" s="21" t="s">
        <v>122</v>
      </c>
      <c r="O12" s="21" t="s">
        <v>123</v>
      </c>
    </row>
    <row r="13" ht="46" customHeight="1" spans="1:15">
      <c r="A13" s="12">
        <v>9</v>
      </c>
      <c r="B13" s="12">
        <v>1</v>
      </c>
      <c r="C13" s="12" t="s">
        <v>68</v>
      </c>
      <c r="D13" s="13" t="s">
        <v>147</v>
      </c>
      <c r="E13" s="13" t="s">
        <v>148</v>
      </c>
      <c r="F13" s="13" t="s">
        <v>30</v>
      </c>
      <c r="G13" s="12" t="s">
        <v>30</v>
      </c>
      <c r="H13" s="12" t="s">
        <v>71</v>
      </c>
      <c r="I13" s="12" t="s">
        <v>72</v>
      </c>
      <c r="J13" s="13" t="s">
        <v>149</v>
      </c>
      <c r="K13" s="13" t="s">
        <v>150</v>
      </c>
      <c r="L13" s="13" t="s">
        <v>152</v>
      </c>
      <c r="M13" s="13" t="s">
        <v>155</v>
      </c>
      <c r="N13" s="13" t="s">
        <v>83</v>
      </c>
      <c r="O13" s="13" t="s">
        <v>130</v>
      </c>
    </row>
    <row r="14" ht="40" customHeight="1" spans="1:15">
      <c r="A14" s="20">
        <v>10</v>
      </c>
      <c r="B14" s="20">
        <v>2</v>
      </c>
      <c r="C14" s="20" t="s">
        <v>85</v>
      </c>
      <c r="D14" s="21" t="s">
        <v>156</v>
      </c>
      <c r="E14" s="21" t="s">
        <v>157</v>
      </c>
      <c r="F14" s="21" t="s">
        <v>148</v>
      </c>
      <c r="G14" s="20" t="s">
        <v>30</v>
      </c>
      <c r="H14" s="20" t="s">
        <v>88</v>
      </c>
      <c r="I14" s="20" t="s">
        <v>72</v>
      </c>
      <c r="J14" s="21" t="s">
        <v>149</v>
      </c>
      <c r="K14" s="21" t="s">
        <v>158</v>
      </c>
      <c r="L14" s="21" t="s">
        <v>160</v>
      </c>
      <c r="M14" s="21" t="s">
        <v>95</v>
      </c>
      <c r="N14" s="21" t="s">
        <v>83</v>
      </c>
      <c r="O14" s="21" t="s">
        <v>162</v>
      </c>
    </row>
    <row r="15" ht="46" customHeight="1" spans="1:15">
      <c r="A15" s="14">
        <v>11</v>
      </c>
      <c r="B15" s="14">
        <v>1</v>
      </c>
      <c r="C15" s="14" t="s">
        <v>68</v>
      </c>
      <c r="D15" s="15" t="s">
        <v>163</v>
      </c>
      <c r="E15" s="15" t="s">
        <v>164</v>
      </c>
      <c r="F15" s="15" t="s">
        <v>30</v>
      </c>
      <c r="G15" s="14" t="s">
        <v>30</v>
      </c>
      <c r="H15" s="14" t="s">
        <v>71</v>
      </c>
      <c r="I15" s="14" t="s">
        <v>112</v>
      </c>
      <c r="J15" s="15" t="s">
        <v>166</v>
      </c>
      <c r="K15" s="15" t="s">
        <v>167</v>
      </c>
      <c r="L15" s="15" t="s">
        <v>169</v>
      </c>
      <c r="M15" s="15" t="s">
        <v>172</v>
      </c>
      <c r="N15" s="15" t="s">
        <v>174</v>
      </c>
      <c r="O15" s="15" t="s">
        <v>175</v>
      </c>
    </row>
    <row r="16" ht="40" customHeight="1" spans="1:15">
      <c r="A16" s="22">
        <v>12</v>
      </c>
      <c r="B16" s="22">
        <v>2</v>
      </c>
      <c r="C16" s="22" t="s">
        <v>85</v>
      </c>
      <c r="D16" s="23" t="s">
        <v>176</v>
      </c>
      <c r="E16" s="23" t="s">
        <v>177</v>
      </c>
      <c r="F16" s="23" t="s">
        <v>164</v>
      </c>
      <c r="G16" s="22" t="s">
        <v>30</v>
      </c>
      <c r="H16" s="22" t="s">
        <v>88</v>
      </c>
      <c r="I16" s="22" t="s">
        <v>112</v>
      </c>
      <c r="J16" s="23" t="s">
        <v>166</v>
      </c>
      <c r="K16" s="23" t="s">
        <v>179</v>
      </c>
      <c r="L16" s="23" t="s">
        <v>181</v>
      </c>
      <c r="M16" s="23" t="s">
        <v>184</v>
      </c>
      <c r="N16" s="23" t="s">
        <v>174</v>
      </c>
      <c r="O16" s="23" t="s">
        <v>186</v>
      </c>
    </row>
    <row r="17" ht="46" customHeight="1" spans="1:15">
      <c r="A17" s="12">
        <v>13</v>
      </c>
      <c r="B17" s="12">
        <v>1</v>
      </c>
      <c r="C17" s="12" t="s">
        <v>68</v>
      </c>
      <c r="D17" s="13" t="s">
        <v>187</v>
      </c>
      <c r="E17" s="13" t="s">
        <v>188</v>
      </c>
      <c r="F17" s="13" t="s">
        <v>30</v>
      </c>
      <c r="G17" s="12" t="s">
        <v>30</v>
      </c>
      <c r="H17" s="12" t="s">
        <v>71</v>
      </c>
      <c r="I17" s="12" t="s">
        <v>112</v>
      </c>
      <c r="J17" s="13" t="s">
        <v>189</v>
      </c>
      <c r="K17" s="13" t="s">
        <v>190</v>
      </c>
      <c r="L17" s="13" t="s">
        <v>192</v>
      </c>
      <c r="M17" s="13" t="s">
        <v>172</v>
      </c>
      <c r="N17" s="13" t="s">
        <v>83</v>
      </c>
      <c r="O17" s="13" t="s">
        <v>195</v>
      </c>
    </row>
    <row r="18" ht="40" customHeight="1" spans="1:15">
      <c r="A18" s="20">
        <v>14</v>
      </c>
      <c r="B18" s="20">
        <v>2</v>
      </c>
      <c r="C18" s="20" t="s">
        <v>85</v>
      </c>
      <c r="D18" s="21" t="s">
        <v>196</v>
      </c>
      <c r="E18" s="21" t="s">
        <v>197</v>
      </c>
      <c r="F18" s="21" t="s">
        <v>188</v>
      </c>
      <c r="G18" s="20" t="s">
        <v>30</v>
      </c>
      <c r="H18" s="20" t="s">
        <v>88</v>
      </c>
      <c r="I18" s="20" t="s">
        <v>112</v>
      </c>
      <c r="J18" s="21" t="s">
        <v>189</v>
      </c>
      <c r="K18" s="21" t="s">
        <v>198</v>
      </c>
      <c r="L18" s="21" t="s">
        <v>181</v>
      </c>
      <c r="M18" s="21" t="s">
        <v>184</v>
      </c>
      <c r="N18" s="21" t="s">
        <v>83</v>
      </c>
      <c r="O18" s="21" t="s">
        <v>201</v>
      </c>
    </row>
    <row r="19" ht="46" customHeight="1" spans="1:15">
      <c r="A19" s="14">
        <v>15</v>
      </c>
      <c r="B19" s="14">
        <v>1</v>
      </c>
      <c r="C19" s="14" t="s">
        <v>68</v>
      </c>
      <c r="D19" s="15" t="s">
        <v>202</v>
      </c>
      <c r="E19" s="15" t="s">
        <v>203</v>
      </c>
      <c r="F19" s="15" t="s">
        <v>30</v>
      </c>
      <c r="G19" s="14" t="s">
        <v>30</v>
      </c>
      <c r="H19" s="14" t="s">
        <v>71</v>
      </c>
      <c r="I19" s="14" t="s">
        <v>112</v>
      </c>
      <c r="J19" s="15" t="s">
        <v>166</v>
      </c>
      <c r="K19" s="15" t="s">
        <v>205</v>
      </c>
      <c r="L19" s="15" t="s">
        <v>207</v>
      </c>
      <c r="M19" s="15" t="s">
        <v>172</v>
      </c>
      <c r="N19" s="15" t="s">
        <v>174</v>
      </c>
      <c r="O19" s="15" t="s">
        <v>175</v>
      </c>
    </row>
    <row r="20" ht="40" customHeight="1" spans="1:15">
      <c r="A20" s="22">
        <v>16</v>
      </c>
      <c r="B20" s="22">
        <v>2</v>
      </c>
      <c r="C20" s="22" t="s">
        <v>85</v>
      </c>
      <c r="D20" s="23" t="s">
        <v>210</v>
      </c>
      <c r="E20" s="23" t="s">
        <v>211</v>
      </c>
      <c r="F20" s="23" t="s">
        <v>203</v>
      </c>
      <c r="G20" s="22" t="s">
        <v>30</v>
      </c>
      <c r="H20" s="22" t="s">
        <v>88</v>
      </c>
      <c r="I20" s="22" t="s">
        <v>112</v>
      </c>
      <c r="J20" s="23" t="s">
        <v>166</v>
      </c>
      <c r="K20" s="23" t="s">
        <v>213</v>
      </c>
      <c r="L20" s="23" t="s">
        <v>181</v>
      </c>
      <c r="M20" s="23" t="s">
        <v>184</v>
      </c>
      <c r="N20" s="23" t="s">
        <v>174</v>
      </c>
      <c r="O20" s="23" t="s">
        <v>186</v>
      </c>
    </row>
    <row r="21" ht="46" customHeight="1" spans="1:15">
      <c r="A21" s="12">
        <v>17</v>
      </c>
      <c r="B21" s="12">
        <v>1</v>
      </c>
      <c r="C21" s="12" t="s">
        <v>68</v>
      </c>
      <c r="D21" s="13" t="s">
        <v>216</v>
      </c>
      <c r="E21" s="13" t="s">
        <v>217</v>
      </c>
      <c r="F21" s="13" t="s">
        <v>30</v>
      </c>
      <c r="G21" s="12" t="s">
        <v>30</v>
      </c>
      <c r="H21" s="12" t="s">
        <v>71</v>
      </c>
      <c r="I21" s="12" t="s">
        <v>112</v>
      </c>
      <c r="J21" s="13" t="s">
        <v>219</v>
      </c>
      <c r="K21" s="13" t="s">
        <v>220</v>
      </c>
      <c r="L21" s="13" t="s">
        <v>222</v>
      </c>
      <c r="M21" s="13" t="s">
        <v>225</v>
      </c>
      <c r="N21" s="13" t="s">
        <v>228</v>
      </c>
      <c r="O21" s="13" t="s">
        <v>229</v>
      </c>
    </row>
    <row r="22" ht="40" customHeight="1" spans="1:15">
      <c r="A22" s="20">
        <v>18</v>
      </c>
      <c r="B22" s="20">
        <v>2</v>
      </c>
      <c r="C22" s="20" t="s">
        <v>85</v>
      </c>
      <c r="D22" s="21" t="s">
        <v>230</v>
      </c>
      <c r="E22" s="21" t="s">
        <v>231</v>
      </c>
      <c r="F22" s="21" t="s">
        <v>217</v>
      </c>
      <c r="G22" s="20" t="s">
        <v>30</v>
      </c>
      <c r="H22" s="20" t="s">
        <v>88</v>
      </c>
      <c r="I22" s="20" t="s">
        <v>112</v>
      </c>
      <c r="J22" s="21" t="s">
        <v>233</v>
      </c>
      <c r="K22" s="21" t="s">
        <v>234</v>
      </c>
      <c r="L22" s="21" t="s">
        <v>236</v>
      </c>
      <c r="M22" s="21" t="s">
        <v>238</v>
      </c>
      <c r="N22" s="21" t="s">
        <v>228</v>
      </c>
      <c r="O22" s="21" t="s">
        <v>229</v>
      </c>
    </row>
    <row r="23" ht="46" customHeight="1" spans="1:15">
      <c r="A23" s="12">
        <v>19</v>
      </c>
      <c r="B23" s="12">
        <v>1</v>
      </c>
      <c r="C23" s="12" t="s">
        <v>68</v>
      </c>
      <c r="D23" s="13" t="s">
        <v>240</v>
      </c>
      <c r="E23" s="13" t="s">
        <v>241</v>
      </c>
      <c r="F23" s="13" t="s">
        <v>30</v>
      </c>
      <c r="G23" s="12" t="s">
        <v>30</v>
      </c>
      <c r="H23" s="12" t="s">
        <v>71</v>
      </c>
      <c r="I23" s="12" t="s">
        <v>112</v>
      </c>
      <c r="J23" s="13" t="s">
        <v>243</v>
      </c>
      <c r="K23" s="13" t="s">
        <v>244</v>
      </c>
      <c r="L23" s="13" t="s">
        <v>246</v>
      </c>
      <c r="M23" s="13" t="s">
        <v>247</v>
      </c>
      <c r="N23" s="13" t="s">
        <v>228</v>
      </c>
      <c r="O23" s="13" t="s">
        <v>229</v>
      </c>
    </row>
    <row r="24" ht="40" customHeight="1" spans="1:15">
      <c r="A24" s="20">
        <v>20</v>
      </c>
      <c r="B24" s="20">
        <v>2</v>
      </c>
      <c r="C24" s="20" t="s">
        <v>85</v>
      </c>
      <c r="D24" s="21" t="s">
        <v>249</v>
      </c>
      <c r="E24" s="21" t="s">
        <v>250</v>
      </c>
      <c r="F24" s="21" t="s">
        <v>241</v>
      </c>
      <c r="G24" s="20" t="s">
        <v>30</v>
      </c>
      <c r="H24" s="20" t="s">
        <v>88</v>
      </c>
      <c r="I24" s="20" t="s">
        <v>112</v>
      </c>
      <c r="J24" s="21" t="s">
        <v>252</v>
      </c>
      <c r="K24" s="21" t="s">
        <v>253</v>
      </c>
      <c r="L24" s="21" t="s">
        <v>255</v>
      </c>
      <c r="M24" s="21" t="s">
        <v>256</v>
      </c>
      <c r="N24" s="21" t="s">
        <v>228</v>
      </c>
      <c r="O24" s="21" t="s">
        <v>229</v>
      </c>
    </row>
    <row r="25" ht="46" customHeight="1" spans="1:15">
      <c r="A25" s="12">
        <v>21</v>
      </c>
      <c r="B25" s="12">
        <v>1</v>
      </c>
      <c r="C25" s="12" t="s">
        <v>68</v>
      </c>
      <c r="D25" s="13" t="s">
        <v>258</v>
      </c>
      <c r="E25" s="13" t="s">
        <v>259</v>
      </c>
      <c r="F25" s="13" t="s">
        <v>30</v>
      </c>
      <c r="G25" s="12" t="s">
        <v>30</v>
      </c>
      <c r="H25" s="12" t="s">
        <v>71</v>
      </c>
      <c r="I25" s="12" t="s">
        <v>112</v>
      </c>
      <c r="J25" s="13" t="s">
        <v>261</v>
      </c>
      <c r="K25" s="13" t="s">
        <v>262</v>
      </c>
      <c r="L25" s="13" t="s">
        <v>264</v>
      </c>
      <c r="M25" s="13" t="s">
        <v>265</v>
      </c>
      <c r="N25" s="13" t="s">
        <v>228</v>
      </c>
      <c r="O25" s="13" t="s">
        <v>229</v>
      </c>
    </row>
    <row r="26" ht="40" customHeight="1" spans="1:15">
      <c r="A26" s="20">
        <v>22</v>
      </c>
      <c r="B26" s="20">
        <v>2</v>
      </c>
      <c r="C26" s="20" t="s">
        <v>85</v>
      </c>
      <c r="D26" s="21" t="s">
        <v>267</v>
      </c>
      <c r="E26" s="21" t="s">
        <v>268</v>
      </c>
      <c r="F26" s="21" t="s">
        <v>259</v>
      </c>
      <c r="G26" s="20" t="s">
        <v>30</v>
      </c>
      <c r="H26" s="20" t="s">
        <v>88</v>
      </c>
      <c r="I26" s="20" t="s">
        <v>112</v>
      </c>
      <c r="J26" s="21" t="s">
        <v>270</v>
      </c>
      <c r="K26" s="21" t="s">
        <v>271</v>
      </c>
      <c r="L26" s="21" t="s">
        <v>273</v>
      </c>
      <c r="M26" s="21" t="s">
        <v>274</v>
      </c>
      <c r="N26" s="21" t="s">
        <v>228</v>
      </c>
      <c r="O26" s="21" t="s">
        <v>229</v>
      </c>
    </row>
    <row r="27" ht="46" customHeight="1" spans="1:15">
      <c r="A27" s="12">
        <v>23</v>
      </c>
      <c r="B27" s="12">
        <v>1</v>
      </c>
      <c r="C27" s="12" t="s">
        <v>276</v>
      </c>
      <c r="D27" s="13" t="s">
        <v>277</v>
      </c>
      <c r="E27" s="13" t="s">
        <v>278</v>
      </c>
      <c r="F27" s="13" t="s">
        <v>30</v>
      </c>
      <c r="G27" s="12" t="s">
        <v>30</v>
      </c>
      <c r="H27" s="12" t="s">
        <v>279</v>
      </c>
      <c r="I27" s="12" t="s">
        <v>112</v>
      </c>
      <c r="J27" s="13" t="s">
        <v>280</v>
      </c>
      <c r="K27" s="13" t="s">
        <v>281</v>
      </c>
      <c r="L27" s="13" t="s">
        <v>283</v>
      </c>
      <c r="M27" s="13" t="s">
        <v>286</v>
      </c>
      <c r="N27" s="13" t="s">
        <v>83</v>
      </c>
      <c r="O27" s="13" t="s">
        <v>288</v>
      </c>
    </row>
    <row r="28" ht="46" customHeight="1" spans="1:15">
      <c r="A28" s="12">
        <v>24</v>
      </c>
      <c r="B28" s="12">
        <v>1</v>
      </c>
      <c r="C28" s="12" t="s">
        <v>276</v>
      </c>
      <c r="D28" s="13" t="s">
        <v>289</v>
      </c>
      <c r="E28" s="13" t="s">
        <v>290</v>
      </c>
      <c r="F28" s="13" t="s">
        <v>30</v>
      </c>
      <c r="G28" s="12" t="s">
        <v>30</v>
      </c>
      <c r="H28" s="12" t="s">
        <v>279</v>
      </c>
      <c r="I28" s="12" t="s">
        <v>112</v>
      </c>
      <c r="J28" s="13" t="s">
        <v>291</v>
      </c>
      <c r="K28" s="13" t="s">
        <v>292</v>
      </c>
      <c r="L28" s="13" t="s">
        <v>294</v>
      </c>
      <c r="M28" s="13" t="s">
        <v>297</v>
      </c>
      <c r="N28" s="13" t="s">
        <v>300</v>
      </c>
      <c r="O28" s="13" t="s">
        <v>301</v>
      </c>
    </row>
    <row r="29" ht="46" customHeight="1" spans="1:15">
      <c r="A29" s="12">
        <v>25</v>
      </c>
      <c r="B29" s="12">
        <v>1</v>
      </c>
      <c r="C29" s="12" t="s">
        <v>276</v>
      </c>
      <c r="D29" s="13" t="s">
        <v>302</v>
      </c>
      <c r="E29" s="13" t="s">
        <v>303</v>
      </c>
      <c r="F29" s="13" t="s">
        <v>30</v>
      </c>
      <c r="G29" s="12" t="s">
        <v>30</v>
      </c>
      <c r="H29" s="12" t="s">
        <v>279</v>
      </c>
      <c r="I29" s="12" t="s">
        <v>112</v>
      </c>
      <c r="J29" s="13" t="s">
        <v>304</v>
      </c>
      <c r="K29" s="13" t="s">
        <v>305</v>
      </c>
      <c r="L29" s="13" t="s">
        <v>307</v>
      </c>
      <c r="M29" s="13" t="s">
        <v>310</v>
      </c>
      <c r="N29" s="13" t="s">
        <v>300</v>
      </c>
      <c r="O29" s="13" t="s">
        <v>301</v>
      </c>
    </row>
  </sheetData>
  <mergeCells count="2">
    <mergeCell ref="A1:O1"/>
    <mergeCell ref="A2:O2"/>
  </mergeCells>
  <conditionalFormatting sqref="I5:I29">
    <cfRule type="containsText" dxfId="0" priority="1" operator="between" text="P0">
      <formula>NOT(ISERROR(SEARCH("P0",I5)))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2"/>
  <sheetViews>
    <sheetView showGridLines="0" workbookViewId="0">
      <selection activeCell="A1" sqref="A1:O1"/>
    </sheetView>
  </sheetViews>
  <sheetFormatPr defaultColWidth="9" defaultRowHeight="14"/>
  <cols>
    <col min="1" max="1" width="8" customWidth="1"/>
    <col min="2" max="2" width="7" customWidth="1"/>
    <col min="3" max="3" width="18" customWidth="1"/>
    <col min="4" max="4" width="30" customWidth="1"/>
    <col min="5" max="6" width="43" customWidth="1"/>
    <col min="7" max="7" width="18" customWidth="1"/>
    <col min="8" max="8" width="12" customWidth="1"/>
    <col min="9" max="9" width="9" customWidth="1"/>
    <col min="10" max="10" width="28" customWidth="1"/>
    <col min="11" max="11" width="45" customWidth="1"/>
    <col min="12" max="12" width="38" customWidth="1"/>
    <col min="13" max="13" width="48" customWidth="1"/>
    <col min="14" max="14" width="26" customWidth="1"/>
    <col min="15" max="15" width="38" customWidth="1"/>
  </cols>
  <sheetData>
    <row r="1" ht="38" customHeight="1" spans="1:15">
      <c r="A1" s="10" t="s">
        <v>1882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>
      <c r="A2" s="11" t="s">
        <v>1883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3" ht="14.75"/>
    <row r="4" ht="34" customHeight="1" spans="1:15">
      <c r="A4" s="1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55</v>
      </c>
      <c r="K4" s="2" t="s">
        <v>56</v>
      </c>
      <c r="L4" s="2" t="s">
        <v>58</v>
      </c>
      <c r="M4" s="2" t="s">
        <v>61</v>
      </c>
      <c r="N4" s="2" t="s">
        <v>64</v>
      </c>
      <c r="O4" s="3" t="s">
        <v>65</v>
      </c>
    </row>
    <row r="5" ht="46" customHeight="1" spans="1:15">
      <c r="A5" s="12">
        <v>1</v>
      </c>
      <c r="B5" s="12">
        <v>1</v>
      </c>
      <c r="C5" s="12" t="s">
        <v>312</v>
      </c>
      <c r="D5" s="13" t="s">
        <v>313</v>
      </c>
      <c r="E5" s="13" t="s">
        <v>314</v>
      </c>
      <c r="F5" s="13" t="s">
        <v>30</v>
      </c>
      <c r="G5" s="12" t="s">
        <v>30</v>
      </c>
      <c r="H5" s="12" t="s">
        <v>315</v>
      </c>
      <c r="I5" s="12" t="s">
        <v>72</v>
      </c>
      <c r="J5" s="13" t="s">
        <v>316</v>
      </c>
      <c r="K5" s="13" t="s">
        <v>317</v>
      </c>
      <c r="L5" s="13" t="s">
        <v>319</v>
      </c>
      <c r="M5" s="13" t="s">
        <v>321</v>
      </c>
      <c r="N5" s="13" t="s">
        <v>83</v>
      </c>
      <c r="O5" s="13" t="s">
        <v>322</v>
      </c>
    </row>
    <row r="6" ht="46" customHeight="1" spans="1:15">
      <c r="A6" s="16">
        <v>2</v>
      </c>
      <c r="B6" s="16">
        <v>2</v>
      </c>
      <c r="C6" s="16" t="s">
        <v>323</v>
      </c>
      <c r="D6" s="17" t="s">
        <v>324</v>
      </c>
      <c r="E6" s="17" t="s">
        <v>325</v>
      </c>
      <c r="F6" s="17" t="s">
        <v>314</v>
      </c>
      <c r="G6" s="16" t="s">
        <v>326</v>
      </c>
      <c r="H6" s="16" t="s">
        <v>327</v>
      </c>
      <c r="I6" s="16" t="s">
        <v>72</v>
      </c>
      <c r="J6" s="17" t="s">
        <v>316</v>
      </c>
      <c r="K6" s="17" t="s">
        <v>329</v>
      </c>
      <c r="L6" s="17" t="s">
        <v>326</v>
      </c>
      <c r="M6" s="17" t="s">
        <v>331</v>
      </c>
      <c r="N6" s="17" t="s">
        <v>333</v>
      </c>
      <c r="O6" s="17" t="s">
        <v>334</v>
      </c>
    </row>
    <row r="7" ht="36" customHeight="1" spans="1:15">
      <c r="A7" s="18">
        <v>3</v>
      </c>
      <c r="B7" s="18">
        <v>3</v>
      </c>
      <c r="C7" s="18" t="s">
        <v>335</v>
      </c>
      <c r="D7" s="19" t="s">
        <v>336</v>
      </c>
      <c r="E7" s="19" t="s">
        <v>337</v>
      </c>
      <c r="F7" s="19" t="s">
        <v>325</v>
      </c>
      <c r="G7" s="18" t="s">
        <v>338</v>
      </c>
      <c r="H7" s="18" t="s">
        <v>327</v>
      </c>
      <c r="I7" s="18" t="s">
        <v>72</v>
      </c>
      <c r="J7" s="19" t="s">
        <v>316</v>
      </c>
      <c r="K7" s="19" t="s">
        <v>339</v>
      </c>
      <c r="L7" s="19" t="s">
        <v>338</v>
      </c>
      <c r="M7" s="19" t="s">
        <v>341</v>
      </c>
      <c r="N7" s="19" t="s">
        <v>333</v>
      </c>
      <c r="O7" s="19" t="s">
        <v>342</v>
      </c>
    </row>
    <row r="8" ht="36" customHeight="1" spans="1:15">
      <c r="A8" s="18">
        <v>4</v>
      </c>
      <c r="B8" s="18">
        <v>3</v>
      </c>
      <c r="C8" s="18" t="s">
        <v>335</v>
      </c>
      <c r="D8" s="19" t="s">
        <v>343</v>
      </c>
      <c r="E8" s="19" t="s">
        <v>344</v>
      </c>
      <c r="F8" s="19" t="s">
        <v>325</v>
      </c>
      <c r="G8" s="18" t="s">
        <v>345</v>
      </c>
      <c r="H8" s="18" t="s">
        <v>327</v>
      </c>
      <c r="I8" s="18" t="s">
        <v>72</v>
      </c>
      <c r="J8" s="19" t="s">
        <v>316</v>
      </c>
      <c r="K8" s="19" t="s">
        <v>346</v>
      </c>
      <c r="L8" s="19" t="s">
        <v>345</v>
      </c>
      <c r="M8" s="19" t="s">
        <v>341</v>
      </c>
      <c r="N8" s="19" t="s">
        <v>333</v>
      </c>
      <c r="O8" s="19" t="s">
        <v>342</v>
      </c>
    </row>
    <row r="9" ht="46" customHeight="1" spans="1:15">
      <c r="A9" s="12">
        <v>5</v>
      </c>
      <c r="B9" s="12">
        <v>1</v>
      </c>
      <c r="C9" s="12" t="s">
        <v>312</v>
      </c>
      <c r="D9" s="13" t="s">
        <v>347</v>
      </c>
      <c r="E9" s="13" t="s">
        <v>348</v>
      </c>
      <c r="F9" s="13" t="s">
        <v>30</v>
      </c>
      <c r="G9" s="12" t="s">
        <v>30</v>
      </c>
      <c r="H9" s="12" t="s">
        <v>315</v>
      </c>
      <c r="I9" s="12" t="s">
        <v>72</v>
      </c>
      <c r="J9" s="13" t="s">
        <v>349</v>
      </c>
      <c r="K9" s="13" t="s">
        <v>350</v>
      </c>
      <c r="L9" s="13" t="s">
        <v>352</v>
      </c>
      <c r="M9" s="13" t="s">
        <v>355</v>
      </c>
      <c r="N9" s="13" t="s">
        <v>300</v>
      </c>
      <c r="O9" s="13" t="s">
        <v>301</v>
      </c>
    </row>
    <row r="10" ht="46" customHeight="1" spans="1:15">
      <c r="A10" s="16">
        <v>6</v>
      </c>
      <c r="B10" s="16">
        <v>2</v>
      </c>
      <c r="C10" s="16" t="s">
        <v>323</v>
      </c>
      <c r="D10" s="17" t="s">
        <v>357</v>
      </c>
      <c r="E10" s="17" t="s">
        <v>358</v>
      </c>
      <c r="F10" s="17" t="s">
        <v>348</v>
      </c>
      <c r="G10" s="16" t="s">
        <v>326</v>
      </c>
      <c r="H10" s="16" t="s">
        <v>327</v>
      </c>
      <c r="I10" s="16" t="s">
        <v>72</v>
      </c>
      <c r="J10" s="17" t="s">
        <v>349</v>
      </c>
      <c r="K10" s="17" t="s">
        <v>329</v>
      </c>
      <c r="L10" s="17" t="s">
        <v>326</v>
      </c>
      <c r="M10" s="17" t="s">
        <v>331</v>
      </c>
      <c r="N10" s="17" t="s">
        <v>333</v>
      </c>
      <c r="O10" s="17" t="s">
        <v>334</v>
      </c>
    </row>
    <row r="11" ht="36" customHeight="1" spans="1:15">
      <c r="A11" s="18">
        <v>7</v>
      </c>
      <c r="B11" s="18">
        <v>3</v>
      </c>
      <c r="C11" s="18" t="s">
        <v>335</v>
      </c>
      <c r="D11" s="19" t="s">
        <v>359</v>
      </c>
      <c r="E11" s="19" t="s">
        <v>360</v>
      </c>
      <c r="F11" s="19" t="s">
        <v>358</v>
      </c>
      <c r="G11" s="18" t="s">
        <v>361</v>
      </c>
      <c r="H11" s="18" t="s">
        <v>327</v>
      </c>
      <c r="I11" s="18" t="s">
        <v>72</v>
      </c>
      <c r="J11" s="19" t="s">
        <v>349</v>
      </c>
      <c r="K11" s="19" t="s">
        <v>362</v>
      </c>
      <c r="L11" s="19" t="s">
        <v>361</v>
      </c>
      <c r="M11" s="19" t="s">
        <v>341</v>
      </c>
      <c r="N11" s="19" t="s">
        <v>333</v>
      </c>
      <c r="O11" s="19" t="s">
        <v>342</v>
      </c>
    </row>
    <row r="12" ht="36" customHeight="1" spans="1:15">
      <c r="A12" s="18">
        <v>8</v>
      </c>
      <c r="B12" s="18">
        <v>3</v>
      </c>
      <c r="C12" s="18" t="s">
        <v>335</v>
      </c>
      <c r="D12" s="19" t="s">
        <v>364</v>
      </c>
      <c r="E12" s="19" t="s">
        <v>365</v>
      </c>
      <c r="F12" s="19" t="s">
        <v>358</v>
      </c>
      <c r="G12" s="18" t="s">
        <v>366</v>
      </c>
      <c r="H12" s="18" t="s">
        <v>327</v>
      </c>
      <c r="I12" s="18" t="s">
        <v>72</v>
      </c>
      <c r="J12" s="19" t="s">
        <v>349</v>
      </c>
      <c r="K12" s="19" t="s">
        <v>367</v>
      </c>
      <c r="L12" s="19" t="s">
        <v>366</v>
      </c>
      <c r="M12" s="19" t="s">
        <v>341</v>
      </c>
      <c r="N12" s="19" t="s">
        <v>333</v>
      </c>
      <c r="O12" s="19" t="s">
        <v>342</v>
      </c>
    </row>
    <row r="13" ht="46" customHeight="1" spans="1:15">
      <c r="A13" s="12">
        <v>9</v>
      </c>
      <c r="B13" s="12">
        <v>1</v>
      </c>
      <c r="C13" s="12" t="s">
        <v>312</v>
      </c>
      <c r="D13" s="13" t="s">
        <v>368</v>
      </c>
      <c r="E13" s="13" t="s">
        <v>369</v>
      </c>
      <c r="F13" s="13" t="s">
        <v>30</v>
      </c>
      <c r="G13" s="12" t="s">
        <v>30</v>
      </c>
      <c r="H13" s="12" t="s">
        <v>315</v>
      </c>
      <c r="I13" s="12" t="s">
        <v>72</v>
      </c>
      <c r="J13" s="13" t="s">
        <v>370</v>
      </c>
      <c r="K13" s="13" t="s">
        <v>371</v>
      </c>
      <c r="L13" s="13" t="s">
        <v>373</v>
      </c>
      <c r="M13" s="13" t="s">
        <v>376</v>
      </c>
      <c r="N13" s="13" t="s">
        <v>83</v>
      </c>
      <c r="O13" s="13" t="s">
        <v>378</v>
      </c>
    </row>
    <row r="14" ht="46" customHeight="1" spans="1:15">
      <c r="A14" s="16">
        <v>10</v>
      </c>
      <c r="B14" s="16">
        <v>2</v>
      </c>
      <c r="C14" s="16" t="s">
        <v>323</v>
      </c>
      <c r="D14" s="17" t="s">
        <v>379</v>
      </c>
      <c r="E14" s="17" t="s">
        <v>380</v>
      </c>
      <c r="F14" s="17" t="s">
        <v>369</v>
      </c>
      <c r="G14" s="16" t="s">
        <v>326</v>
      </c>
      <c r="H14" s="16" t="s">
        <v>327</v>
      </c>
      <c r="I14" s="16" t="s">
        <v>72</v>
      </c>
      <c r="J14" s="17" t="s">
        <v>370</v>
      </c>
      <c r="K14" s="17" t="s">
        <v>329</v>
      </c>
      <c r="L14" s="17" t="s">
        <v>326</v>
      </c>
      <c r="M14" s="17" t="s">
        <v>331</v>
      </c>
      <c r="N14" s="17" t="s">
        <v>381</v>
      </c>
      <c r="O14" s="17" t="s">
        <v>334</v>
      </c>
    </row>
    <row r="15" ht="36" customHeight="1" spans="1:15">
      <c r="A15" s="18">
        <v>11</v>
      </c>
      <c r="B15" s="18">
        <v>3</v>
      </c>
      <c r="C15" s="18" t="s">
        <v>335</v>
      </c>
      <c r="D15" s="19" t="s">
        <v>382</v>
      </c>
      <c r="E15" s="19" t="s">
        <v>383</v>
      </c>
      <c r="F15" s="19" t="s">
        <v>380</v>
      </c>
      <c r="G15" s="18" t="s">
        <v>384</v>
      </c>
      <c r="H15" s="18" t="s">
        <v>327</v>
      </c>
      <c r="I15" s="18" t="s">
        <v>72</v>
      </c>
      <c r="J15" s="19" t="s">
        <v>370</v>
      </c>
      <c r="K15" s="19" t="s">
        <v>385</v>
      </c>
      <c r="L15" s="19" t="s">
        <v>384</v>
      </c>
      <c r="M15" s="19" t="s">
        <v>341</v>
      </c>
      <c r="N15" s="19" t="s">
        <v>381</v>
      </c>
      <c r="O15" s="19" t="s">
        <v>342</v>
      </c>
    </row>
    <row r="16" ht="36" customHeight="1" spans="1:15">
      <c r="A16" s="18">
        <v>12</v>
      </c>
      <c r="B16" s="18">
        <v>3</v>
      </c>
      <c r="C16" s="18" t="s">
        <v>335</v>
      </c>
      <c r="D16" s="19" t="s">
        <v>387</v>
      </c>
      <c r="E16" s="19" t="s">
        <v>388</v>
      </c>
      <c r="F16" s="19" t="s">
        <v>380</v>
      </c>
      <c r="G16" s="18" t="s">
        <v>389</v>
      </c>
      <c r="H16" s="18" t="s">
        <v>327</v>
      </c>
      <c r="I16" s="18" t="s">
        <v>72</v>
      </c>
      <c r="J16" s="19" t="s">
        <v>370</v>
      </c>
      <c r="K16" s="19" t="s">
        <v>390</v>
      </c>
      <c r="L16" s="19" t="s">
        <v>389</v>
      </c>
      <c r="M16" s="19" t="s">
        <v>341</v>
      </c>
      <c r="N16" s="19" t="s">
        <v>381</v>
      </c>
      <c r="O16" s="19" t="s">
        <v>342</v>
      </c>
    </row>
    <row r="17" ht="36" customHeight="1" spans="1:15">
      <c r="A17" s="18">
        <v>13</v>
      </c>
      <c r="B17" s="18">
        <v>3</v>
      </c>
      <c r="C17" s="18" t="s">
        <v>335</v>
      </c>
      <c r="D17" s="19" t="s">
        <v>391</v>
      </c>
      <c r="E17" s="19" t="s">
        <v>392</v>
      </c>
      <c r="F17" s="19" t="s">
        <v>380</v>
      </c>
      <c r="G17" s="18" t="s">
        <v>393</v>
      </c>
      <c r="H17" s="18" t="s">
        <v>327</v>
      </c>
      <c r="I17" s="18" t="s">
        <v>72</v>
      </c>
      <c r="J17" s="19" t="s">
        <v>370</v>
      </c>
      <c r="K17" s="19" t="s">
        <v>394</v>
      </c>
      <c r="L17" s="19" t="s">
        <v>393</v>
      </c>
      <c r="M17" s="19" t="s">
        <v>341</v>
      </c>
      <c r="N17" s="19" t="s">
        <v>381</v>
      </c>
      <c r="O17" s="19" t="s">
        <v>342</v>
      </c>
    </row>
    <row r="18" ht="46" customHeight="1" spans="1:15">
      <c r="A18" s="12">
        <v>14</v>
      </c>
      <c r="B18" s="12">
        <v>1</v>
      </c>
      <c r="C18" s="12" t="s">
        <v>312</v>
      </c>
      <c r="D18" s="13" t="s">
        <v>395</v>
      </c>
      <c r="E18" s="13" t="s">
        <v>396</v>
      </c>
      <c r="F18" s="13" t="s">
        <v>30</v>
      </c>
      <c r="G18" s="12" t="s">
        <v>30</v>
      </c>
      <c r="H18" s="12" t="s">
        <v>315</v>
      </c>
      <c r="I18" s="12" t="s">
        <v>72</v>
      </c>
      <c r="J18" s="13" t="s">
        <v>397</v>
      </c>
      <c r="K18" s="13" t="s">
        <v>398</v>
      </c>
      <c r="L18" s="13" t="s">
        <v>400</v>
      </c>
      <c r="M18" s="13" t="s">
        <v>403</v>
      </c>
      <c r="N18" s="13" t="s">
        <v>83</v>
      </c>
      <c r="O18" s="13" t="s">
        <v>406</v>
      </c>
    </row>
    <row r="19" ht="46" customHeight="1" spans="1:15">
      <c r="A19" s="16">
        <v>15</v>
      </c>
      <c r="B19" s="16">
        <v>2</v>
      </c>
      <c r="C19" s="16" t="s">
        <v>323</v>
      </c>
      <c r="D19" s="17" t="s">
        <v>407</v>
      </c>
      <c r="E19" s="17" t="s">
        <v>408</v>
      </c>
      <c r="F19" s="17" t="s">
        <v>396</v>
      </c>
      <c r="G19" s="16" t="s">
        <v>326</v>
      </c>
      <c r="H19" s="16" t="s">
        <v>327</v>
      </c>
      <c r="I19" s="16" t="s">
        <v>72</v>
      </c>
      <c r="J19" s="17" t="s">
        <v>397</v>
      </c>
      <c r="K19" s="17" t="s">
        <v>329</v>
      </c>
      <c r="L19" s="17" t="s">
        <v>326</v>
      </c>
      <c r="M19" s="17" t="s">
        <v>331</v>
      </c>
      <c r="N19" s="17" t="s">
        <v>409</v>
      </c>
      <c r="O19" s="17" t="s">
        <v>334</v>
      </c>
    </row>
    <row r="20" ht="36" customHeight="1" spans="1:15">
      <c r="A20" s="18">
        <v>16</v>
      </c>
      <c r="B20" s="18">
        <v>3</v>
      </c>
      <c r="C20" s="18" t="s">
        <v>335</v>
      </c>
      <c r="D20" s="19" t="s">
        <v>410</v>
      </c>
      <c r="E20" s="19" t="s">
        <v>411</v>
      </c>
      <c r="F20" s="19" t="s">
        <v>408</v>
      </c>
      <c r="G20" s="18" t="s">
        <v>412</v>
      </c>
      <c r="H20" s="18" t="s">
        <v>327</v>
      </c>
      <c r="I20" s="18" t="s">
        <v>72</v>
      </c>
      <c r="J20" s="19" t="s">
        <v>397</v>
      </c>
      <c r="K20" s="19" t="s">
        <v>413</v>
      </c>
      <c r="L20" s="19" t="s">
        <v>412</v>
      </c>
      <c r="M20" s="19" t="s">
        <v>341</v>
      </c>
      <c r="N20" s="19" t="s">
        <v>409</v>
      </c>
      <c r="O20" s="19" t="s">
        <v>342</v>
      </c>
    </row>
    <row r="21" ht="36" customHeight="1" spans="1:15">
      <c r="A21" s="18">
        <v>17</v>
      </c>
      <c r="B21" s="18">
        <v>3</v>
      </c>
      <c r="C21" s="18" t="s">
        <v>335</v>
      </c>
      <c r="D21" s="19" t="s">
        <v>415</v>
      </c>
      <c r="E21" s="19" t="s">
        <v>416</v>
      </c>
      <c r="F21" s="19" t="s">
        <v>408</v>
      </c>
      <c r="G21" s="18" t="s">
        <v>417</v>
      </c>
      <c r="H21" s="18" t="s">
        <v>327</v>
      </c>
      <c r="I21" s="18" t="s">
        <v>72</v>
      </c>
      <c r="J21" s="19" t="s">
        <v>397</v>
      </c>
      <c r="K21" s="19" t="s">
        <v>418</v>
      </c>
      <c r="L21" s="19" t="s">
        <v>417</v>
      </c>
      <c r="M21" s="19" t="s">
        <v>341</v>
      </c>
      <c r="N21" s="19" t="s">
        <v>409</v>
      </c>
      <c r="O21" s="19" t="s">
        <v>342</v>
      </c>
    </row>
    <row r="22" ht="36" customHeight="1" spans="1:15">
      <c r="A22" s="18">
        <v>18</v>
      </c>
      <c r="B22" s="18">
        <v>3</v>
      </c>
      <c r="C22" s="18" t="s">
        <v>335</v>
      </c>
      <c r="D22" s="19" t="s">
        <v>419</v>
      </c>
      <c r="E22" s="19" t="s">
        <v>420</v>
      </c>
      <c r="F22" s="19" t="s">
        <v>408</v>
      </c>
      <c r="G22" s="18" t="s">
        <v>421</v>
      </c>
      <c r="H22" s="18" t="s">
        <v>327</v>
      </c>
      <c r="I22" s="18" t="s">
        <v>72</v>
      </c>
      <c r="J22" s="19" t="s">
        <v>397</v>
      </c>
      <c r="K22" s="19" t="s">
        <v>422</v>
      </c>
      <c r="L22" s="19" t="s">
        <v>421</v>
      </c>
      <c r="M22" s="19" t="s">
        <v>341</v>
      </c>
      <c r="N22" s="19" t="s">
        <v>409</v>
      </c>
      <c r="O22" s="19" t="s">
        <v>342</v>
      </c>
    </row>
    <row r="23" ht="36" customHeight="1" spans="1:15">
      <c r="A23" s="18">
        <v>19</v>
      </c>
      <c r="B23" s="18">
        <v>3</v>
      </c>
      <c r="C23" s="18" t="s">
        <v>335</v>
      </c>
      <c r="D23" s="19" t="s">
        <v>423</v>
      </c>
      <c r="E23" s="19" t="s">
        <v>424</v>
      </c>
      <c r="F23" s="19" t="s">
        <v>408</v>
      </c>
      <c r="G23" s="18" t="s">
        <v>425</v>
      </c>
      <c r="H23" s="18" t="s">
        <v>327</v>
      </c>
      <c r="I23" s="18" t="s">
        <v>72</v>
      </c>
      <c r="J23" s="19" t="s">
        <v>397</v>
      </c>
      <c r="K23" s="19" t="s">
        <v>426</v>
      </c>
      <c r="L23" s="19" t="s">
        <v>425</v>
      </c>
      <c r="M23" s="19" t="s">
        <v>341</v>
      </c>
      <c r="N23" s="19" t="s">
        <v>409</v>
      </c>
      <c r="O23" s="19" t="s">
        <v>342</v>
      </c>
    </row>
    <row r="24" ht="36" customHeight="1" spans="1:15">
      <c r="A24" s="18">
        <v>20</v>
      </c>
      <c r="B24" s="18">
        <v>3</v>
      </c>
      <c r="C24" s="18" t="s">
        <v>335</v>
      </c>
      <c r="D24" s="19" t="s">
        <v>427</v>
      </c>
      <c r="E24" s="19" t="s">
        <v>428</v>
      </c>
      <c r="F24" s="19" t="s">
        <v>408</v>
      </c>
      <c r="G24" s="18" t="s">
        <v>429</v>
      </c>
      <c r="H24" s="18" t="s">
        <v>327</v>
      </c>
      <c r="I24" s="18" t="s">
        <v>72</v>
      </c>
      <c r="J24" s="19" t="s">
        <v>397</v>
      </c>
      <c r="K24" s="19" t="s">
        <v>430</v>
      </c>
      <c r="L24" s="19" t="s">
        <v>429</v>
      </c>
      <c r="M24" s="19" t="s">
        <v>341</v>
      </c>
      <c r="N24" s="19" t="s">
        <v>409</v>
      </c>
      <c r="O24" s="19" t="s">
        <v>342</v>
      </c>
    </row>
    <row r="25" ht="46" customHeight="1" spans="1:15">
      <c r="A25" s="12">
        <v>21</v>
      </c>
      <c r="B25" s="12">
        <v>1</v>
      </c>
      <c r="C25" s="12" t="s">
        <v>312</v>
      </c>
      <c r="D25" s="13" t="s">
        <v>431</v>
      </c>
      <c r="E25" s="13" t="s">
        <v>432</v>
      </c>
      <c r="F25" s="13" t="s">
        <v>30</v>
      </c>
      <c r="G25" s="12" t="s">
        <v>30</v>
      </c>
      <c r="H25" s="12" t="s">
        <v>315</v>
      </c>
      <c r="I25" s="12" t="s">
        <v>72</v>
      </c>
      <c r="J25" s="13" t="s">
        <v>280</v>
      </c>
      <c r="K25" s="13" t="s">
        <v>433</v>
      </c>
      <c r="L25" s="13" t="s">
        <v>435</v>
      </c>
      <c r="M25" s="13" t="s">
        <v>438</v>
      </c>
      <c r="N25" s="13" t="s">
        <v>300</v>
      </c>
      <c r="O25" s="13" t="s">
        <v>301</v>
      </c>
    </row>
    <row r="26" ht="46" customHeight="1" spans="1:15">
      <c r="A26" s="16">
        <v>22</v>
      </c>
      <c r="B26" s="16">
        <v>2</v>
      </c>
      <c r="C26" s="16" t="s">
        <v>323</v>
      </c>
      <c r="D26" s="17" t="s">
        <v>440</v>
      </c>
      <c r="E26" s="17" t="s">
        <v>441</v>
      </c>
      <c r="F26" s="17" t="s">
        <v>432</v>
      </c>
      <c r="G26" s="16" t="s">
        <v>326</v>
      </c>
      <c r="H26" s="16" t="s">
        <v>327</v>
      </c>
      <c r="I26" s="16" t="s">
        <v>72</v>
      </c>
      <c r="J26" s="17" t="s">
        <v>280</v>
      </c>
      <c r="K26" s="17" t="s">
        <v>329</v>
      </c>
      <c r="L26" s="17" t="s">
        <v>326</v>
      </c>
      <c r="M26" s="17" t="s">
        <v>331</v>
      </c>
      <c r="N26" s="17" t="s">
        <v>381</v>
      </c>
      <c r="O26" s="17" t="s">
        <v>334</v>
      </c>
    </row>
    <row r="27" ht="36" customHeight="1" spans="1:15">
      <c r="A27" s="18">
        <v>23</v>
      </c>
      <c r="B27" s="18">
        <v>3</v>
      </c>
      <c r="C27" s="18" t="s">
        <v>335</v>
      </c>
      <c r="D27" s="19" t="s">
        <v>442</v>
      </c>
      <c r="E27" s="19" t="s">
        <v>443</v>
      </c>
      <c r="F27" s="19" t="s">
        <v>441</v>
      </c>
      <c r="G27" s="18" t="s">
        <v>444</v>
      </c>
      <c r="H27" s="18" t="s">
        <v>327</v>
      </c>
      <c r="I27" s="18" t="s">
        <v>72</v>
      </c>
      <c r="J27" s="19" t="s">
        <v>280</v>
      </c>
      <c r="K27" s="19" t="s">
        <v>445</v>
      </c>
      <c r="L27" s="19" t="s">
        <v>444</v>
      </c>
      <c r="M27" s="19" t="s">
        <v>341</v>
      </c>
      <c r="N27" s="19" t="s">
        <v>381</v>
      </c>
      <c r="O27" s="19" t="s">
        <v>342</v>
      </c>
    </row>
    <row r="28" ht="36" customHeight="1" spans="1:15">
      <c r="A28" s="18">
        <v>24</v>
      </c>
      <c r="B28" s="18">
        <v>3</v>
      </c>
      <c r="C28" s="18" t="s">
        <v>335</v>
      </c>
      <c r="D28" s="19" t="s">
        <v>447</v>
      </c>
      <c r="E28" s="19" t="s">
        <v>448</v>
      </c>
      <c r="F28" s="19" t="s">
        <v>441</v>
      </c>
      <c r="G28" s="18" t="s">
        <v>449</v>
      </c>
      <c r="H28" s="18" t="s">
        <v>327</v>
      </c>
      <c r="I28" s="18" t="s">
        <v>72</v>
      </c>
      <c r="J28" s="19" t="s">
        <v>280</v>
      </c>
      <c r="K28" s="19" t="s">
        <v>450</v>
      </c>
      <c r="L28" s="19" t="s">
        <v>449</v>
      </c>
      <c r="M28" s="19" t="s">
        <v>341</v>
      </c>
      <c r="N28" s="19" t="s">
        <v>381</v>
      </c>
      <c r="O28" s="19" t="s">
        <v>342</v>
      </c>
    </row>
    <row r="29" ht="36" customHeight="1" spans="1:15">
      <c r="A29" s="18">
        <v>25</v>
      </c>
      <c r="B29" s="18">
        <v>3</v>
      </c>
      <c r="C29" s="18" t="s">
        <v>335</v>
      </c>
      <c r="D29" s="19" t="s">
        <v>451</v>
      </c>
      <c r="E29" s="19" t="s">
        <v>452</v>
      </c>
      <c r="F29" s="19" t="s">
        <v>441</v>
      </c>
      <c r="G29" s="18" t="s">
        <v>453</v>
      </c>
      <c r="H29" s="18" t="s">
        <v>327</v>
      </c>
      <c r="I29" s="18" t="s">
        <v>72</v>
      </c>
      <c r="J29" s="19" t="s">
        <v>280</v>
      </c>
      <c r="K29" s="19" t="s">
        <v>454</v>
      </c>
      <c r="L29" s="19" t="s">
        <v>453</v>
      </c>
      <c r="M29" s="19" t="s">
        <v>341</v>
      </c>
      <c r="N29" s="19" t="s">
        <v>381</v>
      </c>
      <c r="O29" s="19" t="s">
        <v>342</v>
      </c>
    </row>
    <row r="30" ht="46" customHeight="1" spans="1:15">
      <c r="A30" s="12">
        <v>26</v>
      </c>
      <c r="B30" s="12">
        <v>1</v>
      </c>
      <c r="C30" s="12" t="s">
        <v>312</v>
      </c>
      <c r="D30" s="13" t="s">
        <v>455</v>
      </c>
      <c r="E30" s="13" t="s">
        <v>456</v>
      </c>
      <c r="F30" s="13" t="s">
        <v>30</v>
      </c>
      <c r="G30" s="12" t="s">
        <v>30</v>
      </c>
      <c r="H30" s="12" t="s">
        <v>315</v>
      </c>
      <c r="I30" s="12" t="s">
        <v>112</v>
      </c>
      <c r="J30" s="13" t="s">
        <v>457</v>
      </c>
      <c r="K30" s="13" t="s">
        <v>458</v>
      </c>
      <c r="L30" s="13" t="s">
        <v>460</v>
      </c>
      <c r="M30" s="13" t="s">
        <v>463</v>
      </c>
      <c r="N30" s="13" t="s">
        <v>300</v>
      </c>
      <c r="O30" s="13" t="s">
        <v>301</v>
      </c>
    </row>
    <row r="31" ht="46" customHeight="1" spans="1:15">
      <c r="A31" s="16">
        <v>27</v>
      </c>
      <c r="B31" s="16">
        <v>2</v>
      </c>
      <c r="C31" s="16" t="s">
        <v>323</v>
      </c>
      <c r="D31" s="17" t="s">
        <v>465</v>
      </c>
      <c r="E31" s="17" t="s">
        <v>466</v>
      </c>
      <c r="F31" s="17" t="s">
        <v>456</v>
      </c>
      <c r="G31" s="16" t="s">
        <v>326</v>
      </c>
      <c r="H31" s="16" t="s">
        <v>327</v>
      </c>
      <c r="I31" s="16" t="s">
        <v>112</v>
      </c>
      <c r="J31" s="17" t="s">
        <v>457</v>
      </c>
      <c r="K31" s="17" t="s">
        <v>329</v>
      </c>
      <c r="L31" s="17" t="s">
        <v>326</v>
      </c>
      <c r="M31" s="17" t="s">
        <v>331</v>
      </c>
      <c r="N31" s="17" t="s">
        <v>381</v>
      </c>
      <c r="O31" s="17" t="s">
        <v>334</v>
      </c>
    </row>
    <row r="32" ht="36" customHeight="1" spans="1:15">
      <c r="A32" s="18">
        <v>28</v>
      </c>
      <c r="B32" s="18">
        <v>3</v>
      </c>
      <c r="C32" s="18" t="s">
        <v>335</v>
      </c>
      <c r="D32" s="19" t="s">
        <v>467</v>
      </c>
      <c r="E32" s="19" t="s">
        <v>468</v>
      </c>
      <c r="F32" s="19" t="s">
        <v>466</v>
      </c>
      <c r="G32" s="18" t="s">
        <v>469</v>
      </c>
      <c r="H32" s="18" t="s">
        <v>327</v>
      </c>
      <c r="I32" s="18" t="s">
        <v>112</v>
      </c>
      <c r="J32" s="19" t="s">
        <v>457</v>
      </c>
      <c r="K32" s="19" t="s">
        <v>470</v>
      </c>
      <c r="L32" s="19" t="s">
        <v>469</v>
      </c>
      <c r="M32" s="19" t="s">
        <v>341</v>
      </c>
      <c r="N32" s="19" t="s">
        <v>381</v>
      </c>
      <c r="O32" s="19" t="s">
        <v>342</v>
      </c>
    </row>
    <row r="33" ht="36" customHeight="1" spans="1:15">
      <c r="A33" s="18">
        <v>29</v>
      </c>
      <c r="B33" s="18">
        <v>3</v>
      </c>
      <c r="C33" s="18" t="s">
        <v>335</v>
      </c>
      <c r="D33" s="19" t="s">
        <v>472</v>
      </c>
      <c r="E33" s="19" t="s">
        <v>473</v>
      </c>
      <c r="F33" s="19" t="s">
        <v>466</v>
      </c>
      <c r="G33" s="18" t="s">
        <v>474</v>
      </c>
      <c r="H33" s="18" t="s">
        <v>327</v>
      </c>
      <c r="I33" s="18" t="s">
        <v>112</v>
      </c>
      <c r="J33" s="19" t="s">
        <v>457</v>
      </c>
      <c r="K33" s="19" t="s">
        <v>475</v>
      </c>
      <c r="L33" s="19" t="s">
        <v>474</v>
      </c>
      <c r="M33" s="19" t="s">
        <v>341</v>
      </c>
      <c r="N33" s="19" t="s">
        <v>381</v>
      </c>
      <c r="O33" s="19" t="s">
        <v>342</v>
      </c>
    </row>
    <row r="34" ht="46" customHeight="1" spans="1:15">
      <c r="A34" s="12">
        <v>30</v>
      </c>
      <c r="B34" s="12">
        <v>1</v>
      </c>
      <c r="C34" s="12" t="s">
        <v>312</v>
      </c>
      <c r="D34" s="13" t="s">
        <v>476</v>
      </c>
      <c r="E34" s="13" t="s">
        <v>477</v>
      </c>
      <c r="F34" s="13" t="s">
        <v>30</v>
      </c>
      <c r="G34" s="12" t="s">
        <v>30</v>
      </c>
      <c r="H34" s="12" t="s">
        <v>315</v>
      </c>
      <c r="I34" s="12" t="s">
        <v>112</v>
      </c>
      <c r="J34" s="13" t="s">
        <v>478</v>
      </c>
      <c r="K34" s="13" t="s">
        <v>479</v>
      </c>
      <c r="L34" s="13" t="s">
        <v>481</v>
      </c>
      <c r="M34" s="13" t="s">
        <v>484</v>
      </c>
      <c r="N34" s="13" t="s">
        <v>300</v>
      </c>
      <c r="O34" s="13" t="s">
        <v>301</v>
      </c>
    </row>
    <row r="35" ht="46" customHeight="1" spans="1:15">
      <c r="A35" s="16">
        <v>31</v>
      </c>
      <c r="B35" s="16">
        <v>2</v>
      </c>
      <c r="C35" s="16" t="s">
        <v>323</v>
      </c>
      <c r="D35" s="17" t="s">
        <v>486</v>
      </c>
      <c r="E35" s="17" t="s">
        <v>487</v>
      </c>
      <c r="F35" s="17" t="s">
        <v>477</v>
      </c>
      <c r="G35" s="16" t="s">
        <v>326</v>
      </c>
      <c r="H35" s="16" t="s">
        <v>327</v>
      </c>
      <c r="I35" s="16" t="s">
        <v>112</v>
      </c>
      <c r="J35" s="17" t="s">
        <v>478</v>
      </c>
      <c r="K35" s="17" t="s">
        <v>329</v>
      </c>
      <c r="L35" s="17" t="s">
        <v>326</v>
      </c>
      <c r="M35" s="17" t="s">
        <v>331</v>
      </c>
      <c r="N35" s="17" t="s">
        <v>381</v>
      </c>
      <c r="O35" s="17" t="s">
        <v>334</v>
      </c>
    </row>
    <row r="36" ht="36" customHeight="1" spans="1:15">
      <c r="A36" s="18">
        <v>32</v>
      </c>
      <c r="B36" s="18">
        <v>3</v>
      </c>
      <c r="C36" s="18" t="s">
        <v>335</v>
      </c>
      <c r="D36" s="19" t="s">
        <v>467</v>
      </c>
      <c r="E36" s="19" t="s">
        <v>488</v>
      </c>
      <c r="F36" s="19" t="s">
        <v>487</v>
      </c>
      <c r="G36" s="18" t="s">
        <v>469</v>
      </c>
      <c r="H36" s="18" t="s">
        <v>327</v>
      </c>
      <c r="I36" s="18" t="s">
        <v>112</v>
      </c>
      <c r="J36" s="19" t="s">
        <v>478</v>
      </c>
      <c r="K36" s="19" t="s">
        <v>470</v>
      </c>
      <c r="L36" s="19" t="s">
        <v>469</v>
      </c>
      <c r="M36" s="19" t="s">
        <v>341</v>
      </c>
      <c r="N36" s="19" t="s">
        <v>381</v>
      </c>
      <c r="O36" s="19" t="s">
        <v>342</v>
      </c>
    </row>
    <row r="37" ht="36" customHeight="1" spans="1:15">
      <c r="A37" s="18">
        <v>33</v>
      </c>
      <c r="B37" s="18">
        <v>3</v>
      </c>
      <c r="C37" s="18" t="s">
        <v>335</v>
      </c>
      <c r="D37" s="19" t="s">
        <v>472</v>
      </c>
      <c r="E37" s="19" t="s">
        <v>490</v>
      </c>
      <c r="F37" s="19" t="s">
        <v>487</v>
      </c>
      <c r="G37" s="18" t="s">
        <v>474</v>
      </c>
      <c r="H37" s="18" t="s">
        <v>327</v>
      </c>
      <c r="I37" s="18" t="s">
        <v>112</v>
      </c>
      <c r="J37" s="19" t="s">
        <v>478</v>
      </c>
      <c r="K37" s="19" t="s">
        <v>475</v>
      </c>
      <c r="L37" s="19" t="s">
        <v>474</v>
      </c>
      <c r="M37" s="19" t="s">
        <v>341</v>
      </c>
      <c r="N37" s="19" t="s">
        <v>381</v>
      </c>
      <c r="O37" s="19" t="s">
        <v>342</v>
      </c>
    </row>
    <row r="38" ht="46" customHeight="1" spans="1:15">
      <c r="A38" s="12">
        <v>34</v>
      </c>
      <c r="B38" s="12">
        <v>1</v>
      </c>
      <c r="C38" s="12" t="s">
        <v>312</v>
      </c>
      <c r="D38" s="13" t="s">
        <v>491</v>
      </c>
      <c r="E38" s="13" t="s">
        <v>492</v>
      </c>
      <c r="F38" s="13" t="s">
        <v>30</v>
      </c>
      <c r="G38" s="12" t="s">
        <v>30</v>
      </c>
      <c r="H38" s="12" t="s">
        <v>315</v>
      </c>
      <c r="I38" s="12" t="s">
        <v>112</v>
      </c>
      <c r="J38" s="13" t="s">
        <v>493</v>
      </c>
      <c r="K38" s="13" t="s">
        <v>494</v>
      </c>
      <c r="L38" s="13" t="s">
        <v>496</v>
      </c>
      <c r="M38" s="13" t="s">
        <v>499</v>
      </c>
      <c r="N38" s="13" t="s">
        <v>300</v>
      </c>
      <c r="O38" s="13" t="s">
        <v>301</v>
      </c>
    </row>
    <row r="39" ht="46" customHeight="1" spans="1:15">
      <c r="A39" s="16">
        <v>35</v>
      </c>
      <c r="B39" s="16">
        <v>2</v>
      </c>
      <c r="C39" s="16" t="s">
        <v>323</v>
      </c>
      <c r="D39" s="17" t="s">
        <v>501</v>
      </c>
      <c r="E39" s="17" t="s">
        <v>502</v>
      </c>
      <c r="F39" s="17" t="s">
        <v>492</v>
      </c>
      <c r="G39" s="16" t="s">
        <v>326</v>
      </c>
      <c r="H39" s="16" t="s">
        <v>327</v>
      </c>
      <c r="I39" s="16" t="s">
        <v>112</v>
      </c>
      <c r="J39" s="17" t="s">
        <v>493</v>
      </c>
      <c r="K39" s="17" t="s">
        <v>329</v>
      </c>
      <c r="L39" s="17" t="s">
        <v>326</v>
      </c>
      <c r="M39" s="17" t="s">
        <v>331</v>
      </c>
      <c r="N39" s="17" t="s">
        <v>381</v>
      </c>
      <c r="O39" s="17" t="s">
        <v>334</v>
      </c>
    </row>
    <row r="40" ht="46" customHeight="1" spans="1:15">
      <c r="A40" s="12">
        <v>36</v>
      </c>
      <c r="B40" s="12">
        <v>1</v>
      </c>
      <c r="C40" s="12" t="s">
        <v>312</v>
      </c>
      <c r="D40" s="13" t="s">
        <v>503</v>
      </c>
      <c r="E40" s="13" t="s">
        <v>504</v>
      </c>
      <c r="F40" s="13" t="s">
        <v>30</v>
      </c>
      <c r="G40" s="12" t="s">
        <v>30</v>
      </c>
      <c r="H40" s="12" t="s">
        <v>315</v>
      </c>
      <c r="I40" s="12" t="s">
        <v>112</v>
      </c>
      <c r="J40" s="13" t="s">
        <v>505</v>
      </c>
      <c r="K40" s="13" t="s">
        <v>506</v>
      </c>
      <c r="L40" s="13" t="s">
        <v>508</v>
      </c>
      <c r="M40" s="13" t="s">
        <v>511</v>
      </c>
      <c r="N40" s="13" t="s">
        <v>300</v>
      </c>
      <c r="O40" s="13" t="s">
        <v>301</v>
      </c>
    </row>
    <row r="41" ht="46" customHeight="1" spans="1:15">
      <c r="A41" s="16">
        <v>37</v>
      </c>
      <c r="B41" s="16">
        <v>2</v>
      </c>
      <c r="C41" s="16" t="s">
        <v>323</v>
      </c>
      <c r="D41" s="17" t="s">
        <v>512</v>
      </c>
      <c r="E41" s="17" t="s">
        <v>513</v>
      </c>
      <c r="F41" s="17" t="s">
        <v>504</v>
      </c>
      <c r="G41" s="16" t="s">
        <v>326</v>
      </c>
      <c r="H41" s="16" t="s">
        <v>327</v>
      </c>
      <c r="I41" s="16" t="s">
        <v>112</v>
      </c>
      <c r="J41" s="17" t="s">
        <v>505</v>
      </c>
      <c r="K41" s="17" t="s">
        <v>329</v>
      </c>
      <c r="L41" s="17" t="s">
        <v>326</v>
      </c>
      <c r="M41" s="17" t="s">
        <v>331</v>
      </c>
      <c r="N41" s="17" t="s">
        <v>381</v>
      </c>
      <c r="O41" s="17" t="s">
        <v>334</v>
      </c>
    </row>
    <row r="42" ht="46" customHeight="1" spans="1:15">
      <c r="A42" s="12">
        <v>38</v>
      </c>
      <c r="B42" s="12">
        <v>1</v>
      </c>
      <c r="C42" s="12" t="s">
        <v>312</v>
      </c>
      <c r="D42" s="13" t="s">
        <v>514</v>
      </c>
      <c r="E42" s="13" t="s">
        <v>515</v>
      </c>
      <c r="F42" s="13" t="s">
        <v>30</v>
      </c>
      <c r="G42" s="12" t="s">
        <v>30</v>
      </c>
      <c r="H42" s="12" t="s">
        <v>315</v>
      </c>
      <c r="I42" s="12" t="s">
        <v>112</v>
      </c>
      <c r="J42" s="13" t="s">
        <v>189</v>
      </c>
      <c r="K42" s="13" t="s">
        <v>516</v>
      </c>
      <c r="L42" s="13" t="s">
        <v>192</v>
      </c>
      <c r="M42" s="13" t="s">
        <v>520</v>
      </c>
      <c r="N42" s="13" t="s">
        <v>83</v>
      </c>
      <c r="O42" s="13" t="s">
        <v>195</v>
      </c>
    </row>
    <row r="43" ht="46" customHeight="1" spans="1:15">
      <c r="A43" s="16">
        <v>39</v>
      </c>
      <c r="B43" s="16">
        <v>2</v>
      </c>
      <c r="C43" s="16" t="s">
        <v>323</v>
      </c>
      <c r="D43" s="17" t="s">
        <v>521</v>
      </c>
      <c r="E43" s="17" t="s">
        <v>522</v>
      </c>
      <c r="F43" s="17" t="s">
        <v>515</v>
      </c>
      <c r="G43" s="16" t="s">
        <v>326</v>
      </c>
      <c r="H43" s="16" t="s">
        <v>327</v>
      </c>
      <c r="I43" s="16" t="s">
        <v>112</v>
      </c>
      <c r="J43" s="17" t="s">
        <v>189</v>
      </c>
      <c r="K43" s="17" t="s">
        <v>329</v>
      </c>
      <c r="L43" s="17" t="s">
        <v>326</v>
      </c>
      <c r="M43" s="17" t="s">
        <v>331</v>
      </c>
      <c r="N43" s="17" t="s">
        <v>333</v>
      </c>
      <c r="O43" s="17" t="s">
        <v>334</v>
      </c>
    </row>
    <row r="44" ht="46" customHeight="1" spans="1:15">
      <c r="A44" s="12">
        <v>40</v>
      </c>
      <c r="B44" s="12">
        <v>1</v>
      </c>
      <c r="C44" s="12" t="s">
        <v>312</v>
      </c>
      <c r="D44" s="13" t="s">
        <v>523</v>
      </c>
      <c r="E44" s="13" t="s">
        <v>524</v>
      </c>
      <c r="F44" s="13" t="s">
        <v>30</v>
      </c>
      <c r="G44" s="12" t="s">
        <v>30</v>
      </c>
      <c r="H44" s="12" t="s">
        <v>315</v>
      </c>
      <c r="I44" s="12" t="s">
        <v>72</v>
      </c>
      <c r="J44" s="13" t="s">
        <v>525</v>
      </c>
      <c r="K44" s="13" t="s">
        <v>526</v>
      </c>
      <c r="L44" s="13" t="s">
        <v>528</v>
      </c>
      <c r="M44" s="13" t="s">
        <v>403</v>
      </c>
      <c r="N44" s="13" t="s">
        <v>83</v>
      </c>
      <c r="O44" s="13" t="s">
        <v>533</v>
      </c>
    </row>
    <row r="45" ht="46" customHeight="1" spans="1:15">
      <c r="A45" s="16">
        <v>41</v>
      </c>
      <c r="B45" s="16">
        <v>2</v>
      </c>
      <c r="C45" s="16" t="s">
        <v>323</v>
      </c>
      <c r="D45" s="17" t="s">
        <v>534</v>
      </c>
      <c r="E45" s="17" t="s">
        <v>535</v>
      </c>
      <c r="F45" s="17" t="s">
        <v>524</v>
      </c>
      <c r="G45" s="16" t="s">
        <v>326</v>
      </c>
      <c r="H45" s="16" t="s">
        <v>327</v>
      </c>
      <c r="I45" s="16" t="s">
        <v>72</v>
      </c>
      <c r="J45" s="17" t="s">
        <v>525</v>
      </c>
      <c r="K45" s="17" t="s">
        <v>329</v>
      </c>
      <c r="L45" s="17" t="s">
        <v>326</v>
      </c>
      <c r="M45" s="17" t="s">
        <v>331</v>
      </c>
      <c r="N45" s="17" t="s">
        <v>333</v>
      </c>
      <c r="O45" s="17" t="s">
        <v>334</v>
      </c>
    </row>
    <row r="46" ht="36" customHeight="1" spans="1:15">
      <c r="A46" s="18">
        <v>42</v>
      </c>
      <c r="B46" s="18">
        <v>3</v>
      </c>
      <c r="C46" s="18" t="s">
        <v>335</v>
      </c>
      <c r="D46" s="19" t="s">
        <v>410</v>
      </c>
      <c r="E46" s="19" t="s">
        <v>536</v>
      </c>
      <c r="F46" s="19" t="s">
        <v>535</v>
      </c>
      <c r="G46" s="18" t="s">
        <v>412</v>
      </c>
      <c r="H46" s="18" t="s">
        <v>327</v>
      </c>
      <c r="I46" s="18" t="s">
        <v>72</v>
      </c>
      <c r="J46" s="19" t="s">
        <v>525</v>
      </c>
      <c r="K46" s="19" t="s">
        <v>413</v>
      </c>
      <c r="L46" s="19" t="s">
        <v>412</v>
      </c>
      <c r="M46" s="19" t="s">
        <v>341</v>
      </c>
      <c r="N46" s="19" t="s">
        <v>333</v>
      </c>
      <c r="O46" s="19" t="s">
        <v>342</v>
      </c>
    </row>
    <row r="47" ht="36" customHeight="1" spans="1:15">
      <c r="A47" s="18">
        <v>43</v>
      </c>
      <c r="B47" s="18">
        <v>3</v>
      </c>
      <c r="C47" s="18" t="s">
        <v>335</v>
      </c>
      <c r="D47" s="19" t="s">
        <v>415</v>
      </c>
      <c r="E47" s="19" t="s">
        <v>538</v>
      </c>
      <c r="F47" s="19" t="s">
        <v>535</v>
      </c>
      <c r="G47" s="18" t="s">
        <v>417</v>
      </c>
      <c r="H47" s="18" t="s">
        <v>327</v>
      </c>
      <c r="I47" s="18" t="s">
        <v>72</v>
      </c>
      <c r="J47" s="19" t="s">
        <v>525</v>
      </c>
      <c r="K47" s="19" t="s">
        <v>418</v>
      </c>
      <c r="L47" s="19" t="s">
        <v>417</v>
      </c>
      <c r="M47" s="19" t="s">
        <v>341</v>
      </c>
      <c r="N47" s="19" t="s">
        <v>333</v>
      </c>
      <c r="O47" s="19" t="s">
        <v>342</v>
      </c>
    </row>
    <row r="48" ht="36" customHeight="1" spans="1:15">
      <c r="A48" s="18">
        <v>44</v>
      </c>
      <c r="B48" s="18">
        <v>3</v>
      </c>
      <c r="C48" s="18" t="s">
        <v>335</v>
      </c>
      <c r="D48" s="19" t="s">
        <v>419</v>
      </c>
      <c r="E48" s="19" t="s">
        <v>539</v>
      </c>
      <c r="F48" s="19" t="s">
        <v>535</v>
      </c>
      <c r="G48" s="18" t="s">
        <v>421</v>
      </c>
      <c r="H48" s="18" t="s">
        <v>327</v>
      </c>
      <c r="I48" s="18" t="s">
        <v>72</v>
      </c>
      <c r="J48" s="19" t="s">
        <v>525</v>
      </c>
      <c r="K48" s="19" t="s">
        <v>422</v>
      </c>
      <c r="L48" s="19" t="s">
        <v>421</v>
      </c>
      <c r="M48" s="19" t="s">
        <v>341</v>
      </c>
      <c r="N48" s="19" t="s">
        <v>333</v>
      </c>
      <c r="O48" s="19" t="s">
        <v>342</v>
      </c>
    </row>
    <row r="49" ht="36" customHeight="1" spans="1:15">
      <c r="A49" s="18">
        <v>45</v>
      </c>
      <c r="B49" s="18">
        <v>3</v>
      </c>
      <c r="C49" s="18" t="s">
        <v>335</v>
      </c>
      <c r="D49" s="19" t="s">
        <v>423</v>
      </c>
      <c r="E49" s="19" t="s">
        <v>540</v>
      </c>
      <c r="F49" s="19" t="s">
        <v>535</v>
      </c>
      <c r="G49" s="18" t="s">
        <v>425</v>
      </c>
      <c r="H49" s="18" t="s">
        <v>327</v>
      </c>
      <c r="I49" s="18" t="s">
        <v>72</v>
      </c>
      <c r="J49" s="19" t="s">
        <v>525</v>
      </c>
      <c r="K49" s="19" t="s">
        <v>426</v>
      </c>
      <c r="L49" s="19" t="s">
        <v>425</v>
      </c>
      <c r="M49" s="19" t="s">
        <v>341</v>
      </c>
      <c r="N49" s="19" t="s">
        <v>333</v>
      </c>
      <c r="O49" s="19" t="s">
        <v>342</v>
      </c>
    </row>
    <row r="50" ht="36" customHeight="1" spans="1:15">
      <c r="A50" s="18">
        <v>46</v>
      </c>
      <c r="B50" s="18">
        <v>3</v>
      </c>
      <c r="C50" s="18" t="s">
        <v>335</v>
      </c>
      <c r="D50" s="19" t="s">
        <v>427</v>
      </c>
      <c r="E50" s="19" t="s">
        <v>541</v>
      </c>
      <c r="F50" s="19" t="s">
        <v>535</v>
      </c>
      <c r="G50" s="18" t="s">
        <v>429</v>
      </c>
      <c r="H50" s="18" t="s">
        <v>327</v>
      </c>
      <c r="I50" s="18" t="s">
        <v>72</v>
      </c>
      <c r="J50" s="19" t="s">
        <v>525</v>
      </c>
      <c r="K50" s="19" t="s">
        <v>430</v>
      </c>
      <c r="L50" s="19" t="s">
        <v>429</v>
      </c>
      <c r="M50" s="19" t="s">
        <v>341</v>
      </c>
      <c r="N50" s="19" t="s">
        <v>333</v>
      </c>
      <c r="O50" s="19" t="s">
        <v>342</v>
      </c>
    </row>
    <row r="51" ht="46" customHeight="1" spans="1:15">
      <c r="A51" s="12">
        <v>47</v>
      </c>
      <c r="B51" s="12">
        <v>1</v>
      </c>
      <c r="C51" s="12" t="s">
        <v>312</v>
      </c>
      <c r="D51" s="13" t="s">
        <v>542</v>
      </c>
      <c r="E51" s="13" t="s">
        <v>543</v>
      </c>
      <c r="F51" s="13" t="s">
        <v>30</v>
      </c>
      <c r="G51" s="12" t="s">
        <v>30</v>
      </c>
      <c r="H51" s="12" t="s">
        <v>315</v>
      </c>
      <c r="I51" s="12" t="s">
        <v>112</v>
      </c>
      <c r="J51" s="13" t="s">
        <v>544</v>
      </c>
      <c r="K51" s="13" t="s">
        <v>545</v>
      </c>
      <c r="L51" s="13" t="s">
        <v>547</v>
      </c>
      <c r="M51" s="13" t="s">
        <v>550</v>
      </c>
      <c r="N51" s="13" t="s">
        <v>83</v>
      </c>
      <c r="O51" s="13" t="s">
        <v>552</v>
      </c>
    </row>
    <row r="52" ht="46" customHeight="1" spans="1:15">
      <c r="A52" s="16">
        <v>48</v>
      </c>
      <c r="B52" s="16">
        <v>2</v>
      </c>
      <c r="C52" s="16" t="s">
        <v>323</v>
      </c>
      <c r="D52" s="17" t="s">
        <v>553</v>
      </c>
      <c r="E52" s="17" t="s">
        <v>554</v>
      </c>
      <c r="F52" s="17" t="s">
        <v>543</v>
      </c>
      <c r="G52" s="16" t="s">
        <v>326</v>
      </c>
      <c r="H52" s="16" t="s">
        <v>327</v>
      </c>
      <c r="I52" s="16" t="s">
        <v>112</v>
      </c>
      <c r="J52" s="17" t="s">
        <v>544</v>
      </c>
      <c r="K52" s="17" t="s">
        <v>329</v>
      </c>
      <c r="L52" s="17" t="s">
        <v>326</v>
      </c>
      <c r="M52" s="17" t="s">
        <v>331</v>
      </c>
      <c r="N52" s="17" t="s">
        <v>333</v>
      </c>
      <c r="O52" s="17" t="s">
        <v>334</v>
      </c>
    </row>
    <row r="53" ht="36" customHeight="1" spans="1:15">
      <c r="A53" s="18">
        <v>49</v>
      </c>
      <c r="B53" s="18">
        <v>3</v>
      </c>
      <c r="C53" s="18" t="s">
        <v>335</v>
      </c>
      <c r="D53" s="19" t="s">
        <v>555</v>
      </c>
      <c r="E53" s="19" t="s">
        <v>556</v>
      </c>
      <c r="F53" s="19" t="s">
        <v>554</v>
      </c>
      <c r="G53" s="18" t="s">
        <v>557</v>
      </c>
      <c r="H53" s="18" t="s">
        <v>327</v>
      </c>
      <c r="I53" s="18" t="s">
        <v>112</v>
      </c>
      <c r="J53" s="19" t="s">
        <v>544</v>
      </c>
      <c r="K53" s="19" t="s">
        <v>558</v>
      </c>
      <c r="L53" s="19" t="s">
        <v>557</v>
      </c>
      <c r="M53" s="19" t="s">
        <v>341</v>
      </c>
      <c r="N53" s="19" t="s">
        <v>333</v>
      </c>
      <c r="O53" s="19" t="s">
        <v>342</v>
      </c>
    </row>
    <row r="54" ht="36" customHeight="1" spans="1:15">
      <c r="A54" s="18">
        <v>50</v>
      </c>
      <c r="B54" s="18">
        <v>3</v>
      </c>
      <c r="C54" s="18" t="s">
        <v>335</v>
      </c>
      <c r="D54" s="19" t="s">
        <v>560</v>
      </c>
      <c r="E54" s="19" t="s">
        <v>561</v>
      </c>
      <c r="F54" s="19" t="s">
        <v>554</v>
      </c>
      <c r="G54" s="18" t="s">
        <v>562</v>
      </c>
      <c r="H54" s="18" t="s">
        <v>327</v>
      </c>
      <c r="I54" s="18" t="s">
        <v>112</v>
      </c>
      <c r="J54" s="19" t="s">
        <v>544</v>
      </c>
      <c r="K54" s="19" t="s">
        <v>563</v>
      </c>
      <c r="L54" s="19" t="s">
        <v>562</v>
      </c>
      <c r="M54" s="19" t="s">
        <v>341</v>
      </c>
      <c r="N54" s="19" t="s">
        <v>333</v>
      </c>
      <c r="O54" s="19" t="s">
        <v>342</v>
      </c>
    </row>
    <row r="55" ht="36" customHeight="1" spans="1:15">
      <c r="A55" s="18">
        <v>51</v>
      </c>
      <c r="B55" s="18">
        <v>3</v>
      </c>
      <c r="C55" s="18" t="s">
        <v>335</v>
      </c>
      <c r="D55" s="19" t="s">
        <v>564</v>
      </c>
      <c r="E55" s="19" t="s">
        <v>565</v>
      </c>
      <c r="F55" s="19" t="s">
        <v>554</v>
      </c>
      <c r="G55" s="18" t="s">
        <v>566</v>
      </c>
      <c r="H55" s="18" t="s">
        <v>327</v>
      </c>
      <c r="I55" s="18" t="s">
        <v>112</v>
      </c>
      <c r="J55" s="19" t="s">
        <v>544</v>
      </c>
      <c r="K55" s="19" t="s">
        <v>567</v>
      </c>
      <c r="L55" s="19" t="s">
        <v>566</v>
      </c>
      <c r="M55" s="19" t="s">
        <v>341</v>
      </c>
      <c r="N55" s="19" t="s">
        <v>333</v>
      </c>
      <c r="O55" s="19" t="s">
        <v>342</v>
      </c>
    </row>
    <row r="56" ht="46" customHeight="1" spans="1:15">
      <c r="A56" s="12">
        <v>52</v>
      </c>
      <c r="B56" s="12">
        <v>1</v>
      </c>
      <c r="C56" s="12" t="s">
        <v>312</v>
      </c>
      <c r="D56" s="13" t="s">
        <v>568</v>
      </c>
      <c r="E56" s="13" t="s">
        <v>569</v>
      </c>
      <c r="F56" s="13" t="s">
        <v>30</v>
      </c>
      <c r="G56" s="12" t="s">
        <v>30</v>
      </c>
      <c r="H56" s="12" t="s">
        <v>315</v>
      </c>
      <c r="I56" s="12" t="s">
        <v>112</v>
      </c>
      <c r="J56" s="13" t="s">
        <v>570</v>
      </c>
      <c r="K56" s="13" t="s">
        <v>571</v>
      </c>
      <c r="L56" s="13" t="s">
        <v>573</v>
      </c>
      <c r="M56" s="13" t="s">
        <v>576</v>
      </c>
      <c r="N56" s="13" t="s">
        <v>83</v>
      </c>
      <c r="O56" s="13" t="s">
        <v>579</v>
      </c>
    </row>
    <row r="57" ht="46" customHeight="1" spans="1:15">
      <c r="A57" s="16">
        <v>53</v>
      </c>
      <c r="B57" s="16">
        <v>2</v>
      </c>
      <c r="C57" s="16" t="s">
        <v>323</v>
      </c>
      <c r="D57" s="17" t="s">
        <v>580</v>
      </c>
      <c r="E57" s="17" t="s">
        <v>581</v>
      </c>
      <c r="F57" s="17" t="s">
        <v>569</v>
      </c>
      <c r="G57" s="16" t="s">
        <v>326</v>
      </c>
      <c r="H57" s="16" t="s">
        <v>327</v>
      </c>
      <c r="I57" s="16" t="s">
        <v>112</v>
      </c>
      <c r="J57" s="17" t="s">
        <v>570</v>
      </c>
      <c r="K57" s="17" t="s">
        <v>329</v>
      </c>
      <c r="L57" s="17" t="s">
        <v>326</v>
      </c>
      <c r="M57" s="17" t="s">
        <v>331</v>
      </c>
      <c r="N57" s="17" t="s">
        <v>333</v>
      </c>
      <c r="O57" s="17" t="s">
        <v>334</v>
      </c>
    </row>
    <row r="58" ht="36" customHeight="1" spans="1:15">
      <c r="A58" s="18">
        <v>54</v>
      </c>
      <c r="B58" s="18">
        <v>3</v>
      </c>
      <c r="C58" s="18" t="s">
        <v>335</v>
      </c>
      <c r="D58" s="19" t="s">
        <v>582</v>
      </c>
      <c r="E58" s="19" t="s">
        <v>583</v>
      </c>
      <c r="F58" s="19" t="s">
        <v>581</v>
      </c>
      <c r="G58" s="18" t="s">
        <v>584</v>
      </c>
      <c r="H58" s="18" t="s">
        <v>327</v>
      </c>
      <c r="I58" s="18" t="s">
        <v>112</v>
      </c>
      <c r="J58" s="19" t="s">
        <v>570</v>
      </c>
      <c r="K58" s="19" t="s">
        <v>585</v>
      </c>
      <c r="L58" s="19" t="s">
        <v>584</v>
      </c>
      <c r="M58" s="19" t="s">
        <v>341</v>
      </c>
      <c r="N58" s="19" t="s">
        <v>333</v>
      </c>
      <c r="O58" s="19" t="s">
        <v>342</v>
      </c>
    </row>
    <row r="59" ht="36" customHeight="1" spans="1:15">
      <c r="A59" s="18">
        <v>55</v>
      </c>
      <c r="B59" s="18">
        <v>3</v>
      </c>
      <c r="C59" s="18" t="s">
        <v>335</v>
      </c>
      <c r="D59" s="19" t="s">
        <v>587</v>
      </c>
      <c r="E59" s="19" t="s">
        <v>588</v>
      </c>
      <c r="F59" s="19" t="s">
        <v>581</v>
      </c>
      <c r="G59" s="18" t="s">
        <v>589</v>
      </c>
      <c r="H59" s="18" t="s">
        <v>327</v>
      </c>
      <c r="I59" s="18" t="s">
        <v>112</v>
      </c>
      <c r="J59" s="19" t="s">
        <v>570</v>
      </c>
      <c r="K59" s="19" t="s">
        <v>590</v>
      </c>
      <c r="L59" s="19" t="s">
        <v>589</v>
      </c>
      <c r="M59" s="19" t="s">
        <v>341</v>
      </c>
      <c r="N59" s="19" t="s">
        <v>333</v>
      </c>
      <c r="O59" s="19" t="s">
        <v>342</v>
      </c>
    </row>
    <row r="60" ht="36" customHeight="1" spans="1:15">
      <c r="A60" s="18">
        <v>56</v>
      </c>
      <c r="B60" s="18">
        <v>3</v>
      </c>
      <c r="C60" s="18" t="s">
        <v>335</v>
      </c>
      <c r="D60" s="19" t="s">
        <v>591</v>
      </c>
      <c r="E60" s="19" t="s">
        <v>592</v>
      </c>
      <c r="F60" s="19" t="s">
        <v>581</v>
      </c>
      <c r="G60" s="18" t="s">
        <v>593</v>
      </c>
      <c r="H60" s="18" t="s">
        <v>327</v>
      </c>
      <c r="I60" s="18" t="s">
        <v>112</v>
      </c>
      <c r="J60" s="19" t="s">
        <v>570</v>
      </c>
      <c r="K60" s="19" t="s">
        <v>594</v>
      </c>
      <c r="L60" s="19" t="s">
        <v>593</v>
      </c>
      <c r="M60" s="19" t="s">
        <v>341</v>
      </c>
      <c r="N60" s="19" t="s">
        <v>333</v>
      </c>
      <c r="O60" s="19" t="s">
        <v>342</v>
      </c>
    </row>
    <row r="61" ht="46" customHeight="1" spans="1:15">
      <c r="A61" s="12">
        <v>57</v>
      </c>
      <c r="B61" s="12">
        <v>1</v>
      </c>
      <c r="C61" s="12" t="s">
        <v>312</v>
      </c>
      <c r="D61" s="13" t="s">
        <v>595</v>
      </c>
      <c r="E61" s="13" t="s">
        <v>596</v>
      </c>
      <c r="F61" s="13" t="s">
        <v>30</v>
      </c>
      <c r="G61" s="12" t="s">
        <v>30</v>
      </c>
      <c r="H61" s="12" t="s">
        <v>315</v>
      </c>
      <c r="I61" s="12" t="s">
        <v>72</v>
      </c>
      <c r="J61" s="13" t="s">
        <v>597</v>
      </c>
      <c r="K61" s="13" t="s">
        <v>598</v>
      </c>
      <c r="L61" s="13" t="s">
        <v>600</v>
      </c>
      <c r="M61" s="13" t="s">
        <v>603</v>
      </c>
      <c r="N61" s="13" t="s">
        <v>300</v>
      </c>
      <c r="O61" s="13" t="s">
        <v>301</v>
      </c>
    </row>
    <row r="62" ht="46" customHeight="1" spans="1:15">
      <c r="A62" s="16">
        <v>58</v>
      </c>
      <c r="B62" s="16">
        <v>2</v>
      </c>
      <c r="C62" s="16" t="s">
        <v>323</v>
      </c>
      <c r="D62" s="17" t="s">
        <v>605</v>
      </c>
      <c r="E62" s="17" t="s">
        <v>606</v>
      </c>
      <c r="F62" s="17" t="s">
        <v>596</v>
      </c>
      <c r="G62" s="16" t="s">
        <v>326</v>
      </c>
      <c r="H62" s="16" t="s">
        <v>327</v>
      </c>
      <c r="I62" s="16" t="s">
        <v>72</v>
      </c>
      <c r="J62" s="17" t="s">
        <v>597</v>
      </c>
      <c r="K62" s="17" t="s">
        <v>329</v>
      </c>
      <c r="L62" s="17" t="s">
        <v>326</v>
      </c>
      <c r="M62" s="17" t="s">
        <v>331</v>
      </c>
      <c r="N62" s="17" t="s">
        <v>333</v>
      </c>
      <c r="O62" s="17" t="s">
        <v>334</v>
      </c>
    </row>
    <row r="63" ht="36" customHeight="1" spans="1:15">
      <c r="A63" s="18">
        <v>59</v>
      </c>
      <c r="B63" s="18">
        <v>3</v>
      </c>
      <c r="C63" s="18" t="s">
        <v>335</v>
      </c>
      <c r="D63" s="19" t="s">
        <v>607</v>
      </c>
      <c r="E63" s="19" t="s">
        <v>608</v>
      </c>
      <c r="F63" s="19" t="s">
        <v>606</v>
      </c>
      <c r="G63" s="18" t="s">
        <v>609</v>
      </c>
      <c r="H63" s="18" t="s">
        <v>327</v>
      </c>
      <c r="I63" s="18" t="s">
        <v>72</v>
      </c>
      <c r="J63" s="19" t="s">
        <v>597</v>
      </c>
      <c r="K63" s="19" t="s">
        <v>610</v>
      </c>
      <c r="L63" s="19" t="s">
        <v>609</v>
      </c>
      <c r="M63" s="19" t="s">
        <v>341</v>
      </c>
      <c r="N63" s="19" t="s">
        <v>333</v>
      </c>
      <c r="O63" s="19" t="s">
        <v>342</v>
      </c>
    </row>
    <row r="64" ht="36" customHeight="1" spans="1:15">
      <c r="A64" s="18">
        <v>60</v>
      </c>
      <c r="B64" s="18">
        <v>3</v>
      </c>
      <c r="C64" s="18" t="s">
        <v>335</v>
      </c>
      <c r="D64" s="19" t="s">
        <v>612</v>
      </c>
      <c r="E64" s="19" t="s">
        <v>613</v>
      </c>
      <c r="F64" s="19" t="s">
        <v>606</v>
      </c>
      <c r="G64" s="18" t="s">
        <v>614</v>
      </c>
      <c r="H64" s="18" t="s">
        <v>327</v>
      </c>
      <c r="I64" s="18" t="s">
        <v>72</v>
      </c>
      <c r="J64" s="19" t="s">
        <v>597</v>
      </c>
      <c r="K64" s="19" t="s">
        <v>615</v>
      </c>
      <c r="L64" s="19" t="s">
        <v>614</v>
      </c>
      <c r="M64" s="19" t="s">
        <v>341</v>
      </c>
      <c r="N64" s="19" t="s">
        <v>333</v>
      </c>
      <c r="O64" s="19" t="s">
        <v>342</v>
      </c>
    </row>
    <row r="65" ht="36" customHeight="1" spans="1:15">
      <c r="A65" s="18">
        <v>61</v>
      </c>
      <c r="B65" s="18">
        <v>3</v>
      </c>
      <c r="C65" s="18" t="s">
        <v>335</v>
      </c>
      <c r="D65" s="19" t="s">
        <v>616</v>
      </c>
      <c r="E65" s="19" t="s">
        <v>617</v>
      </c>
      <c r="F65" s="19" t="s">
        <v>606</v>
      </c>
      <c r="G65" s="18" t="s">
        <v>618</v>
      </c>
      <c r="H65" s="18" t="s">
        <v>327</v>
      </c>
      <c r="I65" s="18" t="s">
        <v>72</v>
      </c>
      <c r="J65" s="19" t="s">
        <v>597</v>
      </c>
      <c r="K65" s="19" t="s">
        <v>619</v>
      </c>
      <c r="L65" s="19" t="s">
        <v>618</v>
      </c>
      <c r="M65" s="19" t="s">
        <v>341</v>
      </c>
      <c r="N65" s="19" t="s">
        <v>333</v>
      </c>
      <c r="O65" s="19" t="s">
        <v>342</v>
      </c>
    </row>
    <row r="66" ht="36" customHeight="1" spans="1:15">
      <c r="A66" s="18">
        <v>62</v>
      </c>
      <c r="B66" s="18">
        <v>3</v>
      </c>
      <c r="C66" s="18" t="s">
        <v>335</v>
      </c>
      <c r="D66" s="19" t="s">
        <v>620</v>
      </c>
      <c r="E66" s="19" t="s">
        <v>621</v>
      </c>
      <c r="F66" s="19" t="s">
        <v>606</v>
      </c>
      <c r="G66" s="18" t="s">
        <v>622</v>
      </c>
      <c r="H66" s="18" t="s">
        <v>327</v>
      </c>
      <c r="I66" s="18" t="s">
        <v>72</v>
      </c>
      <c r="J66" s="19" t="s">
        <v>597</v>
      </c>
      <c r="K66" s="19" t="s">
        <v>623</v>
      </c>
      <c r="L66" s="19" t="s">
        <v>622</v>
      </c>
      <c r="M66" s="19" t="s">
        <v>341</v>
      </c>
      <c r="N66" s="19" t="s">
        <v>333</v>
      </c>
      <c r="O66" s="19" t="s">
        <v>342</v>
      </c>
    </row>
    <row r="67" ht="46" customHeight="1" spans="1:15">
      <c r="A67" s="12">
        <v>63</v>
      </c>
      <c r="B67" s="12">
        <v>1</v>
      </c>
      <c r="C67" s="12" t="s">
        <v>312</v>
      </c>
      <c r="D67" s="13" t="s">
        <v>624</v>
      </c>
      <c r="E67" s="13" t="s">
        <v>625</v>
      </c>
      <c r="F67" s="13" t="s">
        <v>30</v>
      </c>
      <c r="G67" s="12" t="s">
        <v>30</v>
      </c>
      <c r="H67" s="12" t="s">
        <v>315</v>
      </c>
      <c r="I67" s="12" t="s">
        <v>112</v>
      </c>
      <c r="J67" s="13" t="s">
        <v>626</v>
      </c>
      <c r="K67" s="13" t="s">
        <v>627</v>
      </c>
      <c r="L67" s="13" t="s">
        <v>629</v>
      </c>
      <c r="M67" s="13" t="s">
        <v>632</v>
      </c>
      <c r="N67" s="13" t="s">
        <v>300</v>
      </c>
      <c r="O67" s="13" t="s">
        <v>301</v>
      </c>
    </row>
    <row r="68" ht="46" customHeight="1" spans="1:15">
      <c r="A68" s="16">
        <v>64</v>
      </c>
      <c r="B68" s="16">
        <v>2</v>
      </c>
      <c r="C68" s="16" t="s">
        <v>323</v>
      </c>
      <c r="D68" s="17" t="s">
        <v>634</v>
      </c>
      <c r="E68" s="17" t="s">
        <v>635</v>
      </c>
      <c r="F68" s="17" t="s">
        <v>625</v>
      </c>
      <c r="G68" s="16" t="s">
        <v>326</v>
      </c>
      <c r="H68" s="16" t="s">
        <v>327</v>
      </c>
      <c r="I68" s="16" t="s">
        <v>112</v>
      </c>
      <c r="J68" s="17" t="s">
        <v>626</v>
      </c>
      <c r="K68" s="17" t="s">
        <v>329</v>
      </c>
      <c r="L68" s="17" t="s">
        <v>326</v>
      </c>
      <c r="M68" s="17" t="s">
        <v>331</v>
      </c>
      <c r="N68" s="17" t="s">
        <v>381</v>
      </c>
      <c r="O68" s="17" t="s">
        <v>334</v>
      </c>
    </row>
    <row r="69" ht="46" customHeight="1" spans="1:15">
      <c r="A69" s="12">
        <v>65</v>
      </c>
      <c r="B69" s="12">
        <v>1</v>
      </c>
      <c r="C69" s="12" t="s">
        <v>312</v>
      </c>
      <c r="D69" s="13" t="s">
        <v>636</v>
      </c>
      <c r="E69" s="13" t="s">
        <v>637</v>
      </c>
      <c r="F69" s="13" t="s">
        <v>30</v>
      </c>
      <c r="G69" s="12" t="s">
        <v>30</v>
      </c>
      <c r="H69" s="12" t="s">
        <v>315</v>
      </c>
      <c r="I69" s="12" t="s">
        <v>72</v>
      </c>
      <c r="J69" s="13" t="s">
        <v>638</v>
      </c>
      <c r="K69" s="13" t="s">
        <v>639</v>
      </c>
      <c r="L69" s="13" t="s">
        <v>641</v>
      </c>
      <c r="M69" s="13" t="s">
        <v>644</v>
      </c>
      <c r="N69" s="13" t="s">
        <v>300</v>
      </c>
      <c r="O69" s="13" t="s">
        <v>301</v>
      </c>
    </row>
    <row r="70" ht="46" customHeight="1" spans="1:15">
      <c r="A70" s="16">
        <v>66</v>
      </c>
      <c r="B70" s="16">
        <v>2</v>
      </c>
      <c r="C70" s="16" t="s">
        <v>323</v>
      </c>
      <c r="D70" s="17" t="s">
        <v>645</v>
      </c>
      <c r="E70" s="17" t="s">
        <v>646</v>
      </c>
      <c r="F70" s="17" t="s">
        <v>637</v>
      </c>
      <c r="G70" s="16" t="s">
        <v>326</v>
      </c>
      <c r="H70" s="16" t="s">
        <v>327</v>
      </c>
      <c r="I70" s="16" t="s">
        <v>72</v>
      </c>
      <c r="J70" s="17" t="s">
        <v>638</v>
      </c>
      <c r="K70" s="17" t="s">
        <v>329</v>
      </c>
      <c r="L70" s="17" t="s">
        <v>326</v>
      </c>
      <c r="M70" s="17" t="s">
        <v>331</v>
      </c>
      <c r="N70" s="17" t="s">
        <v>333</v>
      </c>
      <c r="O70" s="17" t="s">
        <v>334</v>
      </c>
    </row>
    <row r="71" ht="36" customHeight="1" spans="1:15">
      <c r="A71" s="18">
        <v>67</v>
      </c>
      <c r="B71" s="18">
        <v>3</v>
      </c>
      <c r="C71" s="18" t="s">
        <v>335</v>
      </c>
      <c r="D71" s="19" t="s">
        <v>647</v>
      </c>
      <c r="E71" s="19" t="s">
        <v>648</v>
      </c>
      <c r="F71" s="19" t="s">
        <v>646</v>
      </c>
      <c r="G71" s="18" t="s">
        <v>649</v>
      </c>
      <c r="H71" s="18" t="s">
        <v>327</v>
      </c>
      <c r="I71" s="18" t="s">
        <v>72</v>
      </c>
      <c r="J71" s="19" t="s">
        <v>638</v>
      </c>
      <c r="K71" s="19" t="s">
        <v>650</v>
      </c>
      <c r="L71" s="19" t="s">
        <v>649</v>
      </c>
      <c r="M71" s="19" t="s">
        <v>341</v>
      </c>
      <c r="N71" s="19" t="s">
        <v>333</v>
      </c>
      <c r="O71" s="19" t="s">
        <v>342</v>
      </c>
    </row>
    <row r="72" ht="36" customHeight="1" spans="1:15">
      <c r="A72" s="18">
        <v>68</v>
      </c>
      <c r="B72" s="18">
        <v>3</v>
      </c>
      <c r="C72" s="18" t="s">
        <v>335</v>
      </c>
      <c r="D72" s="19" t="s">
        <v>652</v>
      </c>
      <c r="E72" s="19" t="s">
        <v>653</v>
      </c>
      <c r="F72" s="19" t="s">
        <v>646</v>
      </c>
      <c r="G72" s="18" t="s">
        <v>654</v>
      </c>
      <c r="H72" s="18" t="s">
        <v>327</v>
      </c>
      <c r="I72" s="18" t="s">
        <v>72</v>
      </c>
      <c r="J72" s="19" t="s">
        <v>638</v>
      </c>
      <c r="K72" s="19" t="s">
        <v>655</v>
      </c>
      <c r="L72" s="19" t="s">
        <v>654</v>
      </c>
      <c r="M72" s="19" t="s">
        <v>341</v>
      </c>
      <c r="N72" s="19" t="s">
        <v>333</v>
      </c>
      <c r="O72" s="19" t="s">
        <v>342</v>
      </c>
    </row>
    <row r="73" ht="36" customHeight="1" spans="1:15">
      <c r="A73" s="18">
        <v>69</v>
      </c>
      <c r="B73" s="18">
        <v>3</v>
      </c>
      <c r="C73" s="18" t="s">
        <v>335</v>
      </c>
      <c r="D73" s="19" t="s">
        <v>656</v>
      </c>
      <c r="E73" s="19" t="s">
        <v>657</v>
      </c>
      <c r="F73" s="19" t="s">
        <v>646</v>
      </c>
      <c r="G73" s="18" t="s">
        <v>658</v>
      </c>
      <c r="H73" s="18" t="s">
        <v>327</v>
      </c>
      <c r="I73" s="18" t="s">
        <v>72</v>
      </c>
      <c r="J73" s="19" t="s">
        <v>638</v>
      </c>
      <c r="K73" s="19" t="s">
        <v>659</v>
      </c>
      <c r="L73" s="19" t="s">
        <v>658</v>
      </c>
      <c r="M73" s="19" t="s">
        <v>341</v>
      </c>
      <c r="N73" s="19" t="s">
        <v>333</v>
      </c>
      <c r="O73" s="19" t="s">
        <v>342</v>
      </c>
    </row>
    <row r="74" ht="46" customHeight="1" spans="1:15">
      <c r="A74" s="12">
        <v>70</v>
      </c>
      <c r="B74" s="12">
        <v>1</v>
      </c>
      <c r="C74" s="12" t="s">
        <v>312</v>
      </c>
      <c r="D74" s="13" t="s">
        <v>660</v>
      </c>
      <c r="E74" s="13" t="s">
        <v>661</v>
      </c>
      <c r="F74" s="13" t="s">
        <v>30</v>
      </c>
      <c r="G74" s="12" t="s">
        <v>30</v>
      </c>
      <c r="H74" s="12" t="s">
        <v>315</v>
      </c>
      <c r="I74" s="12" t="s">
        <v>112</v>
      </c>
      <c r="J74" s="13" t="s">
        <v>604</v>
      </c>
      <c r="K74" s="13" t="s">
        <v>663</v>
      </c>
      <c r="L74" s="13" t="s">
        <v>665</v>
      </c>
      <c r="M74" s="13" t="s">
        <v>668</v>
      </c>
      <c r="N74" s="13" t="s">
        <v>228</v>
      </c>
      <c r="O74" s="13" t="s">
        <v>229</v>
      </c>
    </row>
    <row r="75" ht="46" customHeight="1" spans="1:15">
      <c r="A75" s="16">
        <v>71</v>
      </c>
      <c r="B75" s="16">
        <v>2</v>
      </c>
      <c r="C75" s="16" t="s">
        <v>323</v>
      </c>
      <c r="D75" s="17" t="s">
        <v>670</v>
      </c>
      <c r="E75" s="17" t="s">
        <v>671</v>
      </c>
      <c r="F75" s="17" t="s">
        <v>661</v>
      </c>
      <c r="G75" s="16" t="s">
        <v>326</v>
      </c>
      <c r="H75" s="16" t="s">
        <v>327</v>
      </c>
      <c r="I75" s="16" t="s">
        <v>112</v>
      </c>
      <c r="J75" s="17" t="s">
        <v>604</v>
      </c>
      <c r="K75" s="17" t="s">
        <v>329</v>
      </c>
      <c r="L75" s="17" t="s">
        <v>326</v>
      </c>
      <c r="M75" s="17" t="s">
        <v>331</v>
      </c>
      <c r="N75" s="17" t="s">
        <v>672</v>
      </c>
      <c r="O75" s="17" t="s">
        <v>334</v>
      </c>
    </row>
    <row r="76" ht="36" customHeight="1" spans="1:15">
      <c r="A76" s="18">
        <v>72</v>
      </c>
      <c r="B76" s="18">
        <v>3</v>
      </c>
      <c r="C76" s="18" t="s">
        <v>335</v>
      </c>
      <c r="D76" s="19" t="s">
        <v>673</v>
      </c>
      <c r="E76" s="19" t="s">
        <v>674</v>
      </c>
      <c r="F76" s="19" t="s">
        <v>671</v>
      </c>
      <c r="G76" s="18" t="s">
        <v>675</v>
      </c>
      <c r="H76" s="18" t="s">
        <v>327</v>
      </c>
      <c r="I76" s="18" t="s">
        <v>112</v>
      </c>
      <c r="J76" s="19" t="s">
        <v>604</v>
      </c>
      <c r="K76" s="19" t="s">
        <v>676</v>
      </c>
      <c r="L76" s="19" t="s">
        <v>675</v>
      </c>
      <c r="M76" s="19" t="s">
        <v>341</v>
      </c>
      <c r="N76" s="19" t="s">
        <v>672</v>
      </c>
      <c r="O76" s="19" t="s">
        <v>342</v>
      </c>
    </row>
    <row r="77" ht="36" customHeight="1" spans="1:15">
      <c r="A77" s="18">
        <v>73</v>
      </c>
      <c r="B77" s="18">
        <v>3</v>
      </c>
      <c r="C77" s="18" t="s">
        <v>335</v>
      </c>
      <c r="D77" s="19" t="s">
        <v>678</v>
      </c>
      <c r="E77" s="19" t="s">
        <v>679</v>
      </c>
      <c r="F77" s="19" t="s">
        <v>671</v>
      </c>
      <c r="G77" s="18" t="s">
        <v>680</v>
      </c>
      <c r="H77" s="18" t="s">
        <v>327</v>
      </c>
      <c r="I77" s="18" t="s">
        <v>112</v>
      </c>
      <c r="J77" s="19" t="s">
        <v>604</v>
      </c>
      <c r="K77" s="19" t="s">
        <v>681</v>
      </c>
      <c r="L77" s="19" t="s">
        <v>680</v>
      </c>
      <c r="M77" s="19" t="s">
        <v>341</v>
      </c>
      <c r="N77" s="19" t="s">
        <v>672</v>
      </c>
      <c r="O77" s="19" t="s">
        <v>342</v>
      </c>
    </row>
    <row r="78" ht="36" customHeight="1" spans="1:15">
      <c r="A78" s="18">
        <v>74</v>
      </c>
      <c r="B78" s="18">
        <v>3</v>
      </c>
      <c r="C78" s="18" t="s">
        <v>335</v>
      </c>
      <c r="D78" s="19" t="s">
        <v>391</v>
      </c>
      <c r="E78" s="19" t="s">
        <v>682</v>
      </c>
      <c r="F78" s="19" t="s">
        <v>671</v>
      </c>
      <c r="G78" s="18" t="s">
        <v>393</v>
      </c>
      <c r="H78" s="18" t="s">
        <v>327</v>
      </c>
      <c r="I78" s="18" t="s">
        <v>112</v>
      </c>
      <c r="J78" s="19" t="s">
        <v>604</v>
      </c>
      <c r="K78" s="19" t="s">
        <v>394</v>
      </c>
      <c r="L78" s="19" t="s">
        <v>393</v>
      </c>
      <c r="M78" s="19" t="s">
        <v>341</v>
      </c>
      <c r="N78" s="19" t="s">
        <v>672</v>
      </c>
      <c r="O78" s="19" t="s">
        <v>342</v>
      </c>
    </row>
    <row r="79" ht="36" customHeight="1" spans="1:15">
      <c r="A79" s="18">
        <v>75</v>
      </c>
      <c r="B79" s="18">
        <v>3</v>
      </c>
      <c r="C79" s="18" t="s">
        <v>335</v>
      </c>
      <c r="D79" s="19" t="s">
        <v>683</v>
      </c>
      <c r="E79" s="19" t="s">
        <v>684</v>
      </c>
      <c r="F79" s="19" t="s">
        <v>671</v>
      </c>
      <c r="G79" s="18" t="s">
        <v>685</v>
      </c>
      <c r="H79" s="18" t="s">
        <v>327</v>
      </c>
      <c r="I79" s="18" t="s">
        <v>112</v>
      </c>
      <c r="J79" s="19" t="s">
        <v>604</v>
      </c>
      <c r="K79" s="19" t="s">
        <v>686</v>
      </c>
      <c r="L79" s="19" t="s">
        <v>685</v>
      </c>
      <c r="M79" s="19" t="s">
        <v>341</v>
      </c>
      <c r="N79" s="19" t="s">
        <v>672</v>
      </c>
      <c r="O79" s="19" t="s">
        <v>342</v>
      </c>
    </row>
    <row r="80" ht="46" customHeight="1" spans="1:15">
      <c r="A80" s="14">
        <v>76</v>
      </c>
      <c r="B80" s="14">
        <v>1</v>
      </c>
      <c r="C80" s="14" t="s">
        <v>312</v>
      </c>
      <c r="D80" s="15" t="s">
        <v>687</v>
      </c>
      <c r="E80" s="15" t="s">
        <v>688</v>
      </c>
      <c r="F80" s="15" t="s">
        <v>30</v>
      </c>
      <c r="G80" s="14" t="s">
        <v>30</v>
      </c>
      <c r="H80" s="14" t="s">
        <v>315</v>
      </c>
      <c r="I80" s="14" t="s">
        <v>112</v>
      </c>
      <c r="J80" s="15" t="s">
        <v>166</v>
      </c>
      <c r="K80" s="15" t="s">
        <v>689</v>
      </c>
      <c r="L80" s="15" t="s">
        <v>691</v>
      </c>
      <c r="M80" s="15" t="s">
        <v>694</v>
      </c>
      <c r="N80" s="15" t="s">
        <v>174</v>
      </c>
      <c r="O80" s="15" t="s">
        <v>695</v>
      </c>
    </row>
    <row r="81" ht="46" customHeight="1" spans="1:15">
      <c r="A81" s="14">
        <v>77</v>
      </c>
      <c r="B81" s="14">
        <v>1</v>
      </c>
      <c r="C81" s="14" t="s">
        <v>312</v>
      </c>
      <c r="D81" s="15" t="s">
        <v>696</v>
      </c>
      <c r="E81" s="15" t="s">
        <v>697</v>
      </c>
      <c r="F81" s="15" t="s">
        <v>30</v>
      </c>
      <c r="G81" s="14" t="s">
        <v>30</v>
      </c>
      <c r="H81" s="14" t="s">
        <v>315</v>
      </c>
      <c r="I81" s="14" t="s">
        <v>112</v>
      </c>
      <c r="J81" s="15" t="s">
        <v>166</v>
      </c>
      <c r="K81" s="15" t="s">
        <v>699</v>
      </c>
      <c r="L81" s="15" t="s">
        <v>701</v>
      </c>
      <c r="M81" s="15" t="s">
        <v>704</v>
      </c>
      <c r="N81" s="15" t="s">
        <v>174</v>
      </c>
      <c r="O81" s="15" t="s">
        <v>705</v>
      </c>
    </row>
    <row r="82" ht="46" customHeight="1" spans="1:15">
      <c r="A82" s="14">
        <v>78</v>
      </c>
      <c r="B82" s="14">
        <v>1</v>
      </c>
      <c r="C82" s="14" t="s">
        <v>312</v>
      </c>
      <c r="D82" s="15" t="s">
        <v>706</v>
      </c>
      <c r="E82" s="15" t="s">
        <v>707</v>
      </c>
      <c r="F82" s="15" t="s">
        <v>30</v>
      </c>
      <c r="G82" s="14" t="s">
        <v>30</v>
      </c>
      <c r="H82" s="14" t="s">
        <v>315</v>
      </c>
      <c r="I82" s="14" t="s">
        <v>112</v>
      </c>
      <c r="J82" s="15" t="s">
        <v>166</v>
      </c>
      <c r="K82" s="15" t="s">
        <v>709</v>
      </c>
      <c r="L82" s="15" t="s">
        <v>711</v>
      </c>
      <c r="M82" s="15" t="s">
        <v>694</v>
      </c>
      <c r="N82" s="15" t="s">
        <v>174</v>
      </c>
      <c r="O82" s="15" t="s">
        <v>715</v>
      </c>
    </row>
  </sheetData>
  <mergeCells count="2">
    <mergeCell ref="A1:O1"/>
    <mergeCell ref="A2:O2"/>
  </mergeCells>
  <conditionalFormatting sqref="I5:I82">
    <cfRule type="containsText" dxfId="0" priority="1" operator="between" text="P0">
      <formula>NOT(ISERROR(SEARCH("P0",I5)))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showGridLines="0" tabSelected="1" workbookViewId="0">
      <selection activeCell="A1" sqref="A1:O1"/>
    </sheetView>
  </sheetViews>
  <sheetFormatPr defaultColWidth="9" defaultRowHeight="14"/>
  <cols>
    <col min="1" max="1" width="8" customWidth="1"/>
    <col min="2" max="2" width="7" customWidth="1"/>
    <col min="3" max="3" width="18" customWidth="1"/>
    <col min="4" max="4" width="30" customWidth="1"/>
    <col min="5" max="6" width="43" customWidth="1"/>
    <col min="7" max="7" width="18" customWidth="1"/>
    <col min="8" max="8" width="12" customWidth="1"/>
    <col min="9" max="9" width="9" customWidth="1"/>
    <col min="10" max="10" width="28" customWidth="1"/>
    <col min="11" max="11" width="45" customWidth="1"/>
    <col min="12" max="12" width="38" customWidth="1"/>
    <col min="13" max="13" width="48" customWidth="1"/>
    <col min="14" max="14" width="26" customWidth="1"/>
    <col min="15" max="15" width="38" customWidth="1"/>
  </cols>
  <sheetData>
    <row r="1" ht="38" customHeight="1" spans="1:15">
      <c r="A1" s="10" t="s">
        <v>1884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>
      <c r="A2" s="11" t="s">
        <v>1885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3" ht="14.75"/>
    <row r="4" ht="34" customHeight="1" spans="1:15">
      <c r="A4" s="1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55</v>
      </c>
      <c r="K4" s="2" t="s">
        <v>56</v>
      </c>
      <c r="L4" s="2" t="s">
        <v>58</v>
      </c>
      <c r="M4" s="2" t="s">
        <v>61</v>
      </c>
      <c r="N4" s="2" t="s">
        <v>64</v>
      </c>
      <c r="O4" s="3" t="s">
        <v>65</v>
      </c>
    </row>
    <row r="5" ht="46" customHeight="1" spans="1:15">
      <c r="A5" s="14">
        <v>1</v>
      </c>
      <c r="B5" s="14">
        <v>1</v>
      </c>
      <c r="C5" s="14" t="s">
        <v>716</v>
      </c>
      <c r="D5" s="15" t="s">
        <v>717</v>
      </c>
      <c r="E5" s="15" t="s">
        <v>718</v>
      </c>
      <c r="F5" s="15" t="s">
        <v>30</v>
      </c>
      <c r="G5" s="14" t="s">
        <v>30</v>
      </c>
      <c r="H5" s="14" t="s">
        <v>719</v>
      </c>
      <c r="I5" s="14" t="s">
        <v>112</v>
      </c>
      <c r="J5" s="15" t="s">
        <v>166</v>
      </c>
      <c r="K5" s="15" t="s">
        <v>721</v>
      </c>
      <c r="L5" s="15" t="s">
        <v>723</v>
      </c>
      <c r="M5" s="15" t="s">
        <v>726</v>
      </c>
      <c r="N5" s="15" t="s">
        <v>174</v>
      </c>
      <c r="O5" s="15" t="s">
        <v>728</v>
      </c>
    </row>
    <row r="6" ht="46" customHeight="1" spans="1:15">
      <c r="A6" s="14">
        <v>2</v>
      </c>
      <c r="B6" s="14">
        <v>1</v>
      </c>
      <c r="C6" s="14" t="s">
        <v>716</v>
      </c>
      <c r="D6" s="15" t="s">
        <v>729</v>
      </c>
      <c r="E6" s="15" t="s">
        <v>730</v>
      </c>
      <c r="F6" s="15" t="s">
        <v>30</v>
      </c>
      <c r="G6" s="14" t="s">
        <v>30</v>
      </c>
      <c r="H6" s="14" t="s">
        <v>719</v>
      </c>
      <c r="I6" s="14" t="s">
        <v>112</v>
      </c>
      <c r="J6" s="15" t="s">
        <v>166</v>
      </c>
      <c r="K6" s="15" t="s">
        <v>732</v>
      </c>
      <c r="L6" s="15" t="s">
        <v>723</v>
      </c>
      <c r="M6" s="15" t="s">
        <v>726</v>
      </c>
      <c r="N6" s="15" t="s">
        <v>174</v>
      </c>
      <c r="O6" s="15" t="s">
        <v>728</v>
      </c>
    </row>
    <row r="7" ht="46" customHeight="1" spans="1:15">
      <c r="A7" s="12">
        <v>3</v>
      </c>
      <c r="B7" s="12">
        <v>1</v>
      </c>
      <c r="C7" s="12" t="s">
        <v>716</v>
      </c>
      <c r="D7" s="13" t="s">
        <v>734</v>
      </c>
      <c r="E7" s="13" t="s">
        <v>735</v>
      </c>
      <c r="F7" s="13" t="s">
        <v>30</v>
      </c>
      <c r="G7" s="12" t="s">
        <v>30</v>
      </c>
      <c r="H7" s="12" t="s">
        <v>719</v>
      </c>
      <c r="I7" s="12" t="s">
        <v>72</v>
      </c>
      <c r="J7" s="13" t="s">
        <v>736</v>
      </c>
      <c r="K7" s="13" t="s">
        <v>737</v>
      </c>
      <c r="L7" s="13" t="s">
        <v>573</v>
      </c>
      <c r="M7" s="13" t="s">
        <v>741</v>
      </c>
      <c r="N7" s="13" t="s">
        <v>83</v>
      </c>
      <c r="O7" s="13" t="s">
        <v>743</v>
      </c>
    </row>
    <row r="8" ht="46" customHeight="1" spans="1:15">
      <c r="A8" s="12">
        <v>4</v>
      </c>
      <c r="B8" s="12">
        <v>1</v>
      </c>
      <c r="C8" s="12" t="s">
        <v>716</v>
      </c>
      <c r="D8" s="13" t="s">
        <v>744</v>
      </c>
      <c r="E8" s="13" t="s">
        <v>745</v>
      </c>
      <c r="F8" s="13" t="s">
        <v>30</v>
      </c>
      <c r="G8" s="12" t="s">
        <v>30</v>
      </c>
      <c r="H8" s="12" t="s">
        <v>719</v>
      </c>
      <c r="I8" s="12" t="s">
        <v>72</v>
      </c>
      <c r="J8" s="13" t="s">
        <v>746</v>
      </c>
      <c r="K8" s="13" t="s">
        <v>747</v>
      </c>
      <c r="L8" s="13" t="s">
        <v>749</v>
      </c>
      <c r="M8" s="13" t="s">
        <v>751</v>
      </c>
      <c r="N8" s="13" t="s">
        <v>83</v>
      </c>
      <c r="O8" s="13" t="s">
        <v>753</v>
      </c>
    </row>
    <row r="9" ht="46" customHeight="1" spans="1:15">
      <c r="A9" s="12">
        <v>5</v>
      </c>
      <c r="B9" s="12">
        <v>1</v>
      </c>
      <c r="C9" s="12" t="s">
        <v>716</v>
      </c>
      <c r="D9" s="13" t="s">
        <v>754</v>
      </c>
      <c r="E9" s="13" t="s">
        <v>755</v>
      </c>
      <c r="F9" s="13" t="s">
        <v>30</v>
      </c>
      <c r="G9" s="12" t="s">
        <v>30</v>
      </c>
      <c r="H9" s="12" t="s">
        <v>719</v>
      </c>
      <c r="I9" s="12" t="s">
        <v>72</v>
      </c>
      <c r="J9" s="13" t="s">
        <v>756</v>
      </c>
      <c r="K9" s="13" t="s">
        <v>757</v>
      </c>
      <c r="L9" s="13" t="s">
        <v>759</v>
      </c>
      <c r="M9" s="13" t="s">
        <v>762</v>
      </c>
      <c r="N9" s="13" t="s">
        <v>83</v>
      </c>
      <c r="O9" s="13" t="s">
        <v>743</v>
      </c>
    </row>
    <row r="10" ht="46" customHeight="1" spans="1:15">
      <c r="A10" s="12">
        <v>6</v>
      </c>
      <c r="B10" s="12">
        <v>1</v>
      </c>
      <c r="C10" s="12" t="s">
        <v>716</v>
      </c>
      <c r="D10" s="13" t="s">
        <v>764</v>
      </c>
      <c r="E10" s="13" t="s">
        <v>765</v>
      </c>
      <c r="F10" s="13" t="s">
        <v>30</v>
      </c>
      <c r="G10" s="12" t="s">
        <v>30</v>
      </c>
      <c r="H10" s="12" t="s">
        <v>719</v>
      </c>
      <c r="I10" s="12" t="s">
        <v>112</v>
      </c>
      <c r="J10" s="13" t="s">
        <v>766</v>
      </c>
      <c r="K10" s="13" t="s">
        <v>767</v>
      </c>
      <c r="L10" s="13" t="s">
        <v>769</v>
      </c>
      <c r="M10" s="13" t="s">
        <v>772</v>
      </c>
      <c r="N10" s="13" t="s">
        <v>122</v>
      </c>
      <c r="O10" s="13" t="s">
        <v>774</v>
      </c>
    </row>
    <row r="11" ht="46" customHeight="1" spans="1:15">
      <c r="A11" s="12">
        <v>7</v>
      </c>
      <c r="B11" s="12">
        <v>1</v>
      </c>
      <c r="C11" s="12" t="s">
        <v>716</v>
      </c>
      <c r="D11" s="13" t="s">
        <v>775</v>
      </c>
      <c r="E11" s="13" t="s">
        <v>776</v>
      </c>
      <c r="F11" s="13" t="s">
        <v>30</v>
      </c>
      <c r="G11" s="12" t="s">
        <v>30</v>
      </c>
      <c r="H11" s="12" t="s">
        <v>719</v>
      </c>
      <c r="I11" s="12" t="s">
        <v>72</v>
      </c>
      <c r="J11" s="13" t="s">
        <v>777</v>
      </c>
      <c r="K11" s="13" t="s">
        <v>778</v>
      </c>
      <c r="L11" s="13" t="s">
        <v>780</v>
      </c>
      <c r="M11" s="13" t="s">
        <v>782</v>
      </c>
      <c r="N11" s="13" t="s">
        <v>83</v>
      </c>
      <c r="O11" s="13" t="s">
        <v>783</v>
      </c>
    </row>
    <row r="12" ht="46" customHeight="1" spans="1:15">
      <c r="A12" s="12">
        <v>8</v>
      </c>
      <c r="B12" s="12">
        <v>1</v>
      </c>
      <c r="C12" s="12" t="s">
        <v>716</v>
      </c>
      <c r="D12" s="13" t="s">
        <v>784</v>
      </c>
      <c r="E12" s="13" t="s">
        <v>785</v>
      </c>
      <c r="F12" s="13" t="s">
        <v>30</v>
      </c>
      <c r="G12" s="12" t="s">
        <v>30</v>
      </c>
      <c r="H12" s="12" t="s">
        <v>719</v>
      </c>
      <c r="I12" s="12" t="s">
        <v>72</v>
      </c>
      <c r="J12" s="13" t="s">
        <v>786</v>
      </c>
      <c r="K12" s="13" t="s">
        <v>787</v>
      </c>
      <c r="L12" s="13" t="s">
        <v>789</v>
      </c>
      <c r="M12" s="13" t="s">
        <v>792</v>
      </c>
      <c r="N12" s="13" t="s">
        <v>300</v>
      </c>
      <c r="O12" s="13" t="s">
        <v>301</v>
      </c>
    </row>
    <row r="13" ht="46" customHeight="1" spans="1:15">
      <c r="A13" s="12">
        <v>9</v>
      </c>
      <c r="B13" s="12">
        <v>1</v>
      </c>
      <c r="C13" s="12" t="s">
        <v>716</v>
      </c>
      <c r="D13" s="13" t="s">
        <v>794</v>
      </c>
      <c r="E13" s="13" t="s">
        <v>795</v>
      </c>
      <c r="F13" s="13" t="s">
        <v>30</v>
      </c>
      <c r="G13" s="12" t="s">
        <v>30</v>
      </c>
      <c r="H13" s="12" t="s">
        <v>719</v>
      </c>
      <c r="I13" s="12" t="s">
        <v>72</v>
      </c>
      <c r="J13" s="13" t="s">
        <v>597</v>
      </c>
      <c r="K13" s="13" t="s">
        <v>796</v>
      </c>
      <c r="L13" s="13" t="s">
        <v>798</v>
      </c>
      <c r="M13" s="13" t="s">
        <v>801</v>
      </c>
      <c r="N13" s="13" t="s">
        <v>300</v>
      </c>
      <c r="O13" s="13" t="s">
        <v>301</v>
      </c>
    </row>
    <row r="14" ht="46" customHeight="1" spans="1:15">
      <c r="A14" s="12">
        <v>10</v>
      </c>
      <c r="B14" s="12">
        <v>1</v>
      </c>
      <c r="C14" s="12" t="s">
        <v>716</v>
      </c>
      <c r="D14" s="13" t="s">
        <v>802</v>
      </c>
      <c r="E14" s="13" t="s">
        <v>803</v>
      </c>
      <c r="F14" s="13" t="s">
        <v>30</v>
      </c>
      <c r="G14" s="12" t="s">
        <v>30</v>
      </c>
      <c r="H14" s="12" t="s">
        <v>719</v>
      </c>
      <c r="I14" s="12" t="s">
        <v>72</v>
      </c>
      <c r="J14" s="13" t="s">
        <v>804</v>
      </c>
      <c r="K14" s="13" t="s">
        <v>805</v>
      </c>
      <c r="L14" s="13" t="s">
        <v>807</v>
      </c>
      <c r="M14" s="13" t="s">
        <v>810</v>
      </c>
      <c r="N14" s="13" t="s">
        <v>300</v>
      </c>
      <c r="O14" s="13" t="s">
        <v>301</v>
      </c>
    </row>
    <row r="15" ht="46" customHeight="1" spans="1:15">
      <c r="A15" s="12">
        <v>11</v>
      </c>
      <c r="B15" s="12">
        <v>1</v>
      </c>
      <c r="C15" s="12" t="s">
        <v>716</v>
      </c>
      <c r="D15" s="13" t="s">
        <v>811</v>
      </c>
      <c r="E15" s="13" t="s">
        <v>812</v>
      </c>
      <c r="F15" s="13" t="s">
        <v>30</v>
      </c>
      <c r="G15" s="12" t="s">
        <v>30</v>
      </c>
      <c r="H15" s="12" t="s">
        <v>719</v>
      </c>
      <c r="I15" s="12" t="s">
        <v>112</v>
      </c>
      <c r="J15" s="13" t="s">
        <v>813</v>
      </c>
      <c r="K15" s="13" t="s">
        <v>814</v>
      </c>
      <c r="L15" s="13" t="s">
        <v>816</v>
      </c>
      <c r="M15" s="13" t="s">
        <v>819</v>
      </c>
      <c r="N15" s="13" t="s">
        <v>300</v>
      </c>
      <c r="O15" s="13" t="s">
        <v>301</v>
      </c>
    </row>
    <row r="16" ht="46" customHeight="1" spans="1:15">
      <c r="A16" s="12">
        <v>12</v>
      </c>
      <c r="B16" s="12">
        <v>1</v>
      </c>
      <c r="C16" s="12" t="s">
        <v>716</v>
      </c>
      <c r="D16" s="13" t="s">
        <v>821</v>
      </c>
      <c r="E16" s="13" t="s">
        <v>822</v>
      </c>
      <c r="F16" s="13" t="s">
        <v>30</v>
      </c>
      <c r="G16" s="12" t="s">
        <v>30</v>
      </c>
      <c r="H16" s="12" t="s">
        <v>719</v>
      </c>
      <c r="I16" s="12" t="s">
        <v>112</v>
      </c>
      <c r="J16" s="13" t="s">
        <v>823</v>
      </c>
      <c r="K16" s="13" t="s">
        <v>824</v>
      </c>
      <c r="L16" s="13" t="s">
        <v>826</v>
      </c>
      <c r="M16" s="13" t="s">
        <v>829</v>
      </c>
      <c r="N16" s="13" t="s">
        <v>300</v>
      </c>
      <c r="O16" s="13" t="s">
        <v>301</v>
      </c>
    </row>
    <row r="17" ht="46" customHeight="1" spans="1:15">
      <c r="A17" s="12">
        <v>13</v>
      </c>
      <c r="B17" s="12">
        <v>1</v>
      </c>
      <c r="C17" s="12" t="s">
        <v>716</v>
      </c>
      <c r="D17" s="13" t="s">
        <v>831</v>
      </c>
      <c r="E17" s="13" t="s">
        <v>832</v>
      </c>
      <c r="F17" s="13" t="s">
        <v>30</v>
      </c>
      <c r="G17" s="12" t="s">
        <v>30</v>
      </c>
      <c r="H17" s="12" t="s">
        <v>719</v>
      </c>
      <c r="I17" s="12" t="s">
        <v>112</v>
      </c>
      <c r="J17" s="13" t="s">
        <v>833</v>
      </c>
      <c r="K17" s="13" t="s">
        <v>834</v>
      </c>
      <c r="L17" s="13" t="s">
        <v>836</v>
      </c>
      <c r="M17" s="13" t="s">
        <v>838</v>
      </c>
      <c r="N17" s="13" t="s">
        <v>300</v>
      </c>
      <c r="O17" s="13" t="s">
        <v>301</v>
      </c>
    </row>
    <row r="18" ht="46" customHeight="1" spans="1:15">
      <c r="A18" s="12">
        <v>14</v>
      </c>
      <c r="B18" s="12">
        <v>1</v>
      </c>
      <c r="C18" s="12" t="s">
        <v>716</v>
      </c>
      <c r="D18" s="13" t="s">
        <v>840</v>
      </c>
      <c r="E18" s="13" t="s">
        <v>841</v>
      </c>
      <c r="F18" s="13" t="s">
        <v>30</v>
      </c>
      <c r="G18" s="12" t="s">
        <v>30</v>
      </c>
      <c r="H18" s="12" t="s">
        <v>719</v>
      </c>
      <c r="I18" s="12" t="s">
        <v>112</v>
      </c>
      <c r="J18" s="13" t="s">
        <v>842</v>
      </c>
      <c r="K18" s="13" t="s">
        <v>843</v>
      </c>
      <c r="L18" s="13" t="s">
        <v>845</v>
      </c>
      <c r="M18" s="13" t="s">
        <v>848</v>
      </c>
      <c r="N18" s="13" t="s">
        <v>300</v>
      </c>
      <c r="O18" s="13" t="s">
        <v>301</v>
      </c>
    </row>
    <row r="19" ht="46" customHeight="1" spans="1:15">
      <c r="A19" s="12">
        <v>15</v>
      </c>
      <c r="B19" s="12">
        <v>1</v>
      </c>
      <c r="C19" s="12" t="s">
        <v>716</v>
      </c>
      <c r="D19" s="13" t="s">
        <v>849</v>
      </c>
      <c r="E19" s="13" t="s">
        <v>850</v>
      </c>
      <c r="F19" s="13" t="s">
        <v>30</v>
      </c>
      <c r="G19" s="12" t="s">
        <v>30</v>
      </c>
      <c r="H19" s="12" t="s">
        <v>719</v>
      </c>
      <c r="I19" s="12" t="s">
        <v>112</v>
      </c>
      <c r="J19" s="13" t="s">
        <v>626</v>
      </c>
      <c r="K19" s="13" t="s">
        <v>851</v>
      </c>
      <c r="L19" s="13" t="s">
        <v>853</v>
      </c>
      <c r="M19" s="13" t="s">
        <v>855</v>
      </c>
      <c r="N19" s="13" t="s">
        <v>300</v>
      </c>
      <c r="O19" s="13" t="s">
        <v>301</v>
      </c>
    </row>
    <row r="20" ht="46" customHeight="1" spans="1:15">
      <c r="A20" s="12">
        <v>16</v>
      </c>
      <c r="B20" s="12">
        <v>1</v>
      </c>
      <c r="C20" s="12" t="s">
        <v>856</v>
      </c>
      <c r="D20" s="13" t="s">
        <v>857</v>
      </c>
      <c r="E20" s="13" t="s">
        <v>858</v>
      </c>
      <c r="F20" s="13" t="s">
        <v>30</v>
      </c>
      <c r="G20" s="12" t="s">
        <v>30</v>
      </c>
      <c r="H20" s="12" t="s">
        <v>859</v>
      </c>
      <c r="I20" s="12" t="s">
        <v>72</v>
      </c>
      <c r="J20" s="13" t="s">
        <v>316</v>
      </c>
      <c r="K20" s="13" t="s">
        <v>860</v>
      </c>
      <c r="L20" s="13" t="s">
        <v>862</v>
      </c>
      <c r="M20" s="13" t="s">
        <v>864</v>
      </c>
      <c r="N20" s="13" t="s">
        <v>867</v>
      </c>
      <c r="O20" s="13" t="s">
        <v>868</v>
      </c>
    </row>
    <row r="21" ht="46" customHeight="1" spans="1:15">
      <c r="A21" s="12">
        <v>17</v>
      </c>
      <c r="B21" s="12">
        <v>1</v>
      </c>
      <c r="C21" s="12" t="s">
        <v>856</v>
      </c>
      <c r="D21" s="13" t="s">
        <v>869</v>
      </c>
      <c r="E21" s="13" t="s">
        <v>870</v>
      </c>
      <c r="F21" s="13" t="s">
        <v>30</v>
      </c>
      <c r="G21" s="12" t="s">
        <v>30</v>
      </c>
      <c r="H21" s="12" t="s">
        <v>859</v>
      </c>
      <c r="I21" s="12" t="s">
        <v>72</v>
      </c>
      <c r="J21" s="13" t="s">
        <v>871</v>
      </c>
      <c r="K21" s="13" t="s">
        <v>872</v>
      </c>
      <c r="L21" s="13" t="s">
        <v>874</v>
      </c>
      <c r="M21" s="13" t="s">
        <v>876</v>
      </c>
      <c r="N21" s="13" t="s">
        <v>83</v>
      </c>
      <c r="O21" s="13" t="s">
        <v>878</v>
      </c>
    </row>
    <row r="22" ht="46" customHeight="1" spans="1:15">
      <c r="A22" s="12">
        <v>18</v>
      </c>
      <c r="B22" s="12">
        <v>1</v>
      </c>
      <c r="C22" s="12" t="s">
        <v>856</v>
      </c>
      <c r="D22" s="13" t="s">
        <v>879</v>
      </c>
      <c r="E22" s="13" t="s">
        <v>880</v>
      </c>
      <c r="F22" s="13" t="s">
        <v>30</v>
      </c>
      <c r="G22" s="12" t="s">
        <v>30</v>
      </c>
      <c r="H22" s="12" t="s">
        <v>859</v>
      </c>
      <c r="I22" s="12" t="s">
        <v>72</v>
      </c>
      <c r="J22" s="13" t="s">
        <v>881</v>
      </c>
      <c r="K22" s="13" t="s">
        <v>882</v>
      </c>
      <c r="L22" s="13" t="s">
        <v>884</v>
      </c>
      <c r="M22" s="13" t="s">
        <v>886</v>
      </c>
      <c r="N22" s="13" t="s">
        <v>83</v>
      </c>
      <c r="O22" s="13" t="s">
        <v>783</v>
      </c>
    </row>
    <row r="23" ht="46" customHeight="1" spans="1:15">
      <c r="A23" s="12">
        <v>19</v>
      </c>
      <c r="B23" s="12">
        <v>1</v>
      </c>
      <c r="C23" s="12" t="s">
        <v>856</v>
      </c>
      <c r="D23" s="13" t="s">
        <v>888</v>
      </c>
      <c r="E23" s="13" t="s">
        <v>889</v>
      </c>
      <c r="F23" s="13" t="s">
        <v>30</v>
      </c>
      <c r="G23" s="12" t="s">
        <v>30</v>
      </c>
      <c r="H23" s="12" t="s">
        <v>859</v>
      </c>
      <c r="I23" s="12" t="s">
        <v>72</v>
      </c>
      <c r="J23" s="13" t="s">
        <v>890</v>
      </c>
      <c r="K23" s="13" t="s">
        <v>891</v>
      </c>
      <c r="L23" s="13" t="s">
        <v>893</v>
      </c>
      <c r="M23" s="13" t="s">
        <v>895</v>
      </c>
      <c r="N23" s="13" t="s">
        <v>83</v>
      </c>
      <c r="O23" s="13" t="s">
        <v>897</v>
      </c>
    </row>
    <row r="24" ht="46" customHeight="1" spans="1:15">
      <c r="A24" s="12">
        <v>20</v>
      </c>
      <c r="B24" s="12">
        <v>1</v>
      </c>
      <c r="C24" s="12" t="s">
        <v>856</v>
      </c>
      <c r="D24" s="13" t="s">
        <v>898</v>
      </c>
      <c r="E24" s="13" t="s">
        <v>899</v>
      </c>
      <c r="F24" s="13" t="s">
        <v>30</v>
      </c>
      <c r="G24" s="12" t="s">
        <v>30</v>
      </c>
      <c r="H24" s="12" t="s">
        <v>859</v>
      </c>
      <c r="I24" s="12" t="s">
        <v>72</v>
      </c>
      <c r="J24" s="13" t="s">
        <v>900</v>
      </c>
      <c r="K24" s="13" t="s">
        <v>901</v>
      </c>
      <c r="L24" s="13" t="s">
        <v>903</v>
      </c>
      <c r="M24" s="13" t="s">
        <v>906</v>
      </c>
      <c r="N24" s="13" t="s">
        <v>83</v>
      </c>
      <c r="O24" s="13" t="s">
        <v>908</v>
      </c>
    </row>
    <row r="25" ht="46" customHeight="1" spans="1:15">
      <c r="A25" s="12">
        <v>21</v>
      </c>
      <c r="B25" s="12">
        <v>1</v>
      </c>
      <c r="C25" s="12" t="s">
        <v>856</v>
      </c>
      <c r="D25" s="13" t="s">
        <v>909</v>
      </c>
      <c r="E25" s="13" t="s">
        <v>910</v>
      </c>
      <c r="F25" s="13" t="s">
        <v>30</v>
      </c>
      <c r="G25" s="12" t="s">
        <v>30</v>
      </c>
      <c r="H25" s="12" t="s">
        <v>859</v>
      </c>
      <c r="I25" s="12" t="s">
        <v>112</v>
      </c>
      <c r="J25" s="13" t="s">
        <v>911</v>
      </c>
      <c r="K25" s="13" t="s">
        <v>912</v>
      </c>
      <c r="L25" s="13" t="s">
        <v>914</v>
      </c>
      <c r="M25" s="13" t="s">
        <v>916</v>
      </c>
      <c r="N25" s="13" t="s">
        <v>122</v>
      </c>
      <c r="O25" s="13" t="s">
        <v>783</v>
      </c>
    </row>
    <row r="26" ht="46" customHeight="1" spans="1:15">
      <c r="A26" s="12">
        <v>22</v>
      </c>
      <c r="B26" s="12">
        <v>1</v>
      </c>
      <c r="C26" s="12" t="s">
        <v>856</v>
      </c>
      <c r="D26" s="13" t="s">
        <v>917</v>
      </c>
      <c r="E26" s="13" t="s">
        <v>918</v>
      </c>
      <c r="F26" s="13" t="s">
        <v>30</v>
      </c>
      <c r="G26" s="12" t="s">
        <v>30</v>
      </c>
      <c r="H26" s="12" t="s">
        <v>859</v>
      </c>
      <c r="I26" s="12" t="s">
        <v>112</v>
      </c>
      <c r="J26" s="13" t="s">
        <v>911</v>
      </c>
      <c r="K26" s="13" t="s">
        <v>919</v>
      </c>
      <c r="L26" s="13" t="s">
        <v>921</v>
      </c>
      <c r="M26" s="13" t="s">
        <v>923</v>
      </c>
      <c r="N26" s="13" t="s">
        <v>122</v>
      </c>
      <c r="O26" s="13" t="s">
        <v>924</v>
      </c>
    </row>
    <row r="27" ht="46" customHeight="1" spans="1:15">
      <c r="A27" s="12">
        <v>23</v>
      </c>
      <c r="B27" s="12">
        <v>1</v>
      </c>
      <c r="C27" s="12" t="s">
        <v>856</v>
      </c>
      <c r="D27" s="13" t="s">
        <v>925</v>
      </c>
      <c r="E27" s="13" t="s">
        <v>926</v>
      </c>
      <c r="F27" s="13" t="s">
        <v>30</v>
      </c>
      <c r="G27" s="12" t="s">
        <v>30</v>
      </c>
      <c r="H27" s="12" t="s">
        <v>859</v>
      </c>
      <c r="I27" s="12" t="s">
        <v>112</v>
      </c>
      <c r="J27" s="13" t="s">
        <v>927</v>
      </c>
      <c r="K27" s="13" t="s">
        <v>928</v>
      </c>
      <c r="L27" s="13" t="s">
        <v>930</v>
      </c>
      <c r="M27" s="13" t="s">
        <v>932</v>
      </c>
      <c r="N27" s="13" t="s">
        <v>83</v>
      </c>
      <c r="O27" s="13" t="s">
        <v>783</v>
      </c>
    </row>
    <row r="28" ht="46" customHeight="1" spans="1:15">
      <c r="A28" s="12">
        <v>24</v>
      </c>
      <c r="B28" s="12">
        <v>1</v>
      </c>
      <c r="C28" s="12" t="s">
        <v>856</v>
      </c>
      <c r="D28" s="13" t="s">
        <v>933</v>
      </c>
      <c r="E28" s="13" t="s">
        <v>934</v>
      </c>
      <c r="F28" s="13" t="s">
        <v>30</v>
      </c>
      <c r="G28" s="12" t="s">
        <v>30</v>
      </c>
      <c r="H28" s="12" t="s">
        <v>859</v>
      </c>
      <c r="I28" s="12" t="s">
        <v>112</v>
      </c>
      <c r="J28" s="13" t="s">
        <v>935</v>
      </c>
      <c r="K28" s="13" t="s">
        <v>936</v>
      </c>
      <c r="L28" s="13" t="s">
        <v>938</v>
      </c>
      <c r="M28" s="13" t="s">
        <v>941</v>
      </c>
      <c r="N28" s="13" t="s">
        <v>83</v>
      </c>
      <c r="O28" s="13" t="s">
        <v>943</v>
      </c>
    </row>
    <row r="29" ht="46" customHeight="1" spans="1:15">
      <c r="A29" s="12">
        <v>25</v>
      </c>
      <c r="B29" s="12">
        <v>1</v>
      </c>
      <c r="C29" s="12" t="s">
        <v>856</v>
      </c>
      <c r="D29" s="13" t="s">
        <v>944</v>
      </c>
      <c r="E29" s="13" t="s">
        <v>945</v>
      </c>
      <c r="F29" s="13" t="s">
        <v>30</v>
      </c>
      <c r="G29" s="12" t="s">
        <v>30</v>
      </c>
      <c r="H29" s="12" t="s">
        <v>859</v>
      </c>
      <c r="I29" s="12" t="s">
        <v>112</v>
      </c>
      <c r="J29" s="13" t="s">
        <v>370</v>
      </c>
      <c r="K29" s="13" t="s">
        <v>946</v>
      </c>
      <c r="L29" s="13" t="s">
        <v>948</v>
      </c>
      <c r="M29" s="13" t="s">
        <v>951</v>
      </c>
      <c r="N29" s="13" t="s">
        <v>83</v>
      </c>
      <c r="O29" s="13" t="s">
        <v>953</v>
      </c>
    </row>
    <row r="30" ht="46" customHeight="1" spans="1:15">
      <c r="A30" s="12">
        <v>26</v>
      </c>
      <c r="B30" s="12">
        <v>1</v>
      </c>
      <c r="C30" s="12" t="s">
        <v>856</v>
      </c>
      <c r="D30" s="13" t="s">
        <v>954</v>
      </c>
      <c r="E30" s="13" t="s">
        <v>955</v>
      </c>
      <c r="F30" s="13" t="s">
        <v>30</v>
      </c>
      <c r="G30" s="12" t="s">
        <v>30</v>
      </c>
      <c r="H30" s="12" t="s">
        <v>859</v>
      </c>
      <c r="I30" s="12" t="s">
        <v>112</v>
      </c>
      <c r="J30" s="13" t="s">
        <v>956</v>
      </c>
      <c r="K30" s="13" t="s">
        <v>957</v>
      </c>
      <c r="L30" s="13" t="s">
        <v>959</v>
      </c>
      <c r="M30" s="13" t="s">
        <v>962</v>
      </c>
      <c r="N30" s="13" t="s">
        <v>964</v>
      </c>
      <c r="O30" s="13" t="s">
        <v>965</v>
      </c>
    </row>
    <row r="31" ht="46" customHeight="1" spans="1:15">
      <c r="A31" s="12">
        <v>27</v>
      </c>
      <c r="B31" s="12">
        <v>1</v>
      </c>
      <c r="C31" s="12" t="s">
        <v>856</v>
      </c>
      <c r="D31" s="13" t="s">
        <v>966</v>
      </c>
      <c r="E31" s="13" t="s">
        <v>967</v>
      </c>
      <c r="F31" s="13" t="s">
        <v>30</v>
      </c>
      <c r="G31" s="12" t="s">
        <v>30</v>
      </c>
      <c r="H31" s="12" t="s">
        <v>859</v>
      </c>
      <c r="I31" s="12" t="s">
        <v>112</v>
      </c>
      <c r="J31" s="13" t="s">
        <v>968</v>
      </c>
      <c r="K31" s="13" t="s">
        <v>969</v>
      </c>
      <c r="L31" s="13" t="s">
        <v>971</v>
      </c>
      <c r="M31" s="13" t="s">
        <v>974</v>
      </c>
      <c r="N31" s="13" t="s">
        <v>300</v>
      </c>
      <c r="O31" s="13" t="s">
        <v>301</v>
      </c>
    </row>
    <row r="32" ht="46" customHeight="1" spans="1:15">
      <c r="A32" s="12">
        <v>28</v>
      </c>
      <c r="B32" s="12">
        <v>1</v>
      </c>
      <c r="C32" s="12" t="s">
        <v>856</v>
      </c>
      <c r="D32" s="13" t="s">
        <v>976</v>
      </c>
      <c r="E32" s="13" t="s">
        <v>977</v>
      </c>
      <c r="F32" s="13" t="s">
        <v>30</v>
      </c>
      <c r="G32" s="12" t="s">
        <v>30</v>
      </c>
      <c r="H32" s="12" t="s">
        <v>859</v>
      </c>
      <c r="I32" s="12" t="s">
        <v>112</v>
      </c>
      <c r="J32" s="13" t="s">
        <v>900</v>
      </c>
      <c r="K32" s="13" t="s">
        <v>978</v>
      </c>
      <c r="L32" s="13" t="s">
        <v>980</v>
      </c>
      <c r="M32" s="13" t="s">
        <v>983</v>
      </c>
      <c r="N32" s="13" t="s">
        <v>300</v>
      </c>
      <c r="O32" s="13" t="s">
        <v>301</v>
      </c>
    </row>
    <row r="33" ht="46" customHeight="1" spans="1:15">
      <c r="A33" s="12">
        <v>29</v>
      </c>
      <c r="B33" s="12">
        <v>1</v>
      </c>
      <c r="C33" s="12" t="s">
        <v>856</v>
      </c>
      <c r="D33" s="13" t="s">
        <v>985</v>
      </c>
      <c r="E33" s="13" t="s">
        <v>986</v>
      </c>
      <c r="F33" s="13" t="s">
        <v>30</v>
      </c>
      <c r="G33" s="12" t="s">
        <v>30</v>
      </c>
      <c r="H33" s="12" t="s">
        <v>859</v>
      </c>
      <c r="I33" s="12" t="s">
        <v>112</v>
      </c>
      <c r="J33" s="13" t="s">
        <v>987</v>
      </c>
      <c r="K33" s="13" t="s">
        <v>988</v>
      </c>
      <c r="L33" s="13" t="s">
        <v>990</v>
      </c>
      <c r="M33" s="13" t="s">
        <v>993</v>
      </c>
      <c r="N33" s="13" t="s">
        <v>300</v>
      </c>
      <c r="O33" s="13" t="s">
        <v>301</v>
      </c>
    </row>
    <row r="34" ht="46" customHeight="1" spans="1:15">
      <c r="A34" s="12">
        <v>30</v>
      </c>
      <c r="B34" s="12">
        <v>1</v>
      </c>
      <c r="C34" s="12" t="s">
        <v>856</v>
      </c>
      <c r="D34" s="13" t="s">
        <v>995</v>
      </c>
      <c r="E34" s="13" t="s">
        <v>996</v>
      </c>
      <c r="F34" s="13" t="s">
        <v>30</v>
      </c>
      <c r="G34" s="12" t="s">
        <v>30</v>
      </c>
      <c r="H34" s="12" t="s">
        <v>859</v>
      </c>
      <c r="I34" s="12" t="s">
        <v>112</v>
      </c>
      <c r="J34" s="13" t="s">
        <v>997</v>
      </c>
      <c r="K34" s="13" t="s">
        <v>998</v>
      </c>
      <c r="L34" s="13" t="s">
        <v>1000</v>
      </c>
      <c r="M34" s="13" t="s">
        <v>1002</v>
      </c>
      <c r="N34" s="13" t="s">
        <v>300</v>
      </c>
      <c r="O34" s="13" t="s">
        <v>301</v>
      </c>
    </row>
    <row r="35" ht="46" customHeight="1" spans="1:15">
      <c r="A35" s="12">
        <v>31</v>
      </c>
      <c r="B35" s="12">
        <v>1</v>
      </c>
      <c r="C35" s="12" t="s">
        <v>856</v>
      </c>
      <c r="D35" s="13" t="s">
        <v>1004</v>
      </c>
      <c r="E35" s="13" t="s">
        <v>1005</v>
      </c>
      <c r="F35" s="13" t="s">
        <v>30</v>
      </c>
      <c r="G35" s="12" t="s">
        <v>30</v>
      </c>
      <c r="H35" s="12" t="s">
        <v>859</v>
      </c>
      <c r="I35" s="12" t="s">
        <v>112</v>
      </c>
      <c r="J35" s="13" t="s">
        <v>1006</v>
      </c>
      <c r="K35" s="13" t="s">
        <v>1007</v>
      </c>
      <c r="L35" s="13" t="s">
        <v>1009</v>
      </c>
      <c r="M35" s="13" t="s">
        <v>1011</v>
      </c>
      <c r="N35" s="13" t="s">
        <v>300</v>
      </c>
      <c r="O35" s="13" t="s">
        <v>301</v>
      </c>
    </row>
    <row r="36" ht="46" customHeight="1" spans="1:15">
      <c r="A36" s="12">
        <v>32</v>
      </c>
      <c r="B36" s="12">
        <v>1</v>
      </c>
      <c r="C36" s="12" t="s">
        <v>856</v>
      </c>
      <c r="D36" s="13" t="s">
        <v>1012</v>
      </c>
      <c r="E36" s="13" t="s">
        <v>1013</v>
      </c>
      <c r="F36" s="13" t="s">
        <v>30</v>
      </c>
      <c r="G36" s="12" t="s">
        <v>30</v>
      </c>
      <c r="H36" s="12" t="s">
        <v>859</v>
      </c>
      <c r="I36" s="12" t="s">
        <v>72</v>
      </c>
      <c r="J36" s="13" t="s">
        <v>604</v>
      </c>
      <c r="K36" s="13" t="s">
        <v>1015</v>
      </c>
      <c r="L36" s="13" t="s">
        <v>1017</v>
      </c>
      <c r="M36" s="13" t="s">
        <v>1020</v>
      </c>
      <c r="N36" s="13" t="s">
        <v>228</v>
      </c>
      <c r="O36" s="13" t="s">
        <v>229</v>
      </c>
    </row>
    <row r="37" ht="46" customHeight="1" spans="1:15">
      <c r="A37" s="12">
        <v>33</v>
      </c>
      <c r="B37" s="12">
        <v>1</v>
      </c>
      <c r="C37" s="12" t="s">
        <v>856</v>
      </c>
      <c r="D37" s="13" t="s">
        <v>1022</v>
      </c>
      <c r="E37" s="13" t="s">
        <v>1023</v>
      </c>
      <c r="F37" s="13" t="s">
        <v>30</v>
      </c>
      <c r="G37" s="12" t="s">
        <v>30</v>
      </c>
      <c r="H37" s="12" t="s">
        <v>859</v>
      </c>
      <c r="I37" s="12" t="s">
        <v>112</v>
      </c>
      <c r="J37" s="13" t="s">
        <v>261</v>
      </c>
      <c r="K37" s="13" t="s">
        <v>1025</v>
      </c>
      <c r="L37" s="13" t="s">
        <v>1027</v>
      </c>
      <c r="M37" s="13" t="s">
        <v>1030</v>
      </c>
      <c r="N37" s="13" t="s">
        <v>228</v>
      </c>
      <c r="O37" s="13" t="s">
        <v>229</v>
      </c>
    </row>
    <row r="38" ht="46" customHeight="1" spans="1:15">
      <c r="A38" s="12">
        <v>34</v>
      </c>
      <c r="B38" s="12">
        <v>1</v>
      </c>
      <c r="C38" s="12" t="s">
        <v>856</v>
      </c>
      <c r="D38" s="13" t="s">
        <v>1032</v>
      </c>
      <c r="E38" s="13" t="s">
        <v>1033</v>
      </c>
      <c r="F38" s="13" t="s">
        <v>30</v>
      </c>
      <c r="G38" s="12" t="s">
        <v>30</v>
      </c>
      <c r="H38" s="12" t="s">
        <v>859</v>
      </c>
      <c r="I38" s="12" t="s">
        <v>112</v>
      </c>
      <c r="J38" s="13" t="s">
        <v>1035</v>
      </c>
      <c r="K38" s="13" t="s">
        <v>1036</v>
      </c>
      <c r="L38" s="13" t="s">
        <v>1038</v>
      </c>
      <c r="M38" s="13" t="s">
        <v>1040</v>
      </c>
      <c r="N38" s="13" t="s">
        <v>228</v>
      </c>
      <c r="O38" s="13" t="s">
        <v>229</v>
      </c>
    </row>
    <row r="39" ht="46" customHeight="1" spans="1:15">
      <c r="A39" s="12">
        <v>35</v>
      </c>
      <c r="B39" s="12">
        <v>1</v>
      </c>
      <c r="C39" s="12" t="s">
        <v>856</v>
      </c>
      <c r="D39" s="13" t="s">
        <v>1042</v>
      </c>
      <c r="E39" s="13" t="s">
        <v>1043</v>
      </c>
      <c r="F39" s="13" t="s">
        <v>30</v>
      </c>
      <c r="G39" s="12" t="s">
        <v>30</v>
      </c>
      <c r="H39" s="12" t="s">
        <v>859</v>
      </c>
      <c r="I39" s="12" t="s">
        <v>112</v>
      </c>
      <c r="J39" s="13" t="s">
        <v>1045</v>
      </c>
      <c r="K39" s="13" t="s">
        <v>1046</v>
      </c>
      <c r="L39" s="13" t="s">
        <v>1048</v>
      </c>
      <c r="M39" s="13" t="s">
        <v>1050</v>
      </c>
      <c r="N39" s="13" t="s">
        <v>228</v>
      </c>
      <c r="O39" s="13" t="s">
        <v>229</v>
      </c>
    </row>
    <row r="40" ht="46" customHeight="1" spans="1:15">
      <c r="A40" s="12">
        <v>36</v>
      </c>
      <c r="B40" s="12">
        <v>1</v>
      </c>
      <c r="C40" s="12" t="s">
        <v>856</v>
      </c>
      <c r="D40" s="13" t="s">
        <v>1052</v>
      </c>
      <c r="E40" s="13" t="s">
        <v>1053</v>
      </c>
      <c r="F40" s="13" t="s">
        <v>30</v>
      </c>
      <c r="G40" s="12" t="s">
        <v>30</v>
      </c>
      <c r="H40" s="12" t="s">
        <v>859</v>
      </c>
      <c r="I40" s="12" t="s">
        <v>112</v>
      </c>
      <c r="J40" s="13" t="s">
        <v>1055</v>
      </c>
      <c r="K40" s="13" t="s">
        <v>1056</v>
      </c>
      <c r="L40" s="13" t="s">
        <v>1058</v>
      </c>
      <c r="M40" s="13" t="s">
        <v>1061</v>
      </c>
      <c r="N40" s="13" t="s">
        <v>228</v>
      </c>
      <c r="O40" s="13" t="s">
        <v>229</v>
      </c>
    </row>
  </sheetData>
  <mergeCells count="2">
    <mergeCell ref="A1:O1"/>
    <mergeCell ref="A2:O2"/>
  </mergeCells>
  <conditionalFormatting sqref="I5:I40">
    <cfRule type="containsText" dxfId="0" priority="1" operator="between" text="P0">
      <formula>NOT(ISERROR(SEARCH("P0",I5)))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9"/>
  <sheetViews>
    <sheetView showGridLines="0" workbookViewId="0">
      <selection activeCell="A1" sqref="A1:O1"/>
    </sheetView>
  </sheetViews>
  <sheetFormatPr defaultColWidth="9" defaultRowHeight="14"/>
  <cols>
    <col min="1" max="1" width="8" customWidth="1"/>
    <col min="2" max="2" width="7" customWidth="1"/>
    <col min="3" max="3" width="18" customWidth="1"/>
    <col min="4" max="4" width="30" customWidth="1"/>
    <col min="5" max="6" width="43" customWidth="1"/>
    <col min="7" max="7" width="18" customWidth="1"/>
    <col min="8" max="8" width="12" customWidth="1"/>
    <col min="9" max="9" width="9" customWidth="1"/>
    <col min="10" max="10" width="28" customWidth="1"/>
    <col min="11" max="11" width="45" customWidth="1"/>
    <col min="12" max="12" width="38" customWidth="1"/>
    <col min="13" max="13" width="48" customWidth="1"/>
    <col min="14" max="14" width="26" customWidth="1"/>
    <col min="15" max="15" width="38" customWidth="1"/>
  </cols>
  <sheetData>
    <row r="1" ht="38" customHeight="1" spans="1:15">
      <c r="A1" s="10" t="s">
        <v>1886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>
      <c r="A2" s="11" t="s">
        <v>1887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3" ht="14.75"/>
    <row r="4" ht="34" customHeight="1" spans="1:15">
      <c r="A4" s="1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55</v>
      </c>
      <c r="K4" s="2" t="s">
        <v>56</v>
      </c>
      <c r="L4" s="2" t="s">
        <v>58</v>
      </c>
      <c r="M4" s="2" t="s">
        <v>61</v>
      </c>
      <c r="N4" s="2" t="s">
        <v>64</v>
      </c>
      <c r="O4" s="3" t="s">
        <v>65</v>
      </c>
    </row>
    <row r="5" ht="46" customHeight="1" spans="1:15">
      <c r="A5" s="12">
        <v>1</v>
      </c>
      <c r="B5" s="12">
        <v>1</v>
      </c>
      <c r="C5" s="12" t="s">
        <v>1063</v>
      </c>
      <c r="D5" s="13" t="s">
        <v>1064</v>
      </c>
      <c r="E5" s="13" t="s">
        <v>1065</v>
      </c>
      <c r="F5" s="13" t="s">
        <v>30</v>
      </c>
      <c r="G5" s="12" t="s">
        <v>30</v>
      </c>
      <c r="H5" s="12" t="s">
        <v>1066</v>
      </c>
      <c r="I5" s="12" t="s">
        <v>72</v>
      </c>
      <c r="J5" s="13" t="s">
        <v>316</v>
      </c>
      <c r="K5" s="13" t="s">
        <v>1068</v>
      </c>
      <c r="L5" s="13" t="s">
        <v>1070</v>
      </c>
      <c r="M5" s="13" t="s">
        <v>1072</v>
      </c>
      <c r="N5" s="13" t="s">
        <v>228</v>
      </c>
      <c r="O5" s="13" t="s">
        <v>229</v>
      </c>
    </row>
    <row r="6" ht="46" customHeight="1" spans="1:15">
      <c r="A6" s="12">
        <v>2</v>
      </c>
      <c r="B6" s="12">
        <v>1</v>
      </c>
      <c r="C6" s="12" t="s">
        <v>1063</v>
      </c>
      <c r="D6" s="13" t="s">
        <v>1074</v>
      </c>
      <c r="E6" s="13" t="s">
        <v>1075</v>
      </c>
      <c r="F6" s="13" t="s">
        <v>30</v>
      </c>
      <c r="G6" s="12" t="s">
        <v>30</v>
      </c>
      <c r="H6" s="12" t="s">
        <v>1066</v>
      </c>
      <c r="I6" s="12" t="s">
        <v>72</v>
      </c>
      <c r="J6" s="13" t="s">
        <v>1077</v>
      </c>
      <c r="K6" s="13" t="s">
        <v>1078</v>
      </c>
      <c r="L6" s="13" t="s">
        <v>1080</v>
      </c>
      <c r="M6" s="13" t="s">
        <v>1083</v>
      </c>
      <c r="N6" s="13" t="s">
        <v>228</v>
      </c>
      <c r="O6" s="13" t="s">
        <v>229</v>
      </c>
    </row>
    <row r="7" ht="46" customHeight="1" spans="1:15">
      <c r="A7" s="12">
        <v>3</v>
      </c>
      <c r="B7" s="12">
        <v>1</v>
      </c>
      <c r="C7" s="12" t="s">
        <v>1063</v>
      </c>
      <c r="D7" s="13" t="s">
        <v>1085</v>
      </c>
      <c r="E7" s="13" t="s">
        <v>1086</v>
      </c>
      <c r="F7" s="13" t="s">
        <v>30</v>
      </c>
      <c r="G7" s="12" t="s">
        <v>30</v>
      </c>
      <c r="H7" s="12" t="s">
        <v>1066</v>
      </c>
      <c r="I7" s="12" t="s">
        <v>112</v>
      </c>
      <c r="J7" s="13" t="s">
        <v>261</v>
      </c>
      <c r="K7" s="13" t="s">
        <v>1088</v>
      </c>
      <c r="L7" s="13" t="s">
        <v>1090</v>
      </c>
      <c r="M7" s="13" t="s">
        <v>1092</v>
      </c>
      <c r="N7" s="13" t="s">
        <v>228</v>
      </c>
      <c r="O7" s="13" t="s">
        <v>229</v>
      </c>
    </row>
    <row r="8" ht="46" customHeight="1" spans="1:15">
      <c r="A8" s="12">
        <v>4</v>
      </c>
      <c r="B8" s="12">
        <v>1</v>
      </c>
      <c r="C8" s="12" t="s">
        <v>1063</v>
      </c>
      <c r="D8" s="13" t="s">
        <v>1094</v>
      </c>
      <c r="E8" s="13" t="s">
        <v>1095</v>
      </c>
      <c r="F8" s="13" t="s">
        <v>30</v>
      </c>
      <c r="G8" s="12" t="s">
        <v>30</v>
      </c>
      <c r="H8" s="12" t="s">
        <v>1066</v>
      </c>
      <c r="I8" s="12" t="s">
        <v>112</v>
      </c>
      <c r="J8" s="13" t="s">
        <v>604</v>
      </c>
      <c r="K8" s="13" t="s">
        <v>1097</v>
      </c>
      <c r="L8" s="13" t="s">
        <v>1099</v>
      </c>
      <c r="M8" s="13" t="s">
        <v>1102</v>
      </c>
      <c r="N8" s="13" t="s">
        <v>228</v>
      </c>
      <c r="O8" s="13" t="s">
        <v>229</v>
      </c>
    </row>
    <row r="9" ht="46" customHeight="1" spans="1:15">
      <c r="A9" s="14">
        <v>5</v>
      </c>
      <c r="B9" s="14">
        <v>1</v>
      </c>
      <c r="C9" s="14" t="s">
        <v>1104</v>
      </c>
      <c r="D9" s="15" t="s">
        <v>171</v>
      </c>
      <c r="E9" s="15" t="s">
        <v>1105</v>
      </c>
      <c r="F9" s="15" t="s">
        <v>30</v>
      </c>
      <c r="G9" s="14" t="s">
        <v>30</v>
      </c>
      <c r="H9" s="14" t="s">
        <v>1106</v>
      </c>
      <c r="I9" s="14" t="s">
        <v>112</v>
      </c>
      <c r="J9" s="15" t="s">
        <v>166</v>
      </c>
      <c r="K9" s="15" t="s">
        <v>1107</v>
      </c>
      <c r="L9" s="15" t="s">
        <v>1109</v>
      </c>
      <c r="M9" s="15" t="s">
        <v>1112</v>
      </c>
      <c r="N9" s="15" t="s">
        <v>174</v>
      </c>
      <c r="O9" s="15" t="s">
        <v>1113</v>
      </c>
    </row>
    <row r="10" ht="46" customHeight="1" spans="1:15">
      <c r="A10" s="14">
        <v>6</v>
      </c>
      <c r="B10" s="14">
        <v>1</v>
      </c>
      <c r="C10" s="14" t="s">
        <v>1104</v>
      </c>
      <c r="D10" s="15" t="s">
        <v>725</v>
      </c>
      <c r="E10" s="15" t="s">
        <v>1114</v>
      </c>
      <c r="F10" s="15" t="s">
        <v>30</v>
      </c>
      <c r="G10" s="14" t="s">
        <v>30</v>
      </c>
      <c r="H10" s="14" t="s">
        <v>1106</v>
      </c>
      <c r="I10" s="14" t="s">
        <v>112</v>
      </c>
      <c r="J10" s="15" t="s">
        <v>166</v>
      </c>
      <c r="K10" s="15" t="s">
        <v>1116</v>
      </c>
      <c r="L10" s="15" t="s">
        <v>1118</v>
      </c>
      <c r="M10" s="15" t="s">
        <v>1121</v>
      </c>
      <c r="N10" s="15" t="s">
        <v>174</v>
      </c>
      <c r="O10" s="15" t="s">
        <v>1122</v>
      </c>
    </row>
    <row r="11" ht="46" customHeight="1" spans="1:15">
      <c r="A11" s="12">
        <v>7</v>
      </c>
      <c r="B11" s="12">
        <v>1</v>
      </c>
      <c r="C11" s="12" t="s">
        <v>1104</v>
      </c>
      <c r="D11" s="13" t="s">
        <v>154</v>
      </c>
      <c r="E11" s="13" t="s">
        <v>1123</v>
      </c>
      <c r="F11" s="13" t="s">
        <v>30</v>
      </c>
      <c r="G11" s="12" t="s">
        <v>30</v>
      </c>
      <c r="H11" s="12" t="s">
        <v>1106</v>
      </c>
      <c r="I11" s="12" t="s">
        <v>72</v>
      </c>
      <c r="J11" s="13" t="s">
        <v>1124</v>
      </c>
      <c r="K11" s="13" t="s">
        <v>1125</v>
      </c>
      <c r="L11" s="13" t="s">
        <v>1127</v>
      </c>
      <c r="M11" s="13" t="s">
        <v>1130</v>
      </c>
      <c r="N11" s="13" t="s">
        <v>83</v>
      </c>
      <c r="O11" s="13" t="s">
        <v>1131</v>
      </c>
    </row>
    <row r="12" ht="46" customHeight="1" spans="1:15">
      <c r="A12" s="12">
        <v>8</v>
      </c>
      <c r="B12" s="12">
        <v>1</v>
      </c>
      <c r="C12" s="12" t="s">
        <v>1104</v>
      </c>
      <c r="D12" s="13" t="s">
        <v>1132</v>
      </c>
      <c r="E12" s="13" t="s">
        <v>1133</v>
      </c>
      <c r="F12" s="13" t="s">
        <v>30</v>
      </c>
      <c r="G12" s="12" t="s">
        <v>30</v>
      </c>
      <c r="H12" s="12" t="s">
        <v>1106</v>
      </c>
      <c r="I12" s="12" t="s">
        <v>72</v>
      </c>
      <c r="J12" s="13" t="s">
        <v>397</v>
      </c>
      <c r="K12" s="13" t="s">
        <v>1134</v>
      </c>
      <c r="L12" s="13" t="s">
        <v>1136</v>
      </c>
      <c r="M12" s="13" t="s">
        <v>1130</v>
      </c>
      <c r="N12" s="13" t="s">
        <v>83</v>
      </c>
      <c r="O12" s="13" t="s">
        <v>1139</v>
      </c>
    </row>
    <row r="13" ht="46" customHeight="1" spans="1:15">
      <c r="A13" s="12">
        <v>9</v>
      </c>
      <c r="B13" s="12">
        <v>1</v>
      </c>
      <c r="C13" s="12" t="s">
        <v>1104</v>
      </c>
      <c r="D13" s="13" t="s">
        <v>285</v>
      </c>
      <c r="E13" s="13" t="s">
        <v>1140</v>
      </c>
      <c r="F13" s="13" t="s">
        <v>30</v>
      </c>
      <c r="G13" s="12" t="s">
        <v>30</v>
      </c>
      <c r="H13" s="12" t="s">
        <v>1106</v>
      </c>
      <c r="I13" s="12" t="s">
        <v>112</v>
      </c>
      <c r="J13" s="13" t="s">
        <v>280</v>
      </c>
      <c r="K13" s="13" t="s">
        <v>1141</v>
      </c>
      <c r="L13" s="13" t="s">
        <v>1143</v>
      </c>
      <c r="M13" s="13" t="s">
        <v>1130</v>
      </c>
      <c r="N13" s="13" t="s">
        <v>122</v>
      </c>
      <c r="O13" s="13" t="s">
        <v>1147</v>
      </c>
    </row>
    <row r="14" ht="46" customHeight="1" spans="1:15">
      <c r="A14" s="14">
        <v>10</v>
      </c>
      <c r="B14" s="14">
        <v>1</v>
      </c>
      <c r="C14" s="14" t="s">
        <v>1104</v>
      </c>
      <c r="D14" s="15" t="s">
        <v>105</v>
      </c>
      <c r="E14" s="15" t="s">
        <v>1148</v>
      </c>
      <c r="F14" s="15" t="s">
        <v>30</v>
      </c>
      <c r="G14" s="14" t="s">
        <v>30</v>
      </c>
      <c r="H14" s="14" t="s">
        <v>1106</v>
      </c>
      <c r="I14" s="14" t="s">
        <v>72</v>
      </c>
      <c r="J14" s="15" t="s">
        <v>166</v>
      </c>
      <c r="K14" s="15" t="s">
        <v>1150</v>
      </c>
      <c r="L14" s="15" t="s">
        <v>1152</v>
      </c>
      <c r="M14" s="15" t="s">
        <v>1155</v>
      </c>
      <c r="N14" s="15" t="s">
        <v>174</v>
      </c>
      <c r="O14" s="15" t="s">
        <v>1158</v>
      </c>
    </row>
    <row r="15" ht="46" customHeight="1" spans="1:15">
      <c r="A15" s="12">
        <v>11</v>
      </c>
      <c r="B15" s="12">
        <v>1</v>
      </c>
      <c r="C15" s="12" t="s">
        <v>1104</v>
      </c>
      <c r="D15" s="13" t="s">
        <v>740</v>
      </c>
      <c r="E15" s="13" t="s">
        <v>1159</v>
      </c>
      <c r="F15" s="13" t="s">
        <v>30</v>
      </c>
      <c r="G15" s="12" t="s">
        <v>30</v>
      </c>
      <c r="H15" s="12" t="s">
        <v>1106</v>
      </c>
      <c r="I15" s="12" t="s">
        <v>112</v>
      </c>
      <c r="J15" s="13" t="s">
        <v>570</v>
      </c>
      <c r="K15" s="13" t="s">
        <v>575</v>
      </c>
      <c r="L15" s="13" t="s">
        <v>1161</v>
      </c>
      <c r="M15" s="13" t="s">
        <v>1164</v>
      </c>
      <c r="N15" s="13" t="s">
        <v>122</v>
      </c>
      <c r="O15" s="13" t="s">
        <v>579</v>
      </c>
    </row>
    <row r="16" ht="46" customHeight="1" spans="1:15">
      <c r="A16" s="12">
        <v>12</v>
      </c>
      <c r="B16" s="12">
        <v>1</v>
      </c>
      <c r="C16" s="12" t="s">
        <v>1104</v>
      </c>
      <c r="D16" s="13" t="s">
        <v>1166</v>
      </c>
      <c r="E16" s="13" t="s">
        <v>1167</v>
      </c>
      <c r="F16" s="13" t="s">
        <v>30</v>
      </c>
      <c r="G16" s="12" t="s">
        <v>30</v>
      </c>
      <c r="H16" s="12" t="s">
        <v>1106</v>
      </c>
      <c r="I16" s="12" t="s">
        <v>112</v>
      </c>
      <c r="J16" s="13" t="s">
        <v>1168</v>
      </c>
      <c r="K16" s="13" t="s">
        <v>1169</v>
      </c>
      <c r="L16" s="13" t="s">
        <v>1171</v>
      </c>
      <c r="M16" s="13" t="s">
        <v>1174</v>
      </c>
      <c r="N16" s="13" t="s">
        <v>122</v>
      </c>
      <c r="O16" s="13" t="s">
        <v>1176</v>
      </c>
    </row>
    <row r="17" ht="46" customHeight="1" spans="1:15">
      <c r="A17" s="12">
        <v>13</v>
      </c>
      <c r="B17" s="12">
        <v>1</v>
      </c>
      <c r="C17" s="12" t="s">
        <v>1104</v>
      </c>
      <c r="D17" s="13" t="s">
        <v>1029</v>
      </c>
      <c r="E17" s="13" t="s">
        <v>1177</v>
      </c>
      <c r="F17" s="13" t="s">
        <v>30</v>
      </c>
      <c r="G17" s="12" t="s">
        <v>30</v>
      </c>
      <c r="H17" s="12" t="s">
        <v>1106</v>
      </c>
      <c r="I17" s="12" t="s">
        <v>72</v>
      </c>
      <c r="J17" s="13" t="s">
        <v>525</v>
      </c>
      <c r="K17" s="13" t="s">
        <v>1178</v>
      </c>
      <c r="L17" s="13" t="s">
        <v>1180</v>
      </c>
      <c r="M17" s="13" t="s">
        <v>1183</v>
      </c>
      <c r="N17" s="13" t="s">
        <v>1185</v>
      </c>
      <c r="O17" s="13" t="s">
        <v>1186</v>
      </c>
    </row>
    <row r="18" ht="46" customHeight="1" spans="1:15">
      <c r="A18" s="12">
        <v>14</v>
      </c>
      <c r="B18" s="12">
        <v>1</v>
      </c>
      <c r="C18" s="12" t="s">
        <v>1104</v>
      </c>
      <c r="D18" s="13" t="s">
        <v>1187</v>
      </c>
      <c r="E18" s="13" t="s">
        <v>1188</v>
      </c>
      <c r="F18" s="13" t="s">
        <v>30</v>
      </c>
      <c r="G18" s="12" t="s">
        <v>30</v>
      </c>
      <c r="H18" s="12" t="s">
        <v>1106</v>
      </c>
      <c r="I18" s="12" t="s">
        <v>72</v>
      </c>
      <c r="J18" s="13" t="s">
        <v>1189</v>
      </c>
      <c r="K18" s="13" t="s">
        <v>1190</v>
      </c>
      <c r="L18" s="13" t="s">
        <v>1192</v>
      </c>
      <c r="M18" s="13" t="s">
        <v>1195</v>
      </c>
      <c r="N18" s="13" t="s">
        <v>300</v>
      </c>
      <c r="O18" s="13" t="s">
        <v>301</v>
      </c>
    </row>
    <row r="19" ht="46" customHeight="1" spans="1:15">
      <c r="A19" s="12">
        <v>15</v>
      </c>
      <c r="B19" s="12">
        <v>1</v>
      </c>
      <c r="C19" s="12" t="s">
        <v>1104</v>
      </c>
      <c r="D19" s="13" t="s">
        <v>1196</v>
      </c>
      <c r="E19" s="13" t="s">
        <v>1197</v>
      </c>
      <c r="F19" s="13" t="s">
        <v>30</v>
      </c>
      <c r="G19" s="12" t="s">
        <v>30</v>
      </c>
      <c r="H19" s="12" t="s">
        <v>1106</v>
      </c>
      <c r="I19" s="12" t="s">
        <v>112</v>
      </c>
      <c r="J19" s="13" t="s">
        <v>1198</v>
      </c>
      <c r="K19" s="13" t="s">
        <v>1199</v>
      </c>
      <c r="L19" s="13" t="s">
        <v>1201</v>
      </c>
      <c r="M19" s="13" t="s">
        <v>1204</v>
      </c>
      <c r="N19" s="13" t="s">
        <v>300</v>
      </c>
      <c r="O19" s="13" t="s">
        <v>301</v>
      </c>
    </row>
    <row r="20" ht="46" customHeight="1" spans="1:15">
      <c r="A20" s="12">
        <v>16</v>
      </c>
      <c r="B20" s="12">
        <v>1</v>
      </c>
      <c r="C20" s="12" t="s">
        <v>1104</v>
      </c>
      <c r="D20" s="13" t="s">
        <v>1205</v>
      </c>
      <c r="E20" s="13" t="s">
        <v>1206</v>
      </c>
      <c r="F20" s="13" t="s">
        <v>30</v>
      </c>
      <c r="G20" s="12" t="s">
        <v>30</v>
      </c>
      <c r="H20" s="12" t="s">
        <v>1106</v>
      </c>
      <c r="I20" s="12" t="s">
        <v>112</v>
      </c>
      <c r="J20" s="13" t="s">
        <v>638</v>
      </c>
      <c r="K20" s="13" t="s">
        <v>1207</v>
      </c>
      <c r="L20" s="13" t="s">
        <v>1209</v>
      </c>
      <c r="M20" s="13" t="s">
        <v>1212</v>
      </c>
      <c r="N20" s="13" t="s">
        <v>300</v>
      </c>
      <c r="O20" s="13" t="s">
        <v>301</v>
      </c>
    </row>
    <row r="21" ht="46" customHeight="1" spans="1:15">
      <c r="A21" s="12">
        <v>17</v>
      </c>
      <c r="B21" s="12">
        <v>1</v>
      </c>
      <c r="C21" s="12" t="s">
        <v>1104</v>
      </c>
      <c r="D21" s="13" t="s">
        <v>1213</v>
      </c>
      <c r="E21" s="13" t="s">
        <v>1214</v>
      </c>
      <c r="F21" s="13" t="s">
        <v>30</v>
      </c>
      <c r="G21" s="12" t="s">
        <v>30</v>
      </c>
      <c r="H21" s="12" t="s">
        <v>1106</v>
      </c>
      <c r="I21" s="12" t="s">
        <v>112</v>
      </c>
      <c r="J21" s="13" t="s">
        <v>1216</v>
      </c>
      <c r="K21" s="13" t="s">
        <v>1217</v>
      </c>
      <c r="L21" s="13" t="s">
        <v>1219</v>
      </c>
      <c r="M21" s="13" t="s">
        <v>1222</v>
      </c>
      <c r="N21" s="13" t="s">
        <v>228</v>
      </c>
      <c r="O21" s="13" t="s">
        <v>229</v>
      </c>
    </row>
    <row r="22" ht="46" customHeight="1" spans="1:15">
      <c r="A22" s="14">
        <v>18</v>
      </c>
      <c r="B22" s="14">
        <v>1</v>
      </c>
      <c r="C22" s="14" t="s">
        <v>1224</v>
      </c>
      <c r="D22" s="15" t="s">
        <v>1225</v>
      </c>
      <c r="E22" s="15" t="s">
        <v>1226</v>
      </c>
      <c r="F22" s="15" t="s">
        <v>30</v>
      </c>
      <c r="G22" s="14" t="s">
        <v>30</v>
      </c>
      <c r="H22" s="14" t="s">
        <v>1227</v>
      </c>
      <c r="I22" s="14" t="s">
        <v>112</v>
      </c>
      <c r="J22" s="15" t="s">
        <v>166</v>
      </c>
      <c r="K22" s="15" t="s">
        <v>1228</v>
      </c>
      <c r="L22" s="15" t="s">
        <v>1230</v>
      </c>
      <c r="M22" s="15" t="s">
        <v>1233</v>
      </c>
      <c r="N22" s="15" t="s">
        <v>174</v>
      </c>
      <c r="O22" s="15" t="s">
        <v>728</v>
      </c>
    </row>
    <row r="23" ht="46" customHeight="1" spans="1:15">
      <c r="A23" s="12">
        <v>19</v>
      </c>
      <c r="B23" s="12">
        <v>1</v>
      </c>
      <c r="C23" s="12" t="s">
        <v>1224</v>
      </c>
      <c r="D23" s="13" t="s">
        <v>1234</v>
      </c>
      <c r="E23" s="13" t="s">
        <v>1235</v>
      </c>
      <c r="F23" s="13" t="s">
        <v>30</v>
      </c>
      <c r="G23" s="12" t="s">
        <v>30</v>
      </c>
      <c r="H23" s="12" t="s">
        <v>1227</v>
      </c>
      <c r="I23" s="12" t="s">
        <v>112</v>
      </c>
      <c r="J23" s="13" t="s">
        <v>1236</v>
      </c>
      <c r="K23" s="13" t="s">
        <v>1237</v>
      </c>
      <c r="L23" s="13" t="s">
        <v>1239</v>
      </c>
      <c r="M23" s="13" t="s">
        <v>1241</v>
      </c>
      <c r="N23" s="13" t="s">
        <v>122</v>
      </c>
      <c r="O23" s="13" t="s">
        <v>1243</v>
      </c>
    </row>
    <row r="24" ht="46" customHeight="1" spans="1:15">
      <c r="A24" s="12">
        <v>20</v>
      </c>
      <c r="B24" s="12">
        <v>1</v>
      </c>
      <c r="C24" s="12" t="s">
        <v>1224</v>
      </c>
      <c r="D24" s="13" t="s">
        <v>1244</v>
      </c>
      <c r="E24" s="13" t="s">
        <v>1245</v>
      </c>
      <c r="F24" s="13" t="s">
        <v>30</v>
      </c>
      <c r="G24" s="12" t="s">
        <v>30</v>
      </c>
      <c r="H24" s="12" t="s">
        <v>1227</v>
      </c>
      <c r="I24" s="12" t="s">
        <v>72</v>
      </c>
      <c r="J24" s="13" t="s">
        <v>1246</v>
      </c>
      <c r="K24" s="13" t="s">
        <v>1247</v>
      </c>
      <c r="L24" s="13" t="s">
        <v>1249</v>
      </c>
      <c r="M24" s="13" t="s">
        <v>1251</v>
      </c>
      <c r="N24" s="13" t="s">
        <v>1252</v>
      </c>
      <c r="O24" s="13" t="s">
        <v>1253</v>
      </c>
    </row>
    <row r="25" ht="46" customHeight="1" spans="1:15">
      <c r="A25" s="12">
        <v>21</v>
      </c>
      <c r="B25" s="12">
        <v>1</v>
      </c>
      <c r="C25" s="12" t="s">
        <v>1224</v>
      </c>
      <c r="D25" s="13" t="s">
        <v>1254</v>
      </c>
      <c r="E25" s="13" t="s">
        <v>1255</v>
      </c>
      <c r="F25" s="13" t="s">
        <v>30</v>
      </c>
      <c r="G25" s="12" t="s">
        <v>30</v>
      </c>
      <c r="H25" s="12" t="s">
        <v>1227</v>
      </c>
      <c r="I25" s="12" t="s">
        <v>72</v>
      </c>
      <c r="J25" s="13" t="s">
        <v>1256</v>
      </c>
      <c r="K25" s="13" t="s">
        <v>1257</v>
      </c>
      <c r="L25" s="13" t="s">
        <v>1259</v>
      </c>
      <c r="M25" s="13" t="s">
        <v>1261</v>
      </c>
      <c r="N25" s="13" t="s">
        <v>1252</v>
      </c>
      <c r="O25" s="13" t="s">
        <v>1253</v>
      </c>
    </row>
    <row r="26" ht="46" customHeight="1" spans="1:15">
      <c r="A26" s="12">
        <v>22</v>
      </c>
      <c r="B26" s="12">
        <v>1</v>
      </c>
      <c r="C26" s="12" t="s">
        <v>1224</v>
      </c>
      <c r="D26" s="13" t="s">
        <v>1263</v>
      </c>
      <c r="E26" s="13" t="s">
        <v>1264</v>
      </c>
      <c r="F26" s="13" t="s">
        <v>30</v>
      </c>
      <c r="G26" s="12" t="s">
        <v>30</v>
      </c>
      <c r="H26" s="12" t="s">
        <v>1227</v>
      </c>
      <c r="I26" s="12" t="s">
        <v>72</v>
      </c>
      <c r="J26" s="13" t="s">
        <v>1265</v>
      </c>
      <c r="K26" s="13" t="s">
        <v>1266</v>
      </c>
      <c r="L26" s="13" t="s">
        <v>1268</v>
      </c>
      <c r="M26" s="13" t="s">
        <v>1270</v>
      </c>
      <c r="N26" s="13" t="s">
        <v>1252</v>
      </c>
      <c r="O26" s="13" t="s">
        <v>1253</v>
      </c>
    </row>
    <row r="27" ht="46" customHeight="1" spans="1:15">
      <c r="A27" s="12">
        <v>23</v>
      </c>
      <c r="B27" s="12">
        <v>1</v>
      </c>
      <c r="C27" s="12" t="s">
        <v>1224</v>
      </c>
      <c r="D27" s="13" t="s">
        <v>1272</v>
      </c>
      <c r="E27" s="13" t="s">
        <v>1273</v>
      </c>
      <c r="F27" s="13" t="s">
        <v>30</v>
      </c>
      <c r="G27" s="12" t="s">
        <v>30</v>
      </c>
      <c r="H27" s="12" t="s">
        <v>1227</v>
      </c>
      <c r="I27" s="12" t="s">
        <v>72</v>
      </c>
      <c r="J27" s="13" t="s">
        <v>1274</v>
      </c>
      <c r="K27" s="13" t="s">
        <v>1275</v>
      </c>
      <c r="L27" s="13" t="s">
        <v>1277</v>
      </c>
      <c r="M27" s="13" t="s">
        <v>1279</v>
      </c>
      <c r="N27" s="13" t="s">
        <v>1252</v>
      </c>
      <c r="O27" s="13" t="s">
        <v>1253</v>
      </c>
    </row>
    <row r="28" ht="46" customHeight="1" spans="1:15">
      <c r="A28" s="12">
        <v>24</v>
      </c>
      <c r="B28" s="12">
        <v>1</v>
      </c>
      <c r="C28" s="12" t="s">
        <v>1224</v>
      </c>
      <c r="D28" s="13" t="s">
        <v>1281</v>
      </c>
      <c r="E28" s="13" t="s">
        <v>1282</v>
      </c>
      <c r="F28" s="13" t="s">
        <v>30</v>
      </c>
      <c r="G28" s="12" t="s">
        <v>30</v>
      </c>
      <c r="H28" s="12" t="s">
        <v>1227</v>
      </c>
      <c r="I28" s="12" t="s">
        <v>112</v>
      </c>
      <c r="J28" s="13" t="s">
        <v>1283</v>
      </c>
      <c r="K28" s="13" t="s">
        <v>1284</v>
      </c>
      <c r="L28" s="13" t="s">
        <v>1286</v>
      </c>
      <c r="M28" s="13" t="s">
        <v>1287</v>
      </c>
      <c r="N28" s="13" t="s">
        <v>122</v>
      </c>
      <c r="O28" s="13" t="s">
        <v>579</v>
      </c>
    </row>
    <row r="29" ht="46" customHeight="1" spans="1:15">
      <c r="A29" s="12">
        <v>25</v>
      </c>
      <c r="B29" s="12">
        <v>1</v>
      </c>
      <c r="C29" s="12" t="s">
        <v>1224</v>
      </c>
      <c r="D29" s="13" t="s">
        <v>1289</v>
      </c>
      <c r="E29" s="13" t="s">
        <v>1290</v>
      </c>
      <c r="F29" s="13" t="s">
        <v>30</v>
      </c>
      <c r="G29" s="12" t="s">
        <v>30</v>
      </c>
      <c r="H29" s="12" t="s">
        <v>1227</v>
      </c>
      <c r="I29" s="12" t="s">
        <v>72</v>
      </c>
      <c r="J29" s="13" t="s">
        <v>1189</v>
      </c>
      <c r="K29" s="13" t="s">
        <v>1291</v>
      </c>
      <c r="L29" s="13" t="s">
        <v>1293</v>
      </c>
      <c r="M29" s="13" t="s">
        <v>1296</v>
      </c>
      <c r="N29" s="13" t="s">
        <v>300</v>
      </c>
      <c r="O29" s="13" t="s">
        <v>301</v>
      </c>
    </row>
    <row r="30" ht="46" customHeight="1" spans="1:15">
      <c r="A30" s="12">
        <v>26</v>
      </c>
      <c r="B30" s="12">
        <v>1</v>
      </c>
      <c r="C30" s="12" t="s">
        <v>1224</v>
      </c>
      <c r="D30" s="13" t="s">
        <v>1297</v>
      </c>
      <c r="E30" s="13" t="s">
        <v>1298</v>
      </c>
      <c r="F30" s="13" t="s">
        <v>30</v>
      </c>
      <c r="G30" s="12" t="s">
        <v>30</v>
      </c>
      <c r="H30" s="12" t="s">
        <v>1227</v>
      </c>
      <c r="I30" s="12" t="s">
        <v>72</v>
      </c>
      <c r="J30" s="13" t="s">
        <v>1299</v>
      </c>
      <c r="K30" s="13" t="s">
        <v>1300</v>
      </c>
      <c r="L30" s="13" t="s">
        <v>1302</v>
      </c>
      <c r="M30" s="13" t="s">
        <v>1305</v>
      </c>
      <c r="N30" s="13" t="s">
        <v>300</v>
      </c>
      <c r="O30" s="13" t="s">
        <v>301</v>
      </c>
    </row>
    <row r="31" ht="46" customHeight="1" spans="1:15">
      <c r="A31" s="12">
        <v>27</v>
      </c>
      <c r="B31" s="12">
        <v>1</v>
      </c>
      <c r="C31" s="12" t="s">
        <v>1224</v>
      </c>
      <c r="D31" s="13" t="s">
        <v>1306</v>
      </c>
      <c r="E31" s="13" t="s">
        <v>1307</v>
      </c>
      <c r="F31" s="13" t="s">
        <v>30</v>
      </c>
      <c r="G31" s="12" t="s">
        <v>30</v>
      </c>
      <c r="H31" s="12" t="s">
        <v>1227</v>
      </c>
      <c r="I31" s="12" t="s">
        <v>72</v>
      </c>
      <c r="J31" s="13" t="s">
        <v>1308</v>
      </c>
      <c r="K31" s="13" t="s">
        <v>1309</v>
      </c>
      <c r="L31" s="13" t="s">
        <v>1311</v>
      </c>
      <c r="M31" s="13" t="s">
        <v>1313</v>
      </c>
      <c r="N31" s="13" t="s">
        <v>300</v>
      </c>
      <c r="O31" s="13" t="s">
        <v>301</v>
      </c>
    </row>
    <row r="32" ht="46" customHeight="1" spans="1:15">
      <c r="A32" s="12">
        <v>28</v>
      </c>
      <c r="B32" s="12">
        <v>1</v>
      </c>
      <c r="C32" s="12" t="s">
        <v>1224</v>
      </c>
      <c r="D32" s="13" t="s">
        <v>1314</v>
      </c>
      <c r="E32" s="13" t="s">
        <v>1315</v>
      </c>
      <c r="F32" s="13" t="s">
        <v>30</v>
      </c>
      <c r="G32" s="12" t="s">
        <v>30</v>
      </c>
      <c r="H32" s="12" t="s">
        <v>1227</v>
      </c>
      <c r="I32" s="12" t="s">
        <v>112</v>
      </c>
      <c r="J32" s="13" t="s">
        <v>1316</v>
      </c>
      <c r="K32" s="13" t="s">
        <v>1317</v>
      </c>
      <c r="L32" s="13" t="s">
        <v>1319</v>
      </c>
      <c r="M32" s="13" t="s">
        <v>1322</v>
      </c>
      <c r="N32" s="13" t="s">
        <v>300</v>
      </c>
      <c r="O32" s="13" t="s">
        <v>301</v>
      </c>
    </row>
    <row r="33" ht="46" customHeight="1" spans="1:15">
      <c r="A33" s="12">
        <v>29</v>
      </c>
      <c r="B33" s="12">
        <v>1</v>
      </c>
      <c r="C33" s="12" t="s">
        <v>1224</v>
      </c>
      <c r="D33" s="13" t="s">
        <v>1324</v>
      </c>
      <c r="E33" s="13" t="s">
        <v>1325</v>
      </c>
      <c r="F33" s="13" t="s">
        <v>30</v>
      </c>
      <c r="G33" s="12" t="s">
        <v>30</v>
      </c>
      <c r="H33" s="12" t="s">
        <v>1227</v>
      </c>
      <c r="I33" s="12" t="s">
        <v>112</v>
      </c>
      <c r="J33" s="13" t="s">
        <v>1326</v>
      </c>
      <c r="K33" s="13" t="s">
        <v>1327</v>
      </c>
      <c r="L33" s="13" t="s">
        <v>1329</v>
      </c>
      <c r="M33" s="13" t="s">
        <v>1332</v>
      </c>
      <c r="N33" s="13" t="s">
        <v>300</v>
      </c>
      <c r="O33" s="13" t="s">
        <v>301</v>
      </c>
    </row>
    <row r="34" ht="46" customHeight="1" spans="1:15">
      <c r="A34" s="12">
        <v>30</v>
      </c>
      <c r="B34" s="12">
        <v>1</v>
      </c>
      <c r="C34" s="12" t="s">
        <v>1224</v>
      </c>
      <c r="D34" s="13" t="s">
        <v>1333</v>
      </c>
      <c r="E34" s="13" t="s">
        <v>1334</v>
      </c>
      <c r="F34" s="13" t="s">
        <v>30</v>
      </c>
      <c r="G34" s="12" t="s">
        <v>30</v>
      </c>
      <c r="H34" s="12" t="s">
        <v>1227</v>
      </c>
      <c r="I34" s="12" t="s">
        <v>112</v>
      </c>
      <c r="J34" s="13" t="s">
        <v>833</v>
      </c>
      <c r="K34" s="13" t="s">
        <v>1335</v>
      </c>
      <c r="L34" s="13" t="s">
        <v>1336</v>
      </c>
      <c r="M34" s="13" t="s">
        <v>1339</v>
      </c>
      <c r="N34" s="13" t="s">
        <v>300</v>
      </c>
      <c r="O34" s="13" t="s">
        <v>301</v>
      </c>
    </row>
    <row r="35" ht="46" customHeight="1" spans="1:15">
      <c r="A35" s="12">
        <v>31</v>
      </c>
      <c r="B35" s="12">
        <v>1</v>
      </c>
      <c r="C35" s="12" t="s">
        <v>1224</v>
      </c>
      <c r="D35" s="13" t="s">
        <v>1340</v>
      </c>
      <c r="E35" s="13" t="s">
        <v>1341</v>
      </c>
      <c r="F35" s="13" t="s">
        <v>30</v>
      </c>
      <c r="G35" s="12" t="s">
        <v>30</v>
      </c>
      <c r="H35" s="12" t="s">
        <v>1227</v>
      </c>
      <c r="I35" s="12" t="s">
        <v>112</v>
      </c>
      <c r="J35" s="13" t="s">
        <v>777</v>
      </c>
      <c r="K35" s="13" t="s">
        <v>1342</v>
      </c>
      <c r="L35" s="13" t="s">
        <v>1344</v>
      </c>
      <c r="M35" s="13" t="s">
        <v>1347</v>
      </c>
      <c r="N35" s="13" t="s">
        <v>300</v>
      </c>
      <c r="O35" s="13" t="s">
        <v>301</v>
      </c>
    </row>
    <row r="36" ht="46" customHeight="1" spans="1:15">
      <c r="A36" s="12">
        <v>32</v>
      </c>
      <c r="B36" s="12">
        <v>1</v>
      </c>
      <c r="C36" s="12" t="s">
        <v>1224</v>
      </c>
      <c r="D36" s="13" t="s">
        <v>1348</v>
      </c>
      <c r="E36" s="13" t="s">
        <v>1349</v>
      </c>
      <c r="F36" s="13" t="s">
        <v>30</v>
      </c>
      <c r="G36" s="12" t="s">
        <v>30</v>
      </c>
      <c r="H36" s="12" t="s">
        <v>1227</v>
      </c>
      <c r="I36" s="12" t="s">
        <v>112</v>
      </c>
      <c r="J36" s="13" t="s">
        <v>1351</v>
      </c>
      <c r="K36" s="13" t="s">
        <v>1352</v>
      </c>
      <c r="L36" s="13" t="s">
        <v>1354</v>
      </c>
      <c r="M36" s="13" t="s">
        <v>1357</v>
      </c>
      <c r="N36" s="13" t="s">
        <v>228</v>
      </c>
      <c r="O36" s="13" t="s">
        <v>229</v>
      </c>
    </row>
    <row r="37" ht="46" customHeight="1" spans="1:15">
      <c r="A37" s="12">
        <v>33</v>
      </c>
      <c r="B37" s="12">
        <v>1</v>
      </c>
      <c r="C37" s="12" t="s">
        <v>1359</v>
      </c>
      <c r="D37" s="13" t="s">
        <v>1360</v>
      </c>
      <c r="E37" s="13" t="s">
        <v>1361</v>
      </c>
      <c r="F37" s="13" t="s">
        <v>30</v>
      </c>
      <c r="G37" s="12" t="s">
        <v>30</v>
      </c>
      <c r="H37" s="12" t="s">
        <v>1362</v>
      </c>
      <c r="I37" s="12" t="s">
        <v>72</v>
      </c>
      <c r="J37" s="13" t="s">
        <v>81</v>
      </c>
      <c r="K37" s="13" t="s">
        <v>1363</v>
      </c>
      <c r="L37" s="13" t="s">
        <v>1365</v>
      </c>
      <c r="M37" s="13" t="s">
        <v>1368</v>
      </c>
      <c r="N37" s="13" t="s">
        <v>1369</v>
      </c>
      <c r="O37" s="13" t="s">
        <v>1370</v>
      </c>
    </row>
    <row r="38" ht="46" customHeight="1" spans="1:15">
      <c r="A38" s="12">
        <v>34</v>
      </c>
      <c r="B38" s="12">
        <v>1</v>
      </c>
      <c r="C38" s="12" t="s">
        <v>1359</v>
      </c>
      <c r="D38" s="13" t="s">
        <v>1371</v>
      </c>
      <c r="E38" s="13" t="s">
        <v>1372</v>
      </c>
      <c r="F38" s="13" t="s">
        <v>30</v>
      </c>
      <c r="G38" s="12" t="s">
        <v>30</v>
      </c>
      <c r="H38" s="12" t="s">
        <v>1362</v>
      </c>
      <c r="I38" s="12" t="s">
        <v>72</v>
      </c>
      <c r="J38" s="13" t="s">
        <v>1373</v>
      </c>
      <c r="K38" s="13" t="s">
        <v>1374</v>
      </c>
      <c r="L38" s="13" t="s">
        <v>1376</v>
      </c>
      <c r="M38" s="13" t="s">
        <v>1368</v>
      </c>
      <c r="N38" s="13" t="s">
        <v>1369</v>
      </c>
      <c r="O38" s="13" t="s">
        <v>1379</v>
      </c>
    </row>
    <row r="39" ht="46" customHeight="1" spans="1:15">
      <c r="A39" s="12">
        <v>35</v>
      </c>
      <c r="B39" s="12">
        <v>1</v>
      </c>
      <c r="C39" s="12" t="s">
        <v>1359</v>
      </c>
      <c r="D39" s="13" t="s">
        <v>1380</v>
      </c>
      <c r="E39" s="13" t="s">
        <v>1381</v>
      </c>
      <c r="F39" s="13" t="s">
        <v>30</v>
      </c>
      <c r="G39" s="12" t="s">
        <v>30</v>
      </c>
      <c r="H39" s="12" t="s">
        <v>1362</v>
      </c>
      <c r="I39" s="12" t="s">
        <v>72</v>
      </c>
      <c r="J39" s="13" t="s">
        <v>1373</v>
      </c>
      <c r="K39" s="13" t="s">
        <v>1382</v>
      </c>
      <c r="L39" s="13" t="s">
        <v>1376</v>
      </c>
      <c r="M39" s="13" t="s">
        <v>1368</v>
      </c>
      <c r="N39" s="13" t="s">
        <v>1369</v>
      </c>
      <c r="O39" s="13" t="s">
        <v>1379</v>
      </c>
    </row>
    <row r="40" ht="46" customHeight="1" spans="1:15">
      <c r="A40" s="14">
        <v>36</v>
      </c>
      <c r="B40" s="14">
        <v>1</v>
      </c>
      <c r="C40" s="14" t="s">
        <v>1359</v>
      </c>
      <c r="D40" s="15" t="s">
        <v>1383</v>
      </c>
      <c r="E40" s="15" t="s">
        <v>1384</v>
      </c>
      <c r="F40" s="15" t="s">
        <v>30</v>
      </c>
      <c r="G40" s="14" t="s">
        <v>30</v>
      </c>
      <c r="H40" s="14" t="s">
        <v>1362</v>
      </c>
      <c r="I40" s="14" t="s">
        <v>72</v>
      </c>
      <c r="J40" s="15" t="s">
        <v>166</v>
      </c>
      <c r="K40" s="15" t="s">
        <v>1386</v>
      </c>
      <c r="L40" s="15" t="s">
        <v>1388</v>
      </c>
      <c r="M40" s="15" t="s">
        <v>1368</v>
      </c>
      <c r="N40" s="15" t="s">
        <v>174</v>
      </c>
      <c r="O40" s="15" t="s">
        <v>1391</v>
      </c>
    </row>
    <row r="41" ht="46" customHeight="1" spans="1:15">
      <c r="A41" s="12">
        <v>37</v>
      </c>
      <c r="B41" s="12">
        <v>1</v>
      </c>
      <c r="C41" s="12" t="s">
        <v>1359</v>
      </c>
      <c r="D41" s="13" t="s">
        <v>1392</v>
      </c>
      <c r="E41" s="13" t="s">
        <v>1393</v>
      </c>
      <c r="F41" s="13" t="s">
        <v>30</v>
      </c>
      <c r="G41" s="12" t="s">
        <v>30</v>
      </c>
      <c r="H41" s="12" t="s">
        <v>1362</v>
      </c>
      <c r="I41" s="12" t="s">
        <v>72</v>
      </c>
      <c r="J41" s="13" t="s">
        <v>1394</v>
      </c>
      <c r="K41" s="13" t="s">
        <v>1395</v>
      </c>
      <c r="L41" s="13" t="s">
        <v>1397</v>
      </c>
      <c r="M41" s="13" t="s">
        <v>1368</v>
      </c>
      <c r="N41" s="13" t="s">
        <v>1369</v>
      </c>
      <c r="O41" s="13" t="s">
        <v>1400</v>
      </c>
    </row>
    <row r="42" ht="46" customHeight="1" spans="1:15">
      <c r="A42" s="12">
        <v>38</v>
      </c>
      <c r="B42" s="12">
        <v>1</v>
      </c>
      <c r="C42" s="12" t="s">
        <v>1359</v>
      </c>
      <c r="D42" s="13" t="s">
        <v>1401</v>
      </c>
      <c r="E42" s="13" t="s">
        <v>1402</v>
      </c>
      <c r="F42" s="13" t="s">
        <v>30</v>
      </c>
      <c r="G42" s="12" t="s">
        <v>30</v>
      </c>
      <c r="H42" s="12" t="s">
        <v>1362</v>
      </c>
      <c r="I42" s="12" t="s">
        <v>72</v>
      </c>
      <c r="J42" s="13" t="s">
        <v>881</v>
      </c>
      <c r="K42" s="13" t="s">
        <v>1403</v>
      </c>
      <c r="L42" s="13" t="s">
        <v>1405</v>
      </c>
      <c r="M42" s="13" t="s">
        <v>1407</v>
      </c>
      <c r="N42" s="13" t="s">
        <v>1369</v>
      </c>
      <c r="O42" s="13" t="s">
        <v>1408</v>
      </c>
    </row>
    <row r="43" ht="46" customHeight="1" spans="1:15">
      <c r="A43" s="12">
        <v>39</v>
      </c>
      <c r="B43" s="12">
        <v>1</v>
      </c>
      <c r="C43" s="12" t="s">
        <v>1359</v>
      </c>
      <c r="D43" s="13" t="s">
        <v>1409</v>
      </c>
      <c r="E43" s="13" t="s">
        <v>1410</v>
      </c>
      <c r="F43" s="13" t="s">
        <v>30</v>
      </c>
      <c r="G43" s="12" t="s">
        <v>30</v>
      </c>
      <c r="H43" s="12" t="s">
        <v>1362</v>
      </c>
      <c r="I43" s="12" t="s">
        <v>72</v>
      </c>
      <c r="J43" s="13" t="s">
        <v>896</v>
      </c>
      <c r="K43" s="13" t="s">
        <v>1411</v>
      </c>
      <c r="L43" s="13" t="s">
        <v>1413</v>
      </c>
      <c r="M43" s="13" t="s">
        <v>1368</v>
      </c>
      <c r="N43" s="13" t="s">
        <v>1369</v>
      </c>
      <c r="O43" s="13" t="s">
        <v>1415</v>
      </c>
    </row>
    <row r="44" ht="46" customHeight="1" spans="1:15">
      <c r="A44" s="12">
        <v>40</v>
      </c>
      <c r="B44" s="12">
        <v>1</v>
      </c>
      <c r="C44" s="12" t="s">
        <v>1359</v>
      </c>
      <c r="D44" s="13" t="s">
        <v>1416</v>
      </c>
      <c r="E44" s="13" t="s">
        <v>1417</v>
      </c>
      <c r="F44" s="13" t="s">
        <v>30</v>
      </c>
      <c r="G44" s="12" t="s">
        <v>30</v>
      </c>
      <c r="H44" s="12" t="s">
        <v>1362</v>
      </c>
      <c r="I44" s="12" t="s">
        <v>72</v>
      </c>
      <c r="J44" s="13" t="s">
        <v>907</v>
      </c>
      <c r="K44" s="13" t="s">
        <v>1418</v>
      </c>
      <c r="L44" s="13" t="s">
        <v>1420</v>
      </c>
      <c r="M44" s="13" t="s">
        <v>1368</v>
      </c>
      <c r="N44" s="13" t="s">
        <v>1369</v>
      </c>
      <c r="O44" s="13" t="s">
        <v>1415</v>
      </c>
    </row>
    <row r="45" ht="46" customHeight="1" spans="1:15">
      <c r="A45" s="12">
        <v>41</v>
      </c>
      <c r="B45" s="12">
        <v>1</v>
      </c>
      <c r="C45" s="12" t="s">
        <v>1359</v>
      </c>
      <c r="D45" s="13" t="s">
        <v>1423</v>
      </c>
      <c r="E45" s="13" t="s">
        <v>1424</v>
      </c>
      <c r="F45" s="13" t="s">
        <v>30</v>
      </c>
      <c r="G45" s="12" t="s">
        <v>30</v>
      </c>
      <c r="H45" s="12" t="s">
        <v>1362</v>
      </c>
      <c r="I45" s="12" t="s">
        <v>112</v>
      </c>
      <c r="J45" s="13" t="s">
        <v>531</v>
      </c>
      <c r="K45" s="13" t="s">
        <v>1425</v>
      </c>
      <c r="L45" s="13" t="s">
        <v>1427</v>
      </c>
      <c r="M45" s="13" t="s">
        <v>1429</v>
      </c>
      <c r="N45" s="13" t="s">
        <v>83</v>
      </c>
      <c r="O45" s="13" t="s">
        <v>1430</v>
      </c>
    </row>
    <row r="46" ht="46" customHeight="1" spans="1:15">
      <c r="A46" s="12">
        <v>42</v>
      </c>
      <c r="B46" s="12">
        <v>1</v>
      </c>
      <c r="C46" s="12" t="s">
        <v>1359</v>
      </c>
      <c r="D46" s="13" t="s">
        <v>1431</v>
      </c>
      <c r="E46" s="13" t="s">
        <v>1432</v>
      </c>
      <c r="F46" s="13" t="s">
        <v>30</v>
      </c>
      <c r="G46" s="12" t="s">
        <v>30</v>
      </c>
      <c r="H46" s="12" t="s">
        <v>1362</v>
      </c>
      <c r="I46" s="12" t="s">
        <v>112</v>
      </c>
      <c r="J46" s="13" t="s">
        <v>377</v>
      </c>
      <c r="K46" s="13" t="s">
        <v>1433</v>
      </c>
      <c r="L46" s="13" t="s">
        <v>1435</v>
      </c>
      <c r="M46" s="13" t="s">
        <v>1368</v>
      </c>
      <c r="N46" s="13" t="s">
        <v>1369</v>
      </c>
      <c r="O46" s="13" t="s">
        <v>1438</v>
      </c>
    </row>
    <row r="47" ht="46" customHeight="1" spans="1:15">
      <c r="A47" s="12">
        <v>43</v>
      </c>
      <c r="B47" s="12">
        <v>1</v>
      </c>
      <c r="C47" s="12" t="s">
        <v>1359</v>
      </c>
      <c r="D47" s="13" t="s">
        <v>1439</v>
      </c>
      <c r="E47" s="13" t="s">
        <v>1440</v>
      </c>
      <c r="F47" s="13" t="s">
        <v>30</v>
      </c>
      <c r="G47" s="12" t="s">
        <v>30</v>
      </c>
      <c r="H47" s="12" t="s">
        <v>1362</v>
      </c>
      <c r="I47" s="12" t="s">
        <v>112</v>
      </c>
      <c r="J47" s="13" t="s">
        <v>81</v>
      </c>
      <c r="K47" s="13" t="s">
        <v>1441</v>
      </c>
      <c r="L47" s="13" t="s">
        <v>1443</v>
      </c>
      <c r="M47" s="13" t="s">
        <v>1446</v>
      </c>
      <c r="N47" s="13" t="s">
        <v>1369</v>
      </c>
      <c r="O47" s="13" t="s">
        <v>1447</v>
      </c>
    </row>
    <row r="48" ht="46" customHeight="1" spans="1:15">
      <c r="A48" s="12">
        <v>44</v>
      </c>
      <c r="B48" s="12">
        <v>1</v>
      </c>
      <c r="C48" s="12" t="s">
        <v>1359</v>
      </c>
      <c r="D48" s="13" t="s">
        <v>1448</v>
      </c>
      <c r="E48" s="13" t="s">
        <v>1449</v>
      </c>
      <c r="F48" s="13" t="s">
        <v>30</v>
      </c>
      <c r="G48" s="12" t="s">
        <v>30</v>
      </c>
      <c r="H48" s="12" t="s">
        <v>1362</v>
      </c>
      <c r="I48" s="12" t="s">
        <v>72</v>
      </c>
      <c r="J48" s="13" t="s">
        <v>316</v>
      </c>
      <c r="K48" s="13" t="s">
        <v>1450</v>
      </c>
      <c r="L48" s="13" t="s">
        <v>1452</v>
      </c>
      <c r="M48" s="13" t="s">
        <v>1454</v>
      </c>
      <c r="N48" s="13" t="s">
        <v>300</v>
      </c>
      <c r="O48" s="13" t="s">
        <v>301</v>
      </c>
    </row>
    <row r="49" ht="46" customHeight="1" spans="1:15">
      <c r="A49" s="12">
        <v>45</v>
      </c>
      <c r="B49" s="12">
        <v>1</v>
      </c>
      <c r="C49" s="12" t="s">
        <v>1359</v>
      </c>
      <c r="D49" s="13" t="s">
        <v>1456</v>
      </c>
      <c r="E49" s="13" t="s">
        <v>1457</v>
      </c>
      <c r="F49" s="13" t="s">
        <v>30</v>
      </c>
      <c r="G49" s="12" t="s">
        <v>30</v>
      </c>
      <c r="H49" s="12" t="s">
        <v>1362</v>
      </c>
      <c r="I49" s="12" t="s">
        <v>72</v>
      </c>
      <c r="J49" s="13" t="s">
        <v>30</v>
      </c>
      <c r="K49" s="13" t="s">
        <v>1458</v>
      </c>
      <c r="L49" s="13" t="s">
        <v>1460</v>
      </c>
      <c r="M49" s="13" t="s">
        <v>1462</v>
      </c>
      <c r="N49" s="13" t="s">
        <v>300</v>
      </c>
      <c r="O49" s="13" t="s">
        <v>301</v>
      </c>
    </row>
    <row r="50" ht="46" customHeight="1" spans="1:15">
      <c r="A50" s="12">
        <v>46</v>
      </c>
      <c r="B50" s="12">
        <v>1</v>
      </c>
      <c r="C50" s="12" t="s">
        <v>1359</v>
      </c>
      <c r="D50" s="13" t="s">
        <v>1464</v>
      </c>
      <c r="E50" s="13" t="s">
        <v>1465</v>
      </c>
      <c r="F50" s="13" t="s">
        <v>30</v>
      </c>
      <c r="G50" s="12" t="s">
        <v>30</v>
      </c>
      <c r="H50" s="12" t="s">
        <v>1362</v>
      </c>
      <c r="I50" s="12" t="s">
        <v>72</v>
      </c>
      <c r="J50" s="13" t="s">
        <v>30</v>
      </c>
      <c r="K50" s="13" t="s">
        <v>1466</v>
      </c>
      <c r="L50" s="13" t="s">
        <v>1468</v>
      </c>
      <c r="M50" s="13" t="s">
        <v>1470</v>
      </c>
      <c r="N50" s="13" t="s">
        <v>300</v>
      </c>
      <c r="O50" s="13" t="s">
        <v>301</v>
      </c>
    </row>
    <row r="51" ht="46" customHeight="1" spans="1:15">
      <c r="A51" s="12">
        <v>47</v>
      </c>
      <c r="B51" s="12">
        <v>1</v>
      </c>
      <c r="C51" s="12" t="s">
        <v>1359</v>
      </c>
      <c r="D51" s="13" t="s">
        <v>1472</v>
      </c>
      <c r="E51" s="13" t="s">
        <v>1473</v>
      </c>
      <c r="F51" s="13" t="s">
        <v>30</v>
      </c>
      <c r="G51" s="12" t="s">
        <v>30</v>
      </c>
      <c r="H51" s="12" t="s">
        <v>1362</v>
      </c>
      <c r="I51" s="12" t="s">
        <v>72</v>
      </c>
      <c r="J51" s="13" t="s">
        <v>30</v>
      </c>
      <c r="K51" s="13" t="s">
        <v>1474</v>
      </c>
      <c r="L51" s="13" t="s">
        <v>1476</v>
      </c>
      <c r="M51" s="13" t="s">
        <v>1478</v>
      </c>
      <c r="N51" s="13" t="s">
        <v>1185</v>
      </c>
      <c r="O51" s="13" t="s">
        <v>1480</v>
      </c>
    </row>
    <row r="52" ht="46" customHeight="1" spans="1:15">
      <c r="A52" s="12">
        <v>48</v>
      </c>
      <c r="B52" s="12">
        <v>1</v>
      </c>
      <c r="C52" s="12" t="s">
        <v>1359</v>
      </c>
      <c r="D52" s="13" t="s">
        <v>1481</v>
      </c>
      <c r="E52" s="13" t="s">
        <v>1482</v>
      </c>
      <c r="F52" s="13" t="s">
        <v>30</v>
      </c>
      <c r="G52" s="12" t="s">
        <v>30</v>
      </c>
      <c r="H52" s="12" t="s">
        <v>1362</v>
      </c>
      <c r="I52" s="12" t="s">
        <v>72</v>
      </c>
      <c r="J52" s="13" t="s">
        <v>30</v>
      </c>
      <c r="K52" s="13" t="s">
        <v>1483</v>
      </c>
      <c r="L52" s="13" t="s">
        <v>1485</v>
      </c>
      <c r="M52" s="13" t="s">
        <v>1488</v>
      </c>
      <c r="N52" s="13" t="s">
        <v>300</v>
      </c>
      <c r="O52" s="13" t="s">
        <v>301</v>
      </c>
    </row>
    <row r="53" ht="46" customHeight="1" spans="1:15">
      <c r="A53" s="12">
        <v>49</v>
      </c>
      <c r="B53" s="12">
        <v>1</v>
      </c>
      <c r="C53" s="12" t="s">
        <v>1359</v>
      </c>
      <c r="D53" s="13" t="s">
        <v>1489</v>
      </c>
      <c r="E53" s="13" t="s">
        <v>1490</v>
      </c>
      <c r="F53" s="13" t="s">
        <v>30</v>
      </c>
      <c r="G53" s="12" t="s">
        <v>30</v>
      </c>
      <c r="H53" s="12" t="s">
        <v>1362</v>
      </c>
      <c r="I53" s="12" t="s">
        <v>112</v>
      </c>
      <c r="J53" s="13" t="s">
        <v>30</v>
      </c>
      <c r="K53" s="13" t="s">
        <v>1491</v>
      </c>
      <c r="L53" s="13" t="s">
        <v>1493</v>
      </c>
      <c r="M53" s="13" t="s">
        <v>1496</v>
      </c>
      <c r="N53" s="13" t="s">
        <v>300</v>
      </c>
      <c r="O53" s="13" t="s">
        <v>301</v>
      </c>
    </row>
    <row r="54" ht="46" customHeight="1" spans="1:15">
      <c r="A54" s="12">
        <v>50</v>
      </c>
      <c r="B54" s="12">
        <v>1</v>
      </c>
      <c r="C54" s="12" t="s">
        <v>1359</v>
      </c>
      <c r="D54" s="13" t="s">
        <v>1498</v>
      </c>
      <c r="E54" s="13" t="s">
        <v>1499</v>
      </c>
      <c r="F54" s="13" t="s">
        <v>30</v>
      </c>
      <c r="G54" s="12" t="s">
        <v>30</v>
      </c>
      <c r="H54" s="12" t="s">
        <v>1362</v>
      </c>
      <c r="I54" s="12" t="s">
        <v>112</v>
      </c>
      <c r="J54" s="13" t="s">
        <v>30</v>
      </c>
      <c r="K54" s="13" t="s">
        <v>1500</v>
      </c>
      <c r="L54" s="13" t="s">
        <v>1502</v>
      </c>
      <c r="M54" s="13" t="s">
        <v>1504</v>
      </c>
      <c r="N54" s="13" t="s">
        <v>300</v>
      </c>
      <c r="O54" s="13" t="s">
        <v>301</v>
      </c>
    </row>
    <row r="55" ht="46" customHeight="1" spans="1:15">
      <c r="A55" s="12">
        <v>51</v>
      </c>
      <c r="B55" s="12">
        <v>1</v>
      </c>
      <c r="C55" s="12" t="s">
        <v>1359</v>
      </c>
      <c r="D55" s="13" t="s">
        <v>1505</v>
      </c>
      <c r="E55" s="13" t="s">
        <v>1506</v>
      </c>
      <c r="F55" s="13" t="s">
        <v>30</v>
      </c>
      <c r="G55" s="12" t="s">
        <v>30</v>
      </c>
      <c r="H55" s="12" t="s">
        <v>1362</v>
      </c>
      <c r="I55" s="12" t="s">
        <v>112</v>
      </c>
      <c r="J55" s="13" t="s">
        <v>30</v>
      </c>
      <c r="K55" s="13" t="s">
        <v>1507</v>
      </c>
      <c r="L55" s="13" t="s">
        <v>1509</v>
      </c>
      <c r="M55" s="13" t="s">
        <v>1512</v>
      </c>
      <c r="N55" s="13" t="s">
        <v>300</v>
      </c>
      <c r="O55" s="13" t="s">
        <v>301</v>
      </c>
    </row>
    <row r="56" ht="46" customHeight="1" spans="1:15">
      <c r="A56" s="12">
        <v>52</v>
      </c>
      <c r="B56" s="12">
        <v>1</v>
      </c>
      <c r="C56" s="12" t="s">
        <v>1359</v>
      </c>
      <c r="D56" s="13" t="s">
        <v>1514</v>
      </c>
      <c r="E56" s="13" t="s">
        <v>1515</v>
      </c>
      <c r="F56" s="13" t="s">
        <v>30</v>
      </c>
      <c r="G56" s="12" t="s">
        <v>30</v>
      </c>
      <c r="H56" s="12" t="s">
        <v>1362</v>
      </c>
      <c r="I56" s="12" t="s">
        <v>112</v>
      </c>
      <c r="J56" s="13" t="s">
        <v>81</v>
      </c>
      <c r="K56" s="13" t="s">
        <v>1517</v>
      </c>
      <c r="L56" s="13" t="s">
        <v>1519</v>
      </c>
      <c r="M56" s="13" t="s">
        <v>1521</v>
      </c>
      <c r="N56" s="13" t="s">
        <v>228</v>
      </c>
      <c r="O56" s="13" t="s">
        <v>229</v>
      </c>
    </row>
    <row r="57" ht="46" customHeight="1" spans="1:15">
      <c r="A57" s="12">
        <v>53</v>
      </c>
      <c r="B57" s="12">
        <v>1</v>
      </c>
      <c r="C57" s="12" t="s">
        <v>1359</v>
      </c>
      <c r="D57" s="13" t="s">
        <v>1523</v>
      </c>
      <c r="E57" s="13" t="s">
        <v>1524</v>
      </c>
      <c r="F57" s="13" t="s">
        <v>30</v>
      </c>
      <c r="G57" s="12" t="s">
        <v>30</v>
      </c>
      <c r="H57" s="12" t="s">
        <v>1362</v>
      </c>
      <c r="I57" s="12" t="s">
        <v>112</v>
      </c>
      <c r="J57" s="13" t="s">
        <v>81</v>
      </c>
      <c r="K57" s="13" t="s">
        <v>1525</v>
      </c>
      <c r="L57" s="13" t="s">
        <v>1527</v>
      </c>
      <c r="M57" s="13" t="s">
        <v>1528</v>
      </c>
      <c r="N57" s="13" t="s">
        <v>228</v>
      </c>
      <c r="O57" s="13" t="s">
        <v>229</v>
      </c>
    </row>
    <row r="58" ht="46" customHeight="1" spans="1:15">
      <c r="A58" s="12">
        <v>54</v>
      </c>
      <c r="B58" s="12">
        <v>1</v>
      </c>
      <c r="C58" s="12" t="s">
        <v>1359</v>
      </c>
      <c r="D58" s="13" t="s">
        <v>1530</v>
      </c>
      <c r="E58" s="13" t="s">
        <v>1531</v>
      </c>
      <c r="F58" s="13" t="s">
        <v>30</v>
      </c>
      <c r="G58" s="12" t="s">
        <v>30</v>
      </c>
      <c r="H58" s="12" t="s">
        <v>1362</v>
      </c>
      <c r="I58" s="12" t="s">
        <v>112</v>
      </c>
      <c r="J58" s="13" t="s">
        <v>604</v>
      </c>
      <c r="K58" s="13" t="s">
        <v>1533</v>
      </c>
      <c r="L58" s="13" t="s">
        <v>1535</v>
      </c>
      <c r="M58" s="13" t="s">
        <v>1537</v>
      </c>
      <c r="N58" s="13" t="s">
        <v>228</v>
      </c>
      <c r="O58" s="13" t="s">
        <v>229</v>
      </c>
    </row>
    <row r="59" ht="46" customHeight="1" spans="1:15">
      <c r="A59" s="12">
        <v>55</v>
      </c>
      <c r="B59" s="12">
        <v>1</v>
      </c>
      <c r="C59" s="12" t="s">
        <v>1359</v>
      </c>
      <c r="D59" s="13" t="s">
        <v>1539</v>
      </c>
      <c r="E59" s="13" t="s">
        <v>1540</v>
      </c>
      <c r="F59" s="13" t="s">
        <v>30</v>
      </c>
      <c r="G59" s="12" t="s">
        <v>30</v>
      </c>
      <c r="H59" s="12" t="s">
        <v>1362</v>
      </c>
      <c r="I59" s="12" t="s">
        <v>112</v>
      </c>
      <c r="J59" s="13" t="s">
        <v>1542</v>
      </c>
      <c r="K59" s="13" t="s">
        <v>1543</v>
      </c>
      <c r="L59" s="13" t="s">
        <v>1545</v>
      </c>
      <c r="M59" s="13" t="s">
        <v>1547</v>
      </c>
      <c r="N59" s="13" t="s">
        <v>228</v>
      </c>
      <c r="O59" s="13" t="s">
        <v>229</v>
      </c>
    </row>
    <row r="60" ht="46" customHeight="1" spans="1:15">
      <c r="A60" s="12">
        <v>56</v>
      </c>
      <c r="B60" s="12">
        <v>1</v>
      </c>
      <c r="C60" s="12" t="s">
        <v>1549</v>
      </c>
      <c r="D60" s="13" t="s">
        <v>1550</v>
      </c>
      <c r="E60" s="13" t="s">
        <v>1551</v>
      </c>
      <c r="F60" s="13" t="s">
        <v>30</v>
      </c>
      <c r="G60" s="12" t="s">
        <v>30</v>
      </c>
      <c r="H60" s="12" t="s">
        <v>1552</v>
      </c>
      <c r="I60" s="12" t="s">
        <v>72</v>
      </c>
      <c r="J60" s="13" t="s">
        <v>890</v>
      </c>
      <c r="K60" s="13" t="s">
        <v>1553</v>
      </c>
      <c r="L60" s="13" t="s">
        <v>1555</v>
      </c>
      <c r="M60" s="13" t="s">
        <v>1557</v>
      </c>
      <c r="N60" s="13" t="s">
        <v>83</v>
      </c>
      <c r="O60" s="13" t="s">
        <v>1558</v>
      </c>
    </row>
    <row r="61" ht="46" customHeight="1" spans="1:15">
      <c r="A61" s="12">
        <v>57</v>
      </c>
      <c r="B61" s="12">
        <v>1</v>
      </c>
      <c r="C61" s="12" t="s">
        <v>1549</v>
      </c>
      <c r="D61" s="13" t="s">
        <v>1559</v>
      </c>
      <c r="E61" s="13" t="s">
        <v>1560</v>
      </c>
      <c r="F61" s="13" t="s">
        <v>30</v>
      </c>
      <c r="G61" s="12" t="s">
        <v>30</v>
      </c>
      <c r="H61" s="12" t="s">
        <v>1552</v>
      </c>
      <c r="I61" s="12" t="s">
        <v>112</v>
      </c>
      <c r="J61" s="13" t="s">
        <v>1561</v>
      </c>
      <c r="K61" s="13" t="s">
        <v>1562</v>
      </c>
      <c r="L61" s="13" t="s">
        <v>1564</v>
      </c>
      <c r="M61" s="13" t="s">
        <v>1567</v>
      </c>
      <c r="N61" s="13" t="s">
        <v>1369</v>
      </c>
      <c r="O61" s="13" t="s">
        <v>1569</v>
      </c>
    </row>
    <row r="62" ht="46" customHeight="1" spans="1:15">
      <c r="A62" s="14">
        <v>58</v>
      </c>
      <c r="B62" s="14">
        <v>1</v>
      </c>
      <c r="C62" s="14" t="s">
        <v>1549</v>
      </c>
      <c r="D62" s="15" t="s">
        <v>1570</v>
      </c>
      <c r="E62" s="15" t="s">
        <v>1571</v>
      </c>
      <c r="F62" s="15" t="s">
        <v>30</v>
      </c>
      <c r="G62" s="14" t="s">
        <v>30</v>
      </c>
      <c r="H62" s="14" t="s">
        <v>1552</v>
      </c>
      <c r="I62" s="14" t="s">
        <v>112</v>
      </c>
      <c r="J62" s="15" t="s">
        <v>166</v>
      </c>
      <c r="K62" s="15" t="s">
        <v>1572</v>
      </c>
      <c r="L62" s="15" t="s">
        <v>1574</v>
      </c>
      <c r="M62" s="15" t="s">
        <v>1567</v>
      </c>
      <c r="N62" s="15" t="s">
        <v>174</v>
      </c>
      <c r="O62" s="15" t="s">
        <v>1576</v>
      </c>
    </row>
    <row r="63" ht="46" customHeight="1" spans="1:15">
      <c r="A63" s="12">
        <v>59</v>
      </c>
      <c r="B63" s="12">
        <v>1</v>
      </c>
      <c r="C63" s="12" t="s">
        <v>1549</v>
      </c>
      <c r="D63" s="13" t="s">
        <v>1577</v>
      </c>
      <c r="E63" s="13" t="s">
        <v>1578</v>
      </c>
      <c r="F63" s="13" t="s">
        <v>30</v>
      </c>
      <c r="G63" s="12" t="s">
        <v>30</v>
      </c>
      <c r="H63" s="12" t="s">
        <v>1552</v>
      </c>
      <c r="I63" s="12" t="s">
        <v>112</v>
      </c>
      <c r="J63" s="13" t="s">
        <v>1579</v>
      </c>
      <c r="K63" s="13" t="s">
        <v>1580</v>
      </c>
      <c r="L63" s="13" t="s">
        <v>1582</v>
      </c>
      <c r="M63" s="13" t="s">
        <v>1583</v>
      </c>
      <c r="N63" s="13" t="s">
        <v>964</v>
      </c>
      <c r="O63" s="13" t="s">
        <v>1569</v>
      </c>
    </row>
    <row r="64" ht="46" customHeight="1" spans="1:15">
      <c r="A64" s="12">
        <v>60</v>
      </c>
      <c r="B64" s="12">
        <v>1</v>
      </c>
      <c r="C64" s="12" t="s">
        <v>1549</v>
      </c>
      <c r="D64" s="13" t="s">
        <v>1584</v>
      </c>
      <c r="E64" s="13" t="s">
        <v>1585</v>
      </c>
      <c r="F64" s="13" t="s">
        <v>30</v>
      </c>
      <c r="G64" s="12" t="s">
        <v>30</v>
      </c>
      <c r="H64" s="12" t="s">
        <v>1552</v>
      </c>
      <c r="I64" s="12" t="s">
        <v>72</v>
      </c>
      <c r="J64" s="13" t="s">
        <v>1561</v>
      </c>
      <c r="K64" s="13" t="s">
        <v>1586</v>
      </c>
      <c r="L64" s="13" t="s">
        <v>1588</v>
      </c>
      <c r="M64" s="13" t="s">
        <v>1590</v>
      </c>
      <c r="N64" s="13" t="s">
        <v>1185</v>
      </c>
      <c r="O64" s="13" t="s">
        <v>1592</v>
      </c>
    </row>
    <row r="65" ht="46" customHeight="1" spans="1:15">
      <c r="A65" s="12">
        <v>61</v>
      </c>
      <c r="B65" s="12">
        <v>1</v>
      </c>
      <c r="C65" s="12" t="s">
        <v>1549</v>
      </c>
      <c r="D65" s="13" t="s">
        <v>1593</v>
      </c>
      <c r="E65" s="13" t="s">
        <v>1594</v>
      </c>
      <c r="F65" s="13" t="s">
        <v>30</v>
      </c>
      <c r="G65" s="12" t="s">
        <v>30</v>
      </c>
      <c r="H65" s="12" t="s">
        <v>1552</v>
      </c>
      <c r="I65" s="12" t="s">
        <v>112</v>
      </c>
      <c r="J65" s="13" t="s">
        <v>1595</v>
      </c>
      <c r="K65" s="13" t="s">
        <v>1596</v>
      </c>
      <c r="L65" s="13" t="s">
        <v>1598</v>
      </c>
      <c r="M65" s="13" t="s">
        <v>1601</v>
      </c>
      <c r="N65" s="13" t="s">
        <v>300</v>
      </c>
      <c r="O65" s="13" t="s">
        <v>301</v>
      </c>
    </row>
    <row r="66" ht="46" customHeight="1" spans="1:15">
      <c r="A66" s="12">
        <v>62</v>
      </c>
      <c r="B66" s="12">
        <v>1</v>
      </c>
      <c r="C66" s="12" t="s">
        <v>1549</v>
      </c>
      <c r="D66" s="13" t="s">
        <v>1603</v>
      </c>
      <c r="E66" s="13" t="s">
        <v>1604</v>
      </c>
      <c r="F66" s="13" t="s">
        <v>30</v>
      </c>
      <c r="G66" s="12" t="s">
        <v>30</v>
      </c>
      <c r="H66" s="12" t="s">
        <v>1552</v>
      </c>
      <c r="I66" s="12" t="s">
        <v>112</v>
      </c>
      <c r="J66" s="13" t="s">
        <v>911</v>
      </c>
      <c r="K66" s="13" t="s">
        <v>1605</v>
      </c>
      <c r="L66" s="13" t="s">
        <v>1607</v>
      </c>
      <c r="M66" s="13" t="s">
        <v>1609</v>
      </c>
      <c r="N66" s="13" t="s">
        <v>300</v>
      </c>
      <c r="O66" s="13" t="s">
        <v>301</v>
      </c>
    </row>
    <row r="67" ht="46" customHeight="1" spans="1:15">
      <c r="A67" s="12">
        <v>63</v>
      </c>
      <c r="B67" s="12">
        <v>1</v>
      </c>
      <c r="C67" s="12" t="s">
        <v>1549</v>
      </c>
      <c r="D67" s="13" t="s">
        <v>1610</v>
      </c>
      <c r="E67" s="13" t="s">
        <v>1611</v>
      </c>
      <c r="F67" s="13" t="s">
        <v>30</v>
      </c>
      <c r="G67" s="12" t="s">
        <v>30</v>
      </c>
      <c r="H67" s="12" t="s">
        <v>1552</v>
      </c>
      <c r="I67" s="12" t="s">
        <v>112</v>
      </c>
      <c r="J67" s="13" t="s">
        <v>1351</v>
      </c>
      <c r="K67" s="13" t="s">
        <v>1613</v>
      </c>
      <c r="L67" s="13" t="s">
        <v>1615</v>
      </c>
      <c r="M67" s="13" t="s">
        <v>1618</v>
      </c>
      <c r="N67" s="13" t="s">
        <v>228</v>
      </c>
      <c r="O67" s="13" t="s">
        <v>229</v>
      </c>
    </row>
    <row r="68" ht="46" customHeight="1" spans="1:15">
      <c r="A68" s="12">
        <v>64</v>
      </c>
      <c r="B68" s="12">
        <v>1</v>
      </c>
      <c r="C68" s="12" t="s">
        <v>1549</v>
      </c>
      <c r="D68" s="13" t="s">
        <v>1620</v>
      </c>
      <c r="E68" s="13" t="s">
        <v>1621</v>
      </c>
      <c r="F68" s="13" t="s">
        <v>30</v>
      </c>
      <c r="G68" s="12" t="s">
        <v>30</v>
      </c>
      <c r="H68" s="12" t="s">
        <v>1552</v>
      </c>
      <c r="I68" s="12" t="s">
        <v>112</v>
      </c>
      <c r="J68" s="13" t="s">
        <v>1623</v>
      </c>
      <c r="K68" s="13" t="s">
        <v>1624</v>
      </c>
      <c r="L68" s="13" t="s">
        <v>1626</v>
      </c>
      <c r="M68" s="13" t="s">
        <v>1629</v>
      </c>
      <c r="N68" s="13" t="s">
        <v>228</v>
      </c>
      <c r="O68" s="13" t="s">
        <v>229</v>
      </c>
    </row>
    <row r="69" ht="46" customHeight="1" spans="1:15">
      <c r="A69" s="12">
        <v>65</v>
      </c>
      <c r="B69" s="12">
        <v>1</v>
      </c>
      <c r="C69" s="12" t="s">
        <v>1549</v>
      </c>
      <c r="D69" s="13" t="s">
        <v>1631</v>
      </c>
      <c r="E69" s="13" t="s">
        <v>1632</v>
      </c>
      <c r="F69" s="13" t="s">
        <v>30</v>
      </c>
      <c r="G69" s="12" t="s">
        <v>30</v>
      </c>
      <c r="H69" s="12" t="s">
        <v>1552</v>
      </c>
      <c r="I69" s="12" t="s">
        <v>112</v>
      </c>
      <c r="J69" s="13" t="s">
        <v>604</v>
      </c>
      <c r="K69" s="13" t="s">
        <v>1634</v>
      </c>
      <c r="L69" s="13" t="s">
        <v>1636</v>
      </c>
      <c r="M69" s="13" t="s">
        <v>1639</v>
      </c>
      <c r="N69" s="13" t="s">
        <v>228</v>
      </c>
      <c r="O69" s="13" t="s">
        <v>229</v>
      </c>
    </row>
  </sheetData>
  <mergeCells count="2">
    <mergeCell ref="A1:O1"/>
    <mergeCell ref="A2:O2"/>
  </mergeCells>
  <conditionalFormatting sqref="I5:I69">
    <cfRule type="containsText" dxfId="0" priority="1" operator="between" text="P0">
      <formula>NOT(ISERROR(SEARCH("P0",I5)))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selection activeCell="A1" sqref="A1:O1"/>
    </sheetView>
  </sheetViews>
  <sheetFormatPr defaultColWidth="9" defaultRowHeight="14"/>
  <cols>
    <col min="1" max="1" width="8" customWidth="1"/>
    <col min="2" max="2" width="7" customWidth="1"/>
    <col min="3" max="3" width="18" customWidth="1"/>
    <col min="4" max="4" width="30" customWidth="1"/>
    <col min="5" max="6" width="43" customWidth="1"/>
    <col min="7" max="7" width="18" customWidth="1"/>
    <col min="8" max="8" width="12" customWidth="1"/>
    <col min="9" max="9" width="9" customWidth="1"/>
    <col min="10" max="10" width="28" customWidth="1"/>
    <col min="11" max="11" width="45" customWidth="1"/>
    <col min="12" max="12" width="38" customWidth="1"/>
    <col min="13" max="13" width="48" customWidth="1"/>
    <col min="14" max="14" width="26" customWidth="1"/>
    <col min="15" max="15" width="38" customWidth="1"/>
  </cols>
  <sheetData>
    <row r="1" ht="38" customHeight="1" spans="1:15">
      <c r="A1" s="10" t="s">
        <v>1888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>
      <c r="A2" s="11" t="s">
        <v>1889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3" ht="14.75"/>
    <row r="4" ht="34" customHeight="1" spans="1:15">
      <c r="A4" s="1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55</v>
      </c>
      <c r="K4" s="2" t="s">
        <v>56</v>
      </c>
      <c r="L4" s="2" t="s">
        <v>58</v>
      </c>
      <c r="M4" s="2" t="s">
        <v>61</v>
      </c>
      <c r="N4" s="2" t="s">
        <v>64</v>
      </c>
      <c r="O4" s="3" t="s">
        <v>65</v>
      </c>
    </row>
    <row r="5" ht="46" customHeight="1" spans="1:15">
      <c r="A5" s="12">
        <v>1</v>
      </c>
      <c r="B5" s="12">
        <v>1</v>
      </c>
      <c r="C5" s="12" t="s">
        <v>1640</v>
      </c>
      <c r="D5" s="13" t="s">
        <v>1641</v>
      </c>
      <c r="E5" s="13" t="s">
        <v>1642</v>
      </c>
      <c r="F5" s="13" t="s">
        <v>30</v>
      </c>
      <c r="G5" s="12" t="s">
        <v>30</v>
      </c>
      <c r="H5" s="12" t="s">
        <v>1643</v>
      </c>
      <c r="I5" s="12" t="s">
        <v>72</v>
      </c>
      <c r="J5" s="13" t="s">
        <v>1644</v>
      </c>
      <c r="K5" s="13" t="s">
        <v>1645</v>
      </c>
      <c r="L5" s="13" t="s">
        <v>1647</v>
      </c>
      <c r="M5" s="13" t="s">
        <v>1650</v>
      </c>
      <c r="N5" s="13" t="s">
        <v>83</v>
      </c>
      <c r="O5" s="13" t="s">
        <v>1651</v>
      </c>
    </row>
    <row r="6" ht="46" customHeight="1" spans="1:15">
      <c r="A6" s="12">
        <v>2</v>
      </c>
      <c r="B6" s="12">
        <v>1</v>
      </c>
      <c r="C6" s="12" t="s">
        <v>1640</v>
      </c>
      <c r="D6" s="13" t="s">
        <v>1652</v>
      </c>
      <c r="E6" s="13" t="s">
        <v>1653</v>
      </c>
      <c r="F6" s="13" t="s">
        <v>30</v>
      </c>
      <c r="G6" s="12" t="s">
        <v>30</v>
      </c>
      <c r="H6" s="12" t="s">
        <v>1643</v>
      </c>
      <c r="I6" s="12" t="s">
        <v>72</v>
      </c>
      <c r="J6" s="13" t="s">
        <v>1654</v>
      </c>
      <c r="K6" s="13" t="s">
        <v>1655</v>
      </c>
      <c r="L6" s="13" t="s">
        <v>1657</v>
      </c>
      <c r="M6" s="13" t="s">
        <v>1650</v>
      </c>
      <c r="N6" s="13" t="s">
        <v>83</v>
      </c>
      <c r="O6" s="13" t="s">
        <v>1651</v>
      </c>
    </row>
    <row r="7" ht="46" customHeight="1" spans="1:15">
      <c r="A7" s="12">
        <v>3</v>
      </c>
      <c r="B7" s="12">
        <v>1</v>
      </c>
      <c r="C7" s="12" t="s">
        <v>1640</v>
      </c>
      <c r="D7" s="13" t="s">
        <v>1659</v>
      </c>
      <c r="E7" s="13" t="s">
        <v>1660</v>
      </c>
      <c r="F7" s="13" t="s">
        <v>30</v>
      </c>
      <c r="G7" s="12" t="s">
        <v>30</v>
      </c>
      <c r="H7" s="12" t="s">
        <v>1643</v>
      </c>
      <c r="I7" s="12" t="s">
        <v>72</v>
      </c>
      <c r="J7" s="13" t="s">
        <v>1661</v>
      </c>
      <c r="K7" s="13" t="s">
        <v>1662</v>
      </c>
      <c r="L7" s="13" t="s">
        <v>1664</v>
      </c>
      <c r="M7" s="13" t="s">
        <v>1650</v>
      </c>
      <c r="N7" s="13" t="s">
        <v>83</v>
      </c>
      <c r="O7" s="13" t="s">
        <v>1651</v>
      </c>
    </row>
    <row r="8" ht="46" customHeight="1" spans="1:15">
      <c r="A8" s="14">
        <v>4</v>
      </c>
      <c r="B8" s="14">
        <v>1</v>
      </c>
      <c r="C8" s="14" t="s">
        <v>1640</v>
      </c>
      <c r="D8" s="15" t="s">
        <v>1667</v>
      </c>
      <c r="E8" s="15" t="s">
        <v>1668</v>
      </c>
      <c r="F8" s="15" t="s">
        <v>30</v>
      </c>
      <c r="G8" s="14" t="s">
        <v>30</v>
      </c>
      <c r="H8" s="14" t="s">
        <v>1643</v>
      </c>
      <c r="I8" s="14" t="s">
        <v>112</v>
      </c>
      <c r="J8" s="15" t="s">
        <v>166</v>
      </c>
      <c r="K8" s="15" t="s">
        <v>1670</v>
      </c>
      <c r="L8" s="15" t="s">
        <v>1672</v>
      </c>
      <c r="M8" s="15" t="s">
        <v>1650</v>
      </c>
      <c r="N8" s="15" t="s">
        <v>174</v>
      </c>
      <c r="O8" s="15" t="s">
        <v>186</v>
      </c>
    </row>
    <row r="9" ht="46" customHeight="1" spans="1:15">
      <c r="A9" s="12">
        <v>5</v>
      </c>
      <c r="B9" s="12">
        <v>1</v>
      </c>
      <c r="C9" s="12" t="s">
        <v>1640</v>
      </c>
      <c r="D9" s="13" t="s">
        <v>1675</v>
      </c>
      <c r="E9" s="13" t="s">
        <v>1676</v>
      </c>
      <c r="F9" s="13" t="s">
        <v>30</v>
      </c>
      <c r="G9" s="12" t="s">
        <v>30</v>
      </c>
      <c r="H9" s="12" t="s">
        <v>1643</v>
      </c>
      <c r="I9" s="12" t="s">
        <v>112</v>
      </c>
      <c r="J9" s="13" t="s">
        <v>1677</v>
      </c>
      <c r="K9" s="13" t="s">
        <v>1678</v>
      </c>
      <c r="L9" s="13" t="s">
        <v>1680</v>
      </c>
      <c r="M9" s="13" t="s">
        <v>1650</v>
      </c>
      <c r="N9" s="13" t="s">
        <v>83</v>
      </c>
      <c r="O9" s="13" t="s">
        <v>1682</v>
      </c>
    </row>
    <row r="10" ht="46" customHeight="1" spans="1:15">
      <c r="A10" s="14">
        <v>6</v>
      </c>
      <c r="B10" s="14">
        <v>1</v>
      </c>
      <c r="C10" s="14" t="s">
        <v>1640</v>
      </c>
      <c r="D10" s="15" t="s">
        <v>1683</v>
      </c>
      <c r="E10" s="15" t="s">
        <v>1684</v>
      </c>
      <c r="F10" s="15" t="s">
        <v>30</v>
      </c>
      <c r="G10" s="14" t="s">
        <v>30</v>
      </c>
      <c r="H10" s="14" t="s">
        <v>1643</v>
      </c>
      <c r="I10" s="14" t="s">
        <v>112</v>
      </c>
      <c r="J10" s="15" t="s">
        <v>166</v>
      </c>
      <c r="K10" s="15" t="s">
        <v>1686</v>
      </c>
      <c r="L10" s="15" t="s">
        <v>1688</v>
      </c>
      <c r="M10" s="15" t="s">
        <v>1650</v>
      </c>
      <c r="N10" s="15" t="s">
        <v>174</v>
      </c>
      <c r="O10" s="15" t="s">
        <v>186</v>
      </c>
    </row>
    <row r="11" ht="46" customHeight="1" spans="1:15">
      <c r="A11" s="12">
        <v>7</v>
      </c>
      <c r="B11" s="12">
        <v>1</v>
      </c>
      <c r="C11" s="12" t="s">
        <v>1640</v>
      </c>
      <c r="D11" s="13" t="s">
        <v>1690</v>
      </c>
      <c r="E11" s="13" t="s">
        <v>1691</v>
      </c>
      <c r="F11" s="13" t="s">
        <v>30</v>
      </c>
      <c r="G11" s="12" t="s">
        <v>30</v>
      </c>
      <c r="H11" s="12" t="s">
        <v>1643</v>
      </c>
      <c r="I11" s="12" t="s">
        <v>112</v>
      </c>
      <c r="J11" s="13" t="s">
        <v>1692</v>
      </c>
      <c r="K11" s="13" t="s">
        <v>1693</v>
      </c>
      <c r="L11" s="13" t="s">
        <v>1695</v>
      </c>
      <c r="M11" s="13" t="s">
        <v>1650</v>
      </c>
      <c r="N11" s="13" t="s">
        <v>83</v>
      </c>
      <c r="O11" s="13" t="s">
        <v>1698</v>
      </c>
    </row>
    <row r="12" ht="46" customHeight="1" spans="1:15">
      <c r="A12" s="12">
        <v>8</v>
      </c>
      <c r="B12" s="12">
        <v>1</v>
      </c>
      <c r="C12" s="12" t="s">
        <v>1640</v>
      </c>
      <c r="D12" s="13" t="s">
        <v>1699</v>
      </c>
      <c r="E12" s="13" t="s">
        <v>1700</v>
      </c>
      <c r="F12" s="13" t="s">
        <v>30</v>
      </c>
      <c r="G12" s="12" t="s">
        <v>30</v>
      </c>
      <c r="H12" s="12" t="s">
        <v>1643</v>
      </c>
      <c r="I12" s="12" t="s">
        <v>112</v>
      </c>
      <c r="J12" s="13" t="s">
        <v>1701</v>
      </c>
      <c r="K12" s="13" t="s">
        <v>1702</v>
      </c>
      <c r="L12" s="13" t="s">
        <v>1704</v>
      </c>
      <c r="M12" s="13" t="s">
        <v>1706</v>
      </c>
      <c r="N12" s="13" t="s">
        <v>300</v>
      </c>
      <c r="O12" s="13" t="s">
        <v>301</v>
      </c>
    </row>
    <row r="13" ht="46" customHeight="1" spans="1:15">
      <c r="A13" s="12">
        <v>9</v>
      </c>
      <c r="B13" s="12">
        <v>1</v>
      </c>
      <c r="C13" s="12" t="s">
        <v>1640</v>
      </c>
      <c r="D13" s="13" t="s">
        <v>1707</v>
      </c>
      <c r="E13" s="13" t="s">
        <v>1708</v>
      </c>
      <c r="F13" s="13" t="s">
        <v>30</v>
      </c>
      <c r="G13" s="12" t="s">
        <v>30</v>
      </c>
      <c r="H13" s="12" t="s">
        <v>1643</v>
      </c>
      <c r="I13" s="12" t="s">
        <v>112</v>
      </c>
      <c r="J13" s="13" t="s">
        <v>478</v>
      </c>
      <c r="K13" s="13" t="s">
        <v>1709</v>
      </c>
      <c r="L13" s="13" t="s">
        <v>1704</v>
      </c>
      <c r="M13" s="13" t="s">
        <v>1706</v>
      </c>
      <c r="N13" s="13" t="s">
        <v>300</v>
      </c>
      <c r="O13" s="13" t="s">
        <v>301</v>
      </c>
    </row>
    <row r="14" ht="46" customHeight="1" spans="1:15">
      <c r="A14" s="12">
        <v>10</v>
      </c>
      <c r="B14" s="12">
        <v>1</v>
      </c>
      <c r="C14" s="12" t="s">
        <v>1640</v>
      </c>
      <c r="D14" s="13" t="s">
        <v>1712</v>
      </c>
      <c r="E14" s="13" t="s">
        <v>1713</v>
      </c>
      <c r="F14" s="13" t="s">
        <v>30</v>
      </c>
      <c r="G14" s="12" t="s">
        <v>30</v>
      </c>
      <c r="H14" s="12" t="s">
        <v>1643</v>
      </c>
      <c r="I14" s="12" t="s">
        <v>112</v>
      </c>
      <c r="J14" s="13" t="s">
        <v>1714</v>
      </c>
      <c r="K14" s="13" t="s">
        <v>1715</v>
      </c>
      <c r="L14" s="13" t="s">
        <v>1704</v>
      </c>
      <c r="M14" s="13" t="s">
        <v>1706</v>
      </c>
      <c r="N14" s="13" t="s">
        <v>300</v>
      </c>
      <c r="O14" s="13" t="s">
        <v>301</v>
      </c>
    </row>
    <row r="15" ht="46" customHeight="1" spans="1:15">
      <c r="A15" s="12">
        <v>11</v>
      </c>
      <c r="B15" s="12">
        <v>1</v>
      </c>
      <c r="C15" s="12" t="s">
        <v>1640</v>
      </c>
      <c r="D15" s="13" t="s">
        <v>1718</v>
      </c>
      <c r="E15" s="13" t="s">
        <v>1719</v>
      </c>
      <c r="F15" s="13" t="s">
        <v>30</v>
      </c>
      <c r="G15" s="12" t="s">
        <v>30</v>
      </c>
      <c r="H15" s="12" t="s">
        <v>1643</v>
      </c>
      <c r="I15" s="12" t="s">
        <v>112</v>
      </c>
      <c r="J15" s="13" t="s">
        <v>638</v>
      </c>
      <c r="K15" s="13" t="s">
        <v>1720</v>
      </c>
      <c r="L15" s="13" t="s">
        <v>1704</v>
      </c>
      <c r="M15" s="13" t="s">
        <v>1723</v>
      </c>
      <c r="N15" s="13" t="s">
        <v>300</v>
      </c>
      <c r="O15" s="13" t="s">
        <v>301</v>
      </c>
    </row>
    <row r="16" ht="46" customHeight="1" spans="1:15">
      <c r="A16" s="12">
        <v>12</v>
      </c>
      <c r="B16" s="12">
        <v>1</v>
      </c>
      <c r="C16" s="12" t="s">
        <v>1640</v>
      </c>
      <c r="D16" s="13" t="s">
        <v>1724</v>
      </c>
      <c r="E16" s="13" t="s">
        <v>1725</v>
      </c>
      <c r="F16" s="13" t="s">
        <v>30</v>
      </c>
      <c r="G16" s="12" t="s">
        <v>30</v>
      </c>
      <c r="H16" s="12" t="s">
        <v>1643</v>
      </c>
      <c r="I16" s="12" t="s">
        <v>112</v>
      </c>
      <c r="J16" s="13" t="s">
        <v>1726</v>
      </c>
      <c r="K16" s="13" t="s">
        <v>1727</v>
      </c>
      <c r="L16" s="13" t="s">
        <v>1704</v>
      </c>
      <c r="M16" s="13" t="s">
        <v>1706</v>
      </c>
      <c r="N16" s="13" t="s">
        <v>300</v>
      </c>
      <c r="O16" s="13" t="s">
        <v>301</v>
      </c>
    </row>
    <row r="17" ht="46" customHeight="1" spans="1:15">
      <c r="A17" s="12">
        <v>13</v>
      </c>
      <c r="B17" s="12">
        <v>1</v>
      </c>
      <c r="C17" s="12" t="s">
        <v>1640</v>
      </c>
      <c r="D17" s="13" t="s">
        <v>1730</v>
      </c>
      <c r="E17" s="13" t="s">
        <v>1731</v>
      </c>
      <c r="F17" s="13" t="s">
        <v>30</v>
      </c>
      <c r="G17" s="12" t="s">
        <v>30</v>
      </c>
      <c r="H17" s="12" t="s">
        <v>1643</v>
      </c>
      <c r="I17" s="12" t="s">
        <v>112</v>
      </c>
      <c r="J17" s="13" t="s">
        <v>505</v>
      </c>
      <c r="K17" s="13" t="s">
        <v>1732</v>
      </c>
      <c r="L17" s="13" t="s">
        <v>1704</v>
      </c>
      <c r="M17" s="13" t="s">
        <v>1706</v>
      </c>
      <c r="N17" s="13" t="s">
        <v>300</v>
      </c>
      <c r="O17" s="13" t="s">
        <v>301</v>
      </c>
    </row>
    <row r="18" ht="46" customHeight="1" spans="1:15">
      <c r="A18" s="12">
        <v>14</v>
      </c>
      <c r="B18" s="12">
        <v>1</v>
      </c>
      <c r="C18" s="12" t="s">
        <v>1640</v>
      </c>
      <c r="D18" s="13" t="s">
        <v>1735</v>
      </c>
      <c r="E18" s="13" t="s">
        <v>1736</v>
      </c>
      <c r="F18" s="13" t="s">
        <v>30</v>
      </c>
      <c r="G18" s="12" t="s">
        <v>30</v>
      </c>
      <c r="H18" s="12" t="s">
        <v>1643</v>
      </c>
      <c r="I18" s="12" t="s">
        <v>112</v>
      </c>
      <c r="J18" s="13" t="s">
        <v>1006</v>
      </c>
      <c r="K18" s="13" t="s">
        <v>1737</v>
      </c>
      <c r="L18" s="13" t="s">
        <v>1704</v>
      </c>
      <c r="M18" s="13" t="s">
        <v>1706</v>
      </c>
      <c r="N18" s="13" t="s">
        <v>300</v>
      </c>
      <c r="O18" s="13" t="s">
        <v>301</v>
      </c>
    </row>
    <row r="19" ht="46" customHeight="1" spans="1:15">
      <c r="A19" s="12">
        <v>15</v>
      </c>
      <c r="B19" s="12">
        <v>1</v>
      </c>
      <c r="C19" s="12" t="s">
        <v>1640</v>
      </c>
      <c r="D19" s="13" t="s">
        <v>1740</v>
      </c>
      <c r="E19" s="13" t="s">
        <v>1741</v>
      </c>
      <c r="F19" s="13" t="s">
        <v>30</v>
      </c>
      <c r="G19" s="12" t="s">
        <v>30</v>
      </c>
      <c r="H19" s="12" t="s">
        <v>1643</v>
      </c>
      <c r="I19" s="12" t="s">
        <v>112</v>
      </c>
      <c r="J19" s="13" t="s">
        <v>219</v>
      </c>
      <c r="K19" s="13" t="s">
        <v>1742</v>
      </c>
      <c r="L19" s="13" t="s">
        <v>1744</v>
      </c>
      <c r="M19" s="13" t="s">
        <v>1747</v>
      </c>
      <c r="N19" s="13" t="s">
        <v>228</v>
      </c>
      <c r="O19" s="13" t="s">
        <v>229</v>
      </c>
    </row>
    <row r="20" ht="46" customHeight="1" spans="1:15">
      <c r="A20" s="12">
        <v>16</v>
      </c>
      <c r="B20" s="12">
        <v>1</v>
      </c>
      <c r="C20" s="12" t="s">
        <v>1640</v>
      </c>
      <c r="D20" s="13" t="s">
        <v>1749</v>
      </c>
      <c r="E20" s="13" t="s">
        <v>1750</v>
      </c>
      <c r="F20" s="13" t="s">
        <v>30</v>
      </c>
      <c r="G20" s="12" t="s">
        <v>30</v>
      </c>
      <c r="H20" s="12" t="s">
        <v>1643</v>
      </c>
      <c r="I20" s="12" t="s">
        <v>112</v>
      </c>
      <c r="J20" s="13" t="s">
        <v>243</v>
      </c>
      <c r="K20" s="13" t="s">
        <v>1751</v>
      </c>
      <c r="L20" s="13" t="s">
        <v>1744</v>
      </c>
      <c r="M20" s="13" t="s">
        <v>1747</v>
      </c>
      <c r="N20" s="13" t="s">
        <v>228</v>
      </c>
      <c r="O20" s="13" t="s">
        <v>229</v>
      </c>
    </row>
    <row r="21" ht="46" customHeight="1" spans="1:15">
      <c r="A21" s="12">
        <v>17</v>
      </c>
      <c r="B21" s="12">
        <v>1</v>
      </c>
      <c r="C21" s="12" t="s">
        <v>1640</v>
      </c>
      <c r="D21" s="13" t="s">
        <v>1756</v>
      </c>
      <c r="E21" s="13" t="s">
        <v>1757</v>
      </c>
      <c r="F21" s="13" t="s">
        <v>30</v>
      </c>
      <c r="G21" s="12" t="s">
        <v>30</v>
      </c>
      <c r="H21" s="12" t="s">
        <v>1643</v>
      </c>
      <c r="I21" s="12" t="s">
        <v>112</v>
      </c>
      <c r="J21" s="13" t="s">
        <v>261</v>
      </c>
      <c r="K21" s="13" t="s">
        <v>1758</v>
      </c>
      <c r="L21" s="13" t="s">
        <v>1744</v>
      </c>
      <c r="M21" s="13" t="s">
        <v>1747</v>
      </c>
      <c r="N21" s="13" t="s">
        <v>228</v>
      </c>
      <c r="O21" s="13" t="s">
        <v>229</v>
      </c>
    </row>
    <row r="22" ht="46" customHeight="1" spans="1:15">
      <c r="A22" s="12">
        <v>18</v>
      </c>
      <c r="B22" s="12">
        <v>1</v>
      </c>
      <c r="C22" s="12" t="s">
        <v>1640</v>
      </c>
      <c r="D22" s="13" t="s">
        <v>1762</v>
      </c>
      <c r="E22" s="13" t="s">
        <v>1763</v>
      </c>
      <c r="F22" s="13" t="s">
        <v>30</v>
      </c>
      <c r="G22" s="12" t="s">
        <v>30</v>
      </c>
      <c r="H22" s="12" t="s">
        <v>1643</v>
      </c>
      <c r="I22" s="12" t="s">
        <v>112</v>
      </c>
      <c r="J22" s="13" t="s">
        <v>604</v>
      </c>
      <c r="K22" s="13" t="s">
        <v>1765</v>
      </c>
      <c r="L22" s="13" t="s">
        <v>1767</v>
      </c>
      <c r="M22" s="13" t="s">
        <v>1770</v>
      </c>
      <c r="N22" s="13" t="s">
        <v>228</v>
      </c>
      <c r="O22" s="13" t="s">
        <v>229</v>
      </c>
    </row>
    <row r="23" ht="46" customHeight="1" spans="1:15">
      <c r="A23" s="12">
        <v>19</v>
      </c>
      <c r="B23" s="12">
        <v>1</v>
      </c>
      <c r="C23" s="12" t="s">
        <v>1772</v>
      </c>
      <c r="D23" s="13" t="s">
        <v>1773</v>
      </c>
      <c r="E23" s="13" t="s">
        <v>1774</v>
      </c>
      <c r="F23" s="13" t="s">
        <v>30</v>
      </c>
      <c r="G23" s="12" t="s">
        <v>30</v>
      </c>
      <c r="H23" s="12" t="s">
        <v>1775</v>
      </c>
      <c r="I23" s="12" t="s">
        <v>72</v>
      </c>
      <c r="J23" s="13" t="s">
        <v>1776</v>
      </c>
      <c r="K23" s="13" t="s">
        <v>1777</v>
      </c>
      <c r="L23" s="13" t="s">
        <v>1779</v>
      </c>
      <c r="M23" s="13" t="s">
        <v>1782</v>
      </c>
      <c r="N23" s="13" t="s">
        <v>1369</v>
      </c>
      <c r="O23" s="13" t="s">
        <v>1785</v>
      </c>
    </row>
    <row r="24" ht="46" customHeight="1" spans="1:15">
      <c r="A24" s="12">
        <v>20</v>
      </c>
      <c r="B24" s="12">
        <v>1</v>
      </c>
      <c r="C24" s="12" t="s">
        <v>1772</v>
      </c>
      <c r="D24" s="13" t="s">
        <v>1786</v>
      </c>
      <c r="E24" s="13" t="s">
        <v>1787</v>
      </c>
      <c r="F24" s="13" t="s">
        <v>30</v>
      </c>
      <c r="G24" s="12" t="s">
        <v>30</v>
      </c>
      <c r="H24" s="12" t="s">
        <v>1775</v>
      </c>
      <c r="I24" s="12" t="s">
        <v>72</v>
      </c>
      <c r="J24" s="13" t="s">
        <v>1788</v>
      </c>
      <c r="K24" s="13" t="s">
        <v>1789</v>
      </c>
      <c r="L24" s="13" t="s">
        <v>1791</v>
      </c>
      <c r="M24" s="13" t="s">
        <v>1782</v>
      </c>
      <c r="N24" s="13" t="s">
        <v>1369</v>
      </c>
      <c r="O24" s="13" t="s">
        <v>1785</v>
      </c>
    </row>
    <row r="25" ht="46" customHeight="1" spans="1:15">
      <c r="A25" s="12">
        <v>21</v>
      </c>
      <c r="B25" s="12">
        <v>1</v>
      </c>
      <c r="C25" s="12" t="s">
        <v>1772</v>
      </c>
      <c r="D25" s="13" t="s">
        <v>1795</v>
      </c>
      <c r="E25" s="13" t="s">
        <v>1796</v>
      </c>
      <c r="F25" s="13" t="s">
        <v>30</v>
      </c>
      <c r="G25" s="12" t="s">
        <v>30</v>
      </c>
      <c r="H25" s="12" t="s">
        <v>1775</v>
      </c>
      <c r="I25" s="12" t="s">
        <v>112</v>
      </c>
      <c r="J25" s="13" t="s">
        <v>1797</v>
      </c>
      <c r="K25" s="13" t="s">
        <v>1798</v>
      </c>
      <c r="L25" s="13" t="s">
        <v>1800</v>
      </c>
      <c r="M25" s="13" t="s">
        <v>1782</v>
      </c>
      <c r="N25" s="13" t="s">
        <v>1369</v>
      </c>
      <c r="O25" s="13" t="s">
        <v>1803</v>
      </c>
    </row>
    <row r="26" ht="46" customHeight="1" spans="1:15">
      <c r="A26" s="12">
        <v>22</v>
      </c>
      <c r="B26" s="12">
        <v>1</v>
      </c>
      <c r="C26" s="12" t="s">
        <v>1772</v>
      </c>
      <c r="D26" s="13" t="s">
        <v>1804</v>
      </c>
      <c r="E26" s="13" t="s">
        <v>1805</v>
      </c>
      <c r="F26" s="13" t="s">
        <v>30</v>
      </c>
      <c r="G26" s="12" t="s">
        <v>30</v>
      </c>
      <c r="H26" s="12" t="s">
        <v>1775</v>
      </c>
      <c r="I26" s="12" t="s">
        <v>112</v>
      </c>
      <c r="J26" s="13" t="s">
        <v>1806</v>
      </c>
      <c r="K26" s="13" t="s">
        <v>1807</v>
      </c>
      <c r="L26" s="13" t="s">
        <v>1809</v>
      </c>
      <c r="M26" s="13" t="s">
        <v>1782</v>
      </c>
      <c r="N26" s="13" t="s">
        <v>1369</v>
      </c>
      <c r="O26" s="13" t="s">
        <v>1803</v>
      </c>
    </row>
    <row r="27" ht="46" customHeight="1" spans="1:15">
      <c r="A27" s="12">
        <v>23</v>
      </c>
      <c r="B27" s="12">
        <v>1</v>
      </c>
      <c r="C27" s="12" t="s">
        <v>1772</v>
      </c>
      <c r="D27" s="13" t="s">
        <v>1813</v>
      </c>
      <c r="E27" s="13" t="s">
        <v>1814</v>
      </c>
      <c r="F27" s="13" t="s">
        <v>30</v>
      </c>
      <c r="G27" s="12" t="s">
        <v>30</v>
      </c>
      <c r="H27" s="12" t="s">
        <v>1775</v>
      </c>
      <c r="I27" s="12" t="s">
        <v>112</v>
      </c>
      <c r="J27" s="13" t="s">
        <v>1815</v>
      </c>
      <c r="K27" s="13" t="s">
        <v>1816</v>
      </c>
      <c r="L27" s="13" t="s">
        <v>1818</v>
      </c>
      <c r="M27" s="13" t="s">
        <v>1782</v>
      </c>
      <c r="N27" s="13" t="s">
        <v>1369</v>
      </c>
      <c r="O27" s="13" t="s">
        <v>1803</v>
      </c>
    </row>
    <row r="28" ht="46" customHeight="1" spans="1:15">
      <c r="A28" s="14">
        <v>24</v>
      </c>
      <c r="B28" s="14">
        <v>1</v>
      </c>
      <c r="C28" s="14" t="s">
        <v>1772</v>
      </c>
      <c r="D28" s="15" t="s">
        <v>1821</v>
      </c>
      <c r="E28" s="15" t="s">
        <v>1822</v>
      </c>
      <c r="F28" s="15" t="s">
        <v>30</v>
      </c>
      <c r="G28" s="14" t="s">
        <v>30</v>
      </c>
      <c r="H28" s="14" t="s">
        <v>1775</v>
      </c>
      <c r="I28" s="14" t="s">
        <v>1823</v>
      </c>
      <c r="J28" s="15" t="s">
        <v>166</v>
      </c>
      <c r="K28" s="15" t="s">
        <v>1825</v>
      </c>
      <c r="L28" s="15" t="s">
        <v>1827</v>
      </c>
      <c r="M28" s="15" t="s">
        <v>1830</v>
      </c>
      <c r="N28" s="15" t="s">
        <v>174</v>
      </c>
      <c r="O28" s="15" t="s">
        <v>1831</v>
      </c>
    </row>
    <row r="29" ht="46" customHeight="1" spans="1:15">
      <c r="A29" s="12">
        <v>25</v>
      </c>
      <c r="B29" s="12">
        <v>1</v>
      </c>
      <c r="C29" s="12" t="s">
        <v>1772</v>
      </c>
      <c r="D29" s="13" t="s">
        <v>1832</v>
      </c>
      <c r="E29" s="13" t="s">
        <v>1833</v>
      </c>
      <c r="F29" s="13" t="s">
        <v>30</v>
      </c>
      <c r="G29" s="12" t="s">
        <v>30</v>
      </c>
      <c r="H29" s="12" t="s">
        <v>1775</v>
      </c>
      <c r="I29" s="12" t="s">
        <v>112</v>
      </c>
      <c r="J29" s="13" t="s">
        <v>1834</v>
      </c>
      <c r="K29" s="13" t="s">
        <v>1835</v>
      </c>
      <c r="L29" s="13" t="s">
        <v>1837</v>
      </c>
      <c r="M29" s="13" t="s">
        <v>1840</v>
      </c>
      <c r="N29" s="13" t="s">
        <v>300</v>
      </c>
      <c r="O29" s="13" t="s">
        <v>301</v>
      </c>
    </row>
    <row r="30" ht="46" customHeight="1" spans="1:15">
      <c r="A30" s="12">
        <v>26</v>
      </c>
      <c r="B30" s="12">
        <v>1</v>
      </c>
      <c r="C30" s="12" t="s">
        <v>1772</v>
      </c>
      <c r="D30" s="13" t="s">
        <v>1841</v>
      </c>
      <c r="E30" s="13" t="s">
        <v>1842</v>
      </c>
      <c r="F30" s="13" t="s">
        <v>30</v>
      </c>
      <c r="G30" s="12" t="s">
        <v>30</v>
      </c>
      <c r="H30" s="12" t="s">
        <v>1775</v>
      </c>
      <c r="I30" s="12" t="s">
        <v>112</v>
      </c>
      <c r="J30" s="13" t="s">
        <v>1843</v>
      </c>
      <c r="K30" s="13" t="s">
        <v>1844</v>
      </c>
      <c r="L30" s="13" t="s">
        <v>1846</v>
      </c>
      <c r="M30" s="13" t="s">
        <v>1840</v>
      </c>
      <c r="N30" s="13" t="s">
        <v>300</v>
      </c>
      <c r="O30" s="13" t="s">
        <v>301</v>
      </c>
    </row>
    <row r="31" ht="46" customHeight="1" spans="1:15">
      <c r="A31" s="12">
        <v>27</v>
      </c>
      <c r="B31" s="12">
        <v>1</v>
      </c>
      <c r="C31" s="12" t="s">
        <v>1772</v>
      </c>
      <c r="D31" s="13" t="s">
        <v>1849</v>
      </c>
      <c r="E31" s="13" t="s">
        <v>1850</v>
      </c>
      <c r="F31" s="13" t="s">
        <v>30</v>
      </c>
      <c r="G31" s="12" t="s">
        <v>30</v>
      </c>
      <c r="H31" s="12" t="s">
        <v>1775</v>
      </c>
      <c r="I31" s="12" t="s">
        <v>112</v>
      </c>
      <c r="J31" s="13" t="s">
        <v>304</v>
      </c>
      <c r="K31" s="13" t="s">
        <v>1851</v>
      </c>
      <c r="L31" s="13" t="s">
        <v>1853</v>
      </c>
      <c r="M31" s="13" t="s">
        <v>1840</v>
      </c>
      <c r="N31" s="13" t="s">
        <v>300</v>
      </c>
      <c r="O31" s="13" t="s">
        <v>301</v>
      </c>
    </row>
    <row r="32" ht="46" customHeight="1" spans="1:15">
      <c r="A32" s="12">
        <v>28</v>
      </c>
      <c r="B32" s="12">
        <v>1</v>
      </c>
      <c r="C32" s="12" t="s">
        <v>1772</v>
      </c>
      <c r="D32" s="13" t="s">
        <v>1855</v>
      </c>
      <c r="E32" s="13" t="s">
        <v>1856</v>
      </c>
      <c r="F32" s="13" t="s">
        <v>30</v>
      </c>
      <c r="G32" s="12" t="s">
        <v>30</v>
      </c>
      <c r="H32" s="12" t="s">
        <v>1775</v>
      </c>
      <c r="I32" s="12" t="s">
        <v>112</v>
      </c>
      <c r="J32" s="13" t="s">
        <v>777</v>
      </c>
      <c r="K32" s="13" t="s">
        <v>1857</v>
      </c>
      <c r="L32" s="13" t="s">
        <v>1859</v>
      </c>
      <c r="M32" s="13" t="s">
        <v>1840</v>
      </c>
      <c r="N32" s="13" t="s">
        <v>300</v>
      </c>
      <c r="O32" s="13" t="s">
        <v>301</v>
      </c>
    </row>
    <row r="33" ht="46" customHeight="1" spans="1:15">
      <c r="A33" s="12">
        <v>29</v>
      </c>
      <c r="B33" s="12">
        <v>1</v>
      </c>
      <c r="C33" s="12" t="s">
        <v>1772</v>
      </c>
      <c r="D33" s="13" t="s">
        <v>1862</v>
      </c>
      <c r="E33" s="13" t="s">
        <v>1863</v>
      </c>
      <c r="F33" s="13" t="s">
        <v>30</v>
      </c>
      <c r="G33" s="12" t="s">
        <v>30</v>
      </c>
      <c r="H33" s="12" t="s">
        <v>1775</v>
      </c>
      <c r="I33" s="12" t="s">
        <v>112</v>
      </c>
      <c r="J33" s="13" t="s">
        <v>280</v>
      </c>
      <c r="K33" s="13" t="s">
        <v>1864</v>
      </c>
      <c r="L33" s="13" t="s">
        <v>1866</v>
      </c>
      <c r="M33" s="13" t="s">
        <v>1840</v>
      </c>
      <c r="N33" s="13" t="s">
        <v>300</v>
      </c>
      <c r="O33" s="13" t="s">
        <v>301</v>
      </c>
    </row>
    <row r="34" ht="46" customHeight="1" spans="1:15">
      <c r="A34" s="12">
        <v>30</v>
      </c>
      <c r="B34" s="12">
        <v>1</v>
      </c>
      <c r="C34" s="12" t="s">
        <v>1772</v>
      </c>
      <c r="D34" s="13" t="s">
        <v>1870</v>
      </c>
      <c r="E34" s="13" t="s">
        <v>1871</v>
      </c>
      <c r="F34" s="13" t="s">
        <v>30</v>
      </c>
      <c r="G34" s="12" t="s">
        <v>30</v>
      </c>
      <c r="H34" s="12" t="s">
        <v>1775</v>
      </c>
      <c r="I34" s="12" t="s">
        <v>112</v>
      </c>
      <c r="J34" s="13" t="s">
        <v>1623</v>
      </c>
      <c r="K34" s="13" t="s">
        <v>1873</v>
      </c>
      <c r="L34" s="13" t="s">
        <v>1875</v>
      </c>
      <c r="M34" s="13" t="s">
        <v>1878</v>
      </c>
      <c r="N34" s="13" t="s">
        <v>228</v>
      </c>
      <c r="O34" s="13" t="s">
        <v>229</v>
      </c>
    </row>
  </sheetData>
  <mergeCells count="2">
    <mergeCell ref="A1:O1"/>
    <mergeCell ref="A2:O2"/>
  </mergeCells>
  <conditionalFormatting sqref="I5:I34">
    <cfRule type="containsText" dxfId="0" priority="1" operator="between" text="P0">
      <formula>NOT(ISERROR(SEARCH("P0",I5)))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0"/>
  <sheetViews>
    <sheetView showGridLines="0" workbookViewId="0">
      <selection activeCell="A1" sqref="A1"/>
    </sheetView>
  </sheetViews>
  <sheetFormatPr defaultColWidth="9" defaultRowHeight="14"/>
  <cols>
    <col min="1" max="2" width="8" customWidth="1"/>
    <col min="3" max="3" width="27" customWidth="1"/>
    <col min="4" max="4" width="19" customWidth="1"/>
    <col min="5" max="5" width="9" customWidth="1"/>
    <col min="6" max="6" width="31" customWidth="1"/>
    <col min="7" max="7" width="68" customWidth="1"/>
    <col min="8" max="8" width="35" customWidth="1"/>
    <col min="9" max="9" width="28" customWidth="1"/>
    <col min="10" max="10" width="72" customWidth="1"/>
    <col min="11" max="13" width="52" customWidth="1"/>
    <col min="14" max="14" width="25" customWidth="1"/>
    <col min="15" max="15" width="50" customWidth="1"/>
  </cols>
  <sheetData>
    <row r="1" ht="34" customHeight="1" spans="1:15">
      <c r="A1" s="1" t="s">
        <v>1890</v>
      </c>
      <c r="B1" s="2" t="s">
        <v>10</v>
      </c>
      <c r="C1" s="2" t="s">
        <v>1891</v>
      </c>
      <c r="D1" s="2" t="s">
        <v>1892</v>
      </c>
      <c r="E1" s="2" t="s">
        <v>1893</v>
      </c>
      <c r="F1" s="2" t="s">
        <v>1894</v>
      </c>
      <c r="G1" s="2" t="s">
        <v>1895</v>
      </c>
      <c r="H1" s="2" t="s">
        <v>1896</v>
      </c>
      <c r="I1" s="2" t="s">
        <v>1897</v>
      </c>
      <c r="J1" s="2" t="s">
        <v>1898</v>
      </c>
      <c r="K1" s="2" t="s">
        <v>1899</v>
      </c>
      <c r="L1" s="2" t="s">
        <v>1900</v>
      </c>
      <c r="M1" s="2" t="s">
        <v>1901</v>
      </c>
      <c r="N1" s="2" t="s">
        <v>1902</v>
      </c>
      <c r="O1" s="3" t="s">
        <v>1903</v>
      </c>
    </row>
    <row r="2" ht="62" customHeight="1" spans="1:15">
      <c r="A2" s="4">
        <v>1</v>
      </c>
      <c r="B2" s="4">
        <v>1</v>
      </c>
      <c r="C2" s="4" t="s">
        <v>1904</v>
      </c>
      <c r="D2" s="4" t="s">
        <v>1905</v>
      </c>
      <c r="E2" s="4">
        <v>12</v>
      </c>
      <c r="F2" s="5" t="s">
        <v>1906</v>
      </c>
      <c r="G2" s="5" t="s">
        <v>1907</v>
      </c>
      <c r="H2" s="5" t="s">
        <v>1908</v>
      </c>
      <c r="I2" s="4" t="s">
        <v>1909</v>
      </c>
      <c r="J2" s="5" t="s">
        <v>1515</v>
      </c>
      <c r="K2" s="5" t="s">
        <v>30</v>
      </c>
      <c r="L2" s="5" t="s">
        <v>1440</v>
      </c>
      <c r="M2" s="5" t="s">
        <v>1910</v>
      </c>
      <c r="N2" s="5" t="s">
        <v>1911</v>
      </c>
      <c r="O2" s="5" t="s">
        <v>1912</v>
      </c>
    </row>
    <row r="3" ht="62" customHeight="1" spans="1:15">
      <c r="A3" s="6">
        <v>2</v>
      </c>
      <c r="B3" s="6">
        <v>1</v>
      </c>
      <c r="C3" s="6" t="s">
        <v>1904</v>
      </c>
      <c r="D3" s="6" t="s">
        <v>1913</v>
      </c>
      <c r="E3" s="6">
        <v>5</v>
      </c>
      <c r="F3" s="7" t="s">
        <v>1914</v>
      </c>
      <c r="G3" s="7" t="s">
        <v>1915</v>
      </c>
      <c r="H3" s="7" t="s">
        <v>1908</v>
      </c>
      <c r="I3" s="6" t="s">
        <v>1909</v>
      </c>
      <c r="J3" s="7" t="s">
        <v>1916</v>
      </c>
      <c r="K3" s="7" t="s">
        <v>30</v>
      </c>
      <c r="L3" s="7" t="s">
        <v>1440</v>
      </c>
      <c r="M3" s="7" t="s">
        <v>1578</v>
      </c>
      <c r="N3" s="7" t="s">
        <v>1911</v>
      </c>
      <c r="O3" s="7" t="s">
        <v>1917</v>
      </c>
    </row>
    <row r="4" ht="62" customHeight="1" spans="1:15">
      <c r="A4" s="6">
        <v>3</v>
      </c>
      <c r="B4" s="6">
        <v>1</v>
      </c>
      <c r="C4" s="6" t="s">
        <v>1904</v>
      </c>
      <c r="D4" s="6" t="s">
        <v>1918</v>
      </c>
      <c r="E4" s="6">
        <v>10</v>
      </c>
      <c r="F4" s="7" t="s">
        <v>1919</v>
      </c>
      <c r="G4" s="7" t="s">
        <v>1920</v>
      </c>
      <c r="H4" s="7" t="s">
        <v>1908</v>
      </c>
      <c r="I4" s="6" t="s">
        <v>1921</v>
      </c>
      <c r="J4" s="7" t="s">
        <v>1922</v>
      </c>
      <c r="K4" s="7" t="s">
        <v>1676</v>
      </c>
      <c r="L4" s="7" t="s">
        <v>1923</v>
      </c>
      <c r="M4" s="7" t="s">
        <v>1621</v>
      </c>
      <c r="N4" s="7" t="s">
        <v>1911</v>
      </c>
      <c r="O4" s="7" t="s">
        <v>1924</v>
      </c>
    </row>
    <row r="5" ht="62" customHeight="1" spans="1:15">
      <c r="A5" s="6">
        <v>4</v>
      </c>
      <c r="B5" s="6">
        <v>1</v>
      </c>
      <c r="C5" s="6" t="s">
        <v>1904</v>
      </c>
      <c r="D5" s="6" t="s">
        <v>1925</v>
      </c>
      <c r="E5" s="6">
        <v>12</v>
      </c>
      <c r="F5" s="7" t="s">
        <v>1926</v>
      </c>
      <c r="G5" s="7" t="s">
        <v>1927</v>
      </c>
      <c r="H5" s="7" t="s">
        <v>1928</v>
      </c>
      <c r="I5" s="6" t="s">
        <v>1929</v>
      </c>
      <c r="J5" s="7" t="s">
        <v>1930</v>
      </c>
      <c r="K5" s="7" t="s">
        <v>1676</v>
      </c>
      <c r="L5" s="7" t="s">
        <v>1440</v>
      </c>
      <c r="M5" s="7" t="s">
        <v>1611</v>
      </c>
      <c r="N5" s="7" t="s">
        <v>1911</v>
      </c>
      <c r="O5" s="7" t="s">
        <v>1931</v>
      </c>
    </row>
    <row r="6" ht="62" customHeight="1" spans="1:15">
      <c r="A6" s="6">
        <v>5</v>
      </c>
      <c r="B6" s="6">
        <v>1</v>
      </c>
      <c r="C6" s="6" t="s">
        <v>1904</v>
      </c>
      <c r="D6" s="6" t="s">
        <v>1932</v>
      </c>
      <c r="E6" s="6">
        <v>9</v>
      </c>
      <c r="F6" s="7" t="s">
        <v>1933</v>
      </c>
      <c r="G6" s="7" t="s">
        <v>1934</v>
      </c>
      <c r="H6" s="7" t="s">
        <v>1935</v>
      </c>
      <c r="I6" s="6" t="s">
        <v>1936</v>
      </c>
      <c r="J6" s="7" t="s">
        <v>1937</v>
      </c>
      <c r="K6" s="7" t="s">
        <v>1938</v>
      </c>
      <c r="L6" s="7" t="s">
        <v>1939</v>
      </c>
      <c r="M6" s="7" t="s">
        <v>30</v>
      </c>
      <c r="N6" s="7" t="s">
        <v>1911</v>
      </c>
      <c r="O6" s="7" t="s">
        <v>1940</v>
      </c>
    </row>
    <row r="7" ht="62" customHeight="1" spans="1:15">
      <c r="A7" s="6">
        <v>6</v>
      </c>
      <c r="B7" s="6">
        <v>1</v>
      </c>
      <c r="C7" s="6" t="s">
        <v>1904</v>
      </c>
      <c r="D7" s="6" t="s">
        <v>1941</v>
      </c>
      <c r="E7" s="6">
        <v>8</v>
      </c>
      <c r="F7" s="7" t="s">
        <v>1942</v>
      </c>
      <c r="G7" s="7" t="s">
        <v>1943</v>
      </c>
      <c r="H7" s="7" t="s">
        <v>1908</v>
      </c>
      <c r="I7" s="6" t="s">
        <v>1921</v>
      </c>
      <c r="J7" s="7" t="s">
        <v>1944</v>
      </c>
      <c r="K7" s="7" t="s">
        <v>1691</v>
      </c>
      <c r="L7" s="7" t="s">
        <v>1945</v>
      </c>
      <c r="M7" s="7" t="s">
        <v>1594</v>
      </c>
      <c r="N7" s="7" t="s">
        <v>1911</v>
      </c>
      <c r="O7" s="7" t="s">
        <v>1946</v>
      </c>
    </row>
    <row r="8" ht="62" customHeight="1" spans="1:15">
      <c r="A8" s="6">
        <v>7</v>
      </c>
      <c r="B8" s="6">
        <v>1</v>
      </c>
      <c r="C8" s="6" t="s">
        <v>1904</v>
      </c>
      <c r="D8" s="6" t="s">
        <v>1947</v>
      </c>
      <c r="E8" s="6">
        <v>6</v>
      </c>
      <c r="F8" s="7" t="s">
        <v>1948</v>
      </c>
      <c r="G8" s="7" t="s">
        <v>1949</v>
      </c>
      <c r="H8" s="7" t="s">
        <v>1908</v>
      </c>
      <c r="I8" s="6" t="s">
        <v>1921</v>
      </c>
      <c r="J8" s="7" t="s">
        <v>1950</v>
      </c>
      <c r="K8" s="7" t="s">
        <v>1700</v>
      </c>
      <c r="L8" s="7" t="s">
        <v>1945</v>
      </c>
      <c r="M8" s="7" t="s">
        <v>1594</v>
      </c>
      <c r="N8" s="7" t="s">
        <v>1911</v>
      </c>
      <c r="O8" s="7" t="s">
        <v>1951</v>
      </c>
    </row>
    <row r="9" ht="62" customHeight="1" spans="1:15">
      <c r="A9" s="6">
        <v>8</v>
      </c>
      <c r="B9" s="6">
        <v>2</v>
      </c>
      <c r="C9" s="6" t="s">
        <v>1952</v>
      </c>
      <c r="D9" s="6" t="s">
        <v>1953</v>
      </c>
      <c r="E9" s="6">
        <v>8</v>
      </c>
      <c r="F9" s="7" t="s">
        <v>1954</v>
      </c>
      <c r="G9" s="7" t="s">
        <v>1955</v>
      </c>
      <c r="H9" s="7" t="s">
        <v>1935</v>
      </c>
      <c r="I9" s="6" t="s">
        <v>1936</v>
      </c>
      <c r="J9" s="7" t="s">
        <v>1956</v>
      </c>
      <c r="K9" s="7" t="s">
        <v>1938</v>
      </c>
      <c r="L9" s="7" t="s">
        <v>1957</v>
      </c>
      <c r="M9" s="7" t="s">
        <v>30</v>
      </c>
      <c r="N9" s="7" t="s">
        <v>1911</v>
      </c>
      <c r="O9" s="7" t="s">
        <v>1958</v>
      </c>
    </row>
    <row r="10" ht="62" customHeight="1" spans="1:15">
      <c r="A10" s="6">
        <v>9</v>
      </c>
      <c r="B10" s="6">
        <v>2</v>
      </c>
      <c r="C10" s="6" t="s">
        <v>1952</v>
      </c>
      <c r="D10" s="6" t="s">
        <v>1959</v>
      </c>
      <c r="E10" s="6">
        <v>7</v>
      </c>
      <c r="F10" s="7" t="s">
        <v>1960</v>
      </c>
      <c r="G10" s="7" t="s">
        <v>1961</v>
      </c>
      <c r="H10" s="7" t="s">
        <v>1928</v>
      </c>
      <c r="I10" s="6" t="s">
        <v>1929</v>
      </c>
      <c r="J10" s="7" t="s">
        <v>1962</v>
      </c>
      <c r="K10" s="7" t="s">
        <v>30</v>
      </c>
      <c r="L10" s="7" t="s">
        <v>1963</v>
      </c>
      <c r="M10" s="7" t="s">
        <v>1611</v>
      </c>
      <c r="N10" s="7" t="s">
        <v>1911</v>
      </c>
      <c r="O10" s="7" t="s">
        <v>1964</v>
      </c>
    </row>
    <row r="11" ht="62" customHeight="1" spans="1:15">
      <c r="A11" s="6">
        <v>10</v>
      </c>
      <c r="B11" s="6">
        <v>2</v>
      </c>
      <c r="C11" s="6" t="s">
        <v>1952</v>
      </c>
      <c r="D11" s="6" t="s">
        <v>1965</v>
      </c>
      <c r="E11" s="6">
        <v>7</v>
      </c>
      <c r="F11" s="7" t="s">
        <v>1966</v>
      </c>
      <c r="G11" s="7" t="s">
        <v>1967</v>
      </c>
      <c r="H11" s="7" t="s">
        <v>1908</v>
      </c>
      <c r="I11" s="6" t="s">
        <v>1936</v>
      </c>
      <c r="J11" s="7" t="s">
        <v>1968</v>
      </c>
      <c r="K11" s="7" t="s">
        <v>1969</v>
      </c>
      <c r="L11" s="7" t="s">
        <v>1963</v>
      </c>
      <c r="M11" s="7" t="s">
        <v>30</v>
      </c>
      <c r="N11" s="7" t="s">
        <v>1911</v>
      </c>
      <c r="O11" s="7" t="s">
        <v>1970</v>
      </c>
    </row>
    <row r="12" ht="62" customHeight="1" spans="1:15">
      <c r="A12" s="6">
        <v>11</v>
      </c>
      <c r="B12" s="6">
        <v>2</v>
      </c>
      <c r="C12" s="6" t="s">
        <v>1952</v>
      </c>
      <c r="D12" s="6" t="s">
        <v>1971</v>
      </c>
      <c r="E12" s="6">
        <v>7</v>
      </c>
      <c r="F12" s="7" t="s">
        <v>1972</v>
      </c>
      <c r="G12" s="7" t="s">
        <v>1973</v>
      </c>
      <c r="H12" s="7" t="s">
        <v>1908</v>
      </c>
      <c r="I12" s="6" t="s">
        <v>1921</v>
      </c>
      <c r="J12" s="7" t="s">
        <v>1944</v>
      </c>
      <c r="K12" s="7" t="s">
        <v>1691</v>
      </c>
      <c r="L12" s="7" t="s">
        <v>1945</v>
      </c>
      <c r="M12" s="7" t="s">
        <v>30</v>
      </c>
      <c r="N12" s="7" t="s">
        <v>1911</v>
      </c>
      <c r="O12" s="7" t="s">
        <v>1974</v>
      </c>
    </row>
    <row r="13" ht="62" customHeight="1" spans="1:15">
      <c r="A13" s="6">
        <v>12</v>
      </c>
      <c r="B13" s="6">
        <v>2</v>
      </c>
      <c r="C13" s="6" t="s">
        <v>1952</v>
      </c>
      <c r="D13" s="6" t="s">
        <v>1975</v>
      </c>
      <c r="E13" s="6">
        <v>7</v>
      </c>
      <c r="F13" s="7" t="s">
        <v>1976</v>
      </c>
      <c r="G13" s="7" t="s">
        <v>1977</v>
      </c>
      <c r="H13" s="7" t="s">
        <v>1935</v>
      </c>
      <c r="I13" s="6" t="s">
        <v>1936</v>
      </c>
      <c r="J13" s="7" t="s">
        <v>1956</v>
      </c>
      <c r="K13" s="7" t="s">
        <v>1642</v>
      </c>
      <c r="L13" s="7" t="s">
        <v>1957</v>
      </c>
      <c r="M13" s="7" t="s">
        <v>30</v>
      </c>
      <c r="N13" s="7" t="s">
        <v>1911</v>
      </c>
      <c r="O13" s="7" t="s">
        <v>1978</v>
      </c>
    </row>
    <row r="14" ht="62" customHeight="1" spans="1:15">
      <c r="A14" s="6">
        <v>13</v>
      </c>
      <c r="B14" s="6">
        <v>2</v>
      </c>
      <c r="C14" s="6" t="s">
        <v>1952</v>
      </c>
      <c r="D14" s="6" t="s">
        <v>1979</v>
      </c>
      <c r="E14" s="6">
        <v>8</v>
      </c>
      <c r="F14" s="7" t="s">
        <v>1980</v>
      </c>
      <c r="G14" s="7" t="s">
        <v>1981</v>
      </c>
      <c r="H14" s="7" t="s">
        <v>1928</v>
      </c>
      <c r="I14" s="6" t="s">
        <v>1929</v>
      </c>
      <c r="J14" s="7" t="s">
        <v>1982</v>
      </c>
      <c r="K14" s="7" t="s">
        <v>30</v>
      </c>
      <c r="L14" s="7" t="s">
        <v>1963</v>
      </c>
      <c r="M14" s="7" t="s">
        <v>1611</v>
      </c>
      <c r="N14" s="7" t="s">
        <v>1911</v>
      </c>
      <c r="O14" s="7" t="s">
        <v>1983</v>
      </c>
    </row>
    <row r="15" ht="62" customHeight="1" spans="1:15">
      <c r="A15" s="6">
        <v>14</v>
      </c>
      <c r="B15" s="6">
        <v>2</v>
      </c>
      <c r="C15" s="6" t="s">
        <v>1952</v>
      </c>
      <c r="D15" s="6" t="s">
        <v>1984</v>
      </c>
      <c r="E15" s="6">
        <v>8</v>
      </c>
      <c r="F15" s="7" t="s">
        <v>1985</v>
      </c>
      <c r="G15" s="7" t="s">
        <v>1986</v>
      </c>
      <c r="H15" s="7" t="s">
        <v>1908</v>
      </c>
      <c r="I15" s="6" t="s">
        <v>1936</v>
      </c>
      <c r="J15" s="7" t="s">
        <v>1987</v>
      </c>
      <c r="K15" s="7" t="s">
        <v>1988</v>
      </c>
      <c r="L15" s="7" t="s">
        <v>1963</v>
      </c>
      <c r="M15" s="7" t="s">
        <v>30</v>
      </c>
      <c r="N15" s="7" t="s">
        <v>1911</v>
      </c>
      <c r="O15" s="7" t="s">
        <v>1989</v>
      </c>
    </row>
    <row r="16" ht="62" customHeight="1" spans="1:15">
      <c r="A16" s="6">
        <v>15</v>
      </c>
      <c r="B16" s="6">
        <v>2</v>
      </c>
      <c r="C16" s="6" t="s">
        <v>1952</v>
      </c>
      <c r="D16" s="6" t="s">
        <v>1990</v>
      </c>
      <c r="E16" s="6">
        <v>8</v>
      </c>
      <c r="F16" s="7" t="s">
        <v>1991</v>
      </c>
      <c r="G16" s="7" t="s">
        <v>1992</v>
      </c>
      <c r="H16" s="7" t="s">
        <v>1908</v>
      </c>
      <c r="I16" s="6" t="s">
        <v>1921</v>
      </c>
      <c r="J16" s="7" t="s">
        <v>1993</v>
      </c>
      <c r="K16" s="7" t="s">
        <v>1691</v>
      </c>
      <c r="L16" s="7" t="s">
        <v>1994</v>
      </c>
      <c r="M16" s="7" t="s">
        <v>30</v>
      </c>
      <c r="N16" s="7" t="s">
        <v>1911</v>
      </c>
      <c r="O16" s="7" t="s">
        <v>1995</v>
      </c>
    </row>
    <row r="17" ht="62" customHeight="1" spans="1:15">
      <c r="A17" s="6">
        <v>16</v>
      </c>
      <c r="B17" s="6">
        <v>3</v>
      </c>
      <c r="C17" s="6" t="s">
        <v>1996</v>
      </c>
      <c r="D17" s="6" t="s">
        <v>1997</v>
      </c>
      <c r="E17" s="6">
        <v>6</v>
      </c>
      <c r="F17" s="7" t="s">
        <v>1998</v>
      </c>
      <c r="G17" s="7" t="s">
        <v>1999</v>
      </c>
      <c r="H17" s="7" t="s">
        <v>1908</v>
      </c>
      <c r="I17" s="6" t="s">
        <v>1936</v>
      </c>
      <c r="J17" s="7" t="s">
        <v>2000</v>
      </c>
      <c r="K17" s="7" t="s">
        <v>1660</v>
      </c>
      <c r="L17" s="7" t="s">
        <v>1963</v>
      </c>
      <c r="M17" s="7" t="s">
        <v>30</v>
      </c>
      <c r="N17" s="7" t="s">
        <v>1911</v>
      </c>
      <c r="O17" s="7" t="s">
        <v>2001</v>
      </c>
    </row>
    <row r="18" ht="62" customHeight="1" spans="1:15">
      <c r="A18" s="6">
        <v>17</v>
      </c>
      <c r="B18" s="6">
        <v>3</v>
      </c>
      <c r="C18" s="6" t="s">
        <v>1996</v>
      </c>
      <c r="D18" s="6" t="s">
        <v>2002</v>
      </c>
      <c r="E18" s="6">
        <v>6</v>
      </c>
      <c r="F18" s="7" t="s">
        <v>2003</v>
      </c>
      <c r="G18" s="7" t="s">
        <v>2004</v>
      </c>
      <c r="H18" s="7" t="s">
        <v>1935</v>
      </c>
      <c r="I18" s="6" t="s">
        <v>1936</v>
      </c>
      <c r="J18" s="7" t="s">
        <v>2005</v>
      </c>
      <c r="K18" s="7" t="s">
        <v>1988</v>
      </c>
      <c r="L18" s="7" t="s">
        <v>1957</v>
      </c>
      <c r="M18" s="7" t="s">
        <v>30</v>
      </c>
      <c r="N18" s="7" t="s">
        <v>1911</v>
      </c>
      <c r="O18" s="7" t="s">
        <v>2006</v>
      </c>
    </row>
    <row r="19" ht="62" customHeight="1" spans="1:15">
      <c r="A19" s="6">
        <v>18</v>
      </c>
      <c r="B19" s="6">
        <v>3</v>
      </c>
      <c r="C19" s="6" t="s">
        <v>1996</v>
      </c>
      <c r="D19" s="6" t="s">
        <v>2007</v>
      </c>
      <c r="E19" s="6">
        <v>7</v>
      </c>
      <c r="F19" s="7" t="s">
        <v>2008</v>
      </c>
      <c r="G19" s="7" t="s">
        <v>2009</v>
      </c>
      <c r="H19" s="7" t="s">
        <v>1908</v>
      </c>
      <c r="I19" s="6" t="s">
        <v>1936</v>
      </c>
      <c r="J19" s="7" t="s">
        <v>2010</v>
      </c>
      <c r="K19" s="7" t="s">
        <v>1660</v>
      </c>
      <c r="L19" s="7" t="s">
        <v>1963</v>
      </c>
      <c r="M19" s="7" t="s">
        <v>30</v>
      </c>
      <c r="N19" s="7" t="s">
        <v>1911</v>
      </c>
      <c r="O19" s="7" t="s">
        <v>2011</v>
      </c>
    </row>
    <row r="20" ht="62" customHeight="1" spans="1:15">
      <c r="A20" s="6">
        <v>19</v>
      </c>
      <c r="B20" s="6">
        <v>3</v>
      </c>
      <c r="C20" s="6" t="s">
        <v>1996</v>
      </c>
      <c r="D20" s="6" t="s">
        <v>2012</v>
      </c>
      <c r="E20" s="6">
        <v>6</v>
      </c>
      <c r="F20" s="7" t="s">
        <v>2013</v>
      </c>
      <c r="G20" s="7" t="s">
        <v>2014</v>
      </c>
      <c r="H20" s="7" t="s">
        <v>2015</v>
      </c>
      <c r="I20" s="6" t="s">
        <v>1936</v>
      </c>
      <c r="J20" s="7" t="s">
        <v>2016</v>
      </c>
      <c r="K20" s="7" t="s">
        <v>30</v>
      </c>
      <c r="L20" s="7" t="s">
        <v>1957</v>
      </c>
      <c r="M20" s="7" t="s">
        <v>30</v>
      </c>
      <c r="N20" s="7" t="s">
        <v>1911</v>
      </c>
      <c r="O20" s="7" t="s">
        <v>2017</v>
      </c>
    </row>
    <row r="21" ht="62" customHeight="1" spans="1:15">
      <c r="A21" s="6">
        <v>20</v>
      </c>
      <c r="B21" s="6">
        <v>3</v>
      </c>
      <c r="C21" s="6" t="s">
        <v>1996</v>
      </c>
      <c r="D21" s="6" t="s">
        <v>2018</v>
      </c>
      <c r="E21" s="6">
        <v>18</v>
      </c>
      <c r="F21" s="7" t="s">
        <v>2019</v>
      </c>
      <c r="G21" s="7" t="s">
        <v>2020</v>
      </c>
      <c r="H21" s="7" t="s">
        <v>1908</v>
      </c>
      <c r="I21" s="6" t="s">
        <v>1921</v>
      </c>
      <c r="J21" s="7" t="s">
        <v>2021</v>
      </c>
      <c r="K21" s="7" t="s">
        <v>2022</v>
      </c>
      <c r="L21" s="7" t="s">
        <v>2023</v>
      </c>
      <c r="M21" s="7" t="s">
        <v>1621</v>
      </c>
      <c r="N21" s="7" t="s">
        <v>1911</v>
      </c>
      <c r="O21" s="7" t="s">
        <v>2024</v>
      </c>
    </row>
    <row r="22" ht="62" customHeight="1" spans="1:15">
      <c r="A22" s="6">
        <v>21</v>
      </c>
      <c r="B22" s="6">
        <v>3</v>
      </c>
      <c r="C22" s="6" t="s">
        <v>1996</v>
      </c>
      <c r="D22" s="6" t="s">
        <v>2025</v>
      </c>
      <c r="E22" s="6">
        <v>8</v>
      </c>
      <c r="F22" s="7" t="s">
        <v>2026</v>
      </c>
      <c r="G22" s="7" t="s">
        <v>2027</v>
      </c>
      <c r="H22" s="7" t="s">
        <v>1908</v>
      </c>
      <c r="I22" s="6" t="s">
        <v>1936</v>
      </c>
      <c r="J22" s="7" t="s">
        <v>2028</v>
      </c>
      <c r="K22" s="7" t="s">
        <v>1741</v>
      </c>
      <c r="L22" s="7" t="s">
        <v>2029</v>
      </c>
      <c r="M22" s="7" t="s">
        <v>30</v>
      </c>
      <c r="N22" s="7" t="s">
        <v>1911</v>
      </c>
      <c r="O22" s="7" t="s">
        <v>2030</v>
      </c>
    </row>
    <row r="23" ht="62" customHeight="1" spans="1:15">
      <c r="A23" s="6">
        <v>22</v>
      </c>
      <c r="B23" s="6">
        <v>3</v>
      </c>
      <c r="C23" s="6" t="s">
        <v>1996</v>
      </c>
      <c r="D23" s="6" t="s">
        <v>2031</v>
      </c>
      <c r="E23" s="6">
        <v>7</v>
      </c>
      <c r="F23" s="7" t="s">
        <v>2032</v>
      </c>
      <c r="G23" s="7" t="s">
        <v>2033</v>
      </c>
      <c r="H23" s="7" t="s">
        <v>1908</v>
      </c>
      <c r="I23" s="6" t="s">
        <v>1921</v>
      </c>
      <c r="J23" s="7" t="s">
        <v>2034</v>
      </c>
      <c r="K23" s="7" t="s">
        <v>1676</v>
      </c>
      <c r="L23" s="7" t="s">
        <v>2023</v>
      </c>
      <c r="M23" s="7" t="s">
        <v>1621</v>
      </c>
      <c r="N23" s="7" t="s">
        <v>1911</v>
      </c>
      <c r="O23" s="7" t="s">
        <v>2035</v>
      </c>
    </row>
    <row r="24" ht="62" customHeight="1" spans="1:15">
      <c r="A24" s="6">
        <v>23</v>
      </c>
      <c r="B24" s="6">
        <v>4</v>
      </c>
      <c r="C24" s="6" t="s">
        <v>2036</v>
      </c>
      <c r="D24" s="6" t="s">
        <v>2037</v>
      </c>
      <c r="E24" s="6">
        <v>12</v>
      </c>
      <c r="F24" s="7" t="s">
        <v>2038</v>
      </c>
      <c r="G24" s="7" t="s">
        <v>2039</v>
      </c>
      <c r="H24" s="7" t="s">
        <v>1908</v>
      </c>
      <c r="I24" s="6" t="s">
        <v>1929</v>
      </c>
      <c r="J24" s="7" t="s">
        <v>2040</v>
      </c>
      <c r="K24" s="7" t="s">
        <v>30</v>
      </c>
      <c r="L24" s="7" t="s">
        <v>2041</v>
      </c>
      <c r="M24" s="7" t="s">
        <v>2042</v>
      </c>
      <c r="N24" s="7" t="s">
        <v>1911</v>
      </c>
      <c r="O24" s="7" t="s">
        <v>2043</v>
      </c>
    </row>
    <row r="25" ht="62" customHeight="1" spans="1:15">
      <c r="A25" s="6">
        <v>24</v>
      </c>
      <c r="B25" s="6">
        <v>5</v>
      </c>
      <c r="C25" s="6" t="s">
        <v>2044</v>
      </c>
      <c r="D25" s="6" t="s">
        <v>2045</v>
      </c>
      <c r="E25" s="6">
        <v>8</v>
      </c>
      <c r="F25" s="7" t="s">
        <v>2046</v>
      </c>
      <c r="G25" s="7" t="s">
        <v>2047</v>
      </c>
      <c r="H25" s="7" t="s">
        <v>1908</v>
      </c>
      <c r="I25" s="6" t="s">
        <v>1936</v>
      </c>
      <c r="J25" s="7" t="s">
        <v>2048</v>
      </c>
      <c r="K25" s="7" t="s">
        <v>2049</v>
      </c>
      <c r="L25" s="7" t="s">
        <v>2029</v>
      </c>
      <c r="M25" s="7" t="s">
        <v>30</v>
      </c>
      <c r="N25" s="7" t="s">
        <v>1911</v>
      </c>
      <c r="O25" s="7" t="s">
        <v>2050</v>
      </c>
    </row>
    <row r="26" ht="62" customHeight="1" spans="1:15">
      <c r="A26" s="6">
        <v>25</v>
      </c>
      <c r="B26" s="6">
        <v>5</v>
      </c>
      <c r="C26" s="6" t="s">
        <v>2044</v>
      </c>
      <c r="D26" s="6" t="s">
        <v>2051</v>
      </c>
      <c r="E26" s="6">
        <v>7</v>
      </c>
      <c r="F26" s="7" t="s">
        <v>2052</v>
      </c>
      <c r="G26" s="7" t="s">
        <v>2053</v>
      </c>
      <c r="H26" s="7" t="s">
        <v>2015</v>
      </c>
      <c r="I26" s="6" t="s">
        <v>1936</v>
      </c>
      <c r="J26" s="7" t="s">
        <v>2054</v>
      </c>
      <c r="K26" s="7" t="s">
        <v>1660</v>
      </c>
      <c r="L26" s="7" t="s">
        <v>1957</v>
      </c>
      <c r="M26" s="7" t="s">
        <v>30</v>
      </c>
      <c r="N26" s="7" t="s">
        <v>1911</v>
      </c>
      <c r="O26" s="7" t="s">
        <v>2055</v>
      </c>
    </row>
    <row r="27" ht="62" customHeight="1" spans="1:15">
      <c r="A27" s="6">
        <v>26</v>
      </c>
      <c r="B27" s="6">
        <v>5</v>
      </c>
      <c r="C27" s="6" t="s">
        <v>2044</v>
      </c>
      <c r="D27" s="6" t="s">
        <v>2056</v>
      </c>
      <c r="E27" s="6">
        <v>8</v>
      </c>
      <c r="F27" s="7" t="s">
        <v>2057</v>
      </c>
      <c r="G27" s="7" t="s">
        <v>2058</v>
      </c>
      <c r="H27" s="7" t="s">
        <v>1908</v>
      </c>
      <c r="I27" s="6" t="s">
        <v>1921</v>
      </c>
      <c r="J27" s="7" t="s">
        <v>2059</v>
      </c>
      <c r="K27" s="7" t="s">
        <v>1691</v>
      </c>
      <c r="L27" s="7" t="s">
        <v>1945</v>
      </c>
      <c r="M27" s="7" t="s">
        <v>30</v>
      </c>
      <c r="N27" s="7" t="s">
        <v>1911</v>
      </c>
      <c r="O27" s="7" t="s">
        <v>2060</v>
      </c>
    </row>
    <row r="28" ht="62" customHeight="1" spans="1:15">
      <c r="A28" s="6">
        <v>27</v>
      </c>
      <c r="B28" s="6">
        <v>5</v>
      </c>
      <c r="C28" s="6" t="s">
        <v>2044</v>
      </c>
      <c r="D28" s="6" t="s">
        <v>2061</v>
      </c>
      <c r="E28" s="6">
        <v>12</v>
      </c>
      <c r="F28" s="7" t="s">
        <v>1919</v>
      </c>
      <c r="G28" s="7" t="s">
        <v>2062</v>
      </c>
      <c r="H28" s="7" t="s">
        <v>1908</v>
      </c>
      <c r="I28" s="6" t="s">
        <v>1921</v>
      </c>
      <c r="J28" s="7" t="s">
        <v>2063</v>
      </c>
      <c r="K28" s="7" t="s">
        <v>1676</v>
      </c>
      <c r="L28" s="7" t="s">
        <v>2023</v>
      </c>
      <c r="M28" s="7" t="s">
        <v>2064</v>
      </c>
      <c r="N28" s="7" t="s">
        <v>1911</v>
      </c>
      <c r="O28" s="7" t="s">
        <v>2065</v>
      </c>
    </row>
    <row r="29" ht="62" customHeight="1" spans="1:15">
      <c r="A29" s="6">
        <v>28</v>
      </c>
      <c r="B29" s="6">
        <v>5</v>
      </c>
      <c r="C29" s="6" t="s">
        <v>2044</v>
      </c>
      <c r="D29" s="6" t="s">
        <v>2066</v>
      </c>
      <c r="E29" s="6">
        <v>7</v>
      </c>
      <c r="F29" s="7" t="s">
        <v>1966</v>
      </c>
      <c r="G29" s="7" t="s">
        <v>2067</v>
      </c>
      <c r="H29" s="7" t="s">
        <v>1908</v>
      </c>
      <c r="I29" s="6" t="s">
        <v>1936</v>
      </c>
      <c r="J29" s="7" t="s">
        <v>1968</v>
      </c>
      <c r="K29" s="7" t="s">
        <v>1988</v>
      </c>
      <c r="L29" s="7" t="s">
        <v>1963</v>
      </c>
      <c r="M29" s="7" t="s">
        <v>30</v>
      </c>
      <c r="N29" s="7" t="s">
        <v>1911</v>
      </c>
      <c r="O29" s="7" t="s">
        <v>2068</v>
      </c>
    </row>
    <row r="30" ht="62" customHeight="1" spans="1:15">
      <c r="A30" s="6">
        <v>29</v>
      </c>
      <c r="B30" s="6">
        <v>5</v>
      </c>
      <c r="C30" s="6" t="s">
        <v>2044</v>
      </c>
      <c r="D30" s="6" t="s">
        <v>2069</v>
      </c>
      <c r="E30" s="6">
        <v>10</v>
      </c>
      <c r="F30" s="7" t="s">
        <v>2070</v>
      </c>
      <c r="G30" s="7" t="s">
        <v>2071</v>
      </c>
      <c r="H30" s="7" t="s">
        <v>1928</v>
      </c>
      <c r="I30" s="6" t="s">
        <v>1929</v>
      </c>
      <c r="J30" s="7" t="s">
        <v>1930</v>
      </c>
      <c r="K30" s="7" t="s">
        <v>30</v>
      </c>
      <c r="L30" s="7" t="s">
        <v>1440</v>
      </c>
      <c r="M30" s="7" t="s">
        <v>1611</v>
      </c>
      <c r="N30" s="7" t="s">
        <v>1911</v>
      </c>
      <c r="O30" s="7" t="s">
        <v>2072</v>
      </c>
    </row>
    <row r="31" ht="62" customHeight="1" spans="1:15">
      <c r="A31" s="6">
        <v>30</v>
      </c>
      <c r="B31" s="6">
        <v>5</v>
      </c>
      <c r="C31" s="6" t="s">
        <v>2044</v>
      </c>
      <c r="D31" s="6" t="s">
        <v>2073</v>
      </c>
      <c r="E31" s="6">
        <v>5</v>
      </c>
      <c r="F31" s="7" t="s">
        <v>2074</v>
      </c>
      <c r="G31" s="7" t="s">
        <v>2075</v>
      </c>
      <c r="H31" s="7" t="s">
        <v>1908</v>
      </c>
      <c r="I31" s="6" t="s">
        <v>1936</v>
      </c>
      <c r="J31" s="7" t="s">
        <v>2076</v>
      </c>
      <c r="K31" s="7" t="s">
        <v>2077</v>
      </c>
      <c r="L31" s="7" t="s">
        <v>2029</v>
      </c>
      <c r="M31" s="7" t="s">
        <v>30</v>
      </c>
      <c r="N31" s="7" t="s">
        <v>1911</v>
      </c>
      <c r="O31" s="7" t="s">
        <v>2078</v>
      </c>
    </row>
    <row r="32" ht="62" customHeight="1" spans="1:15">
      <c r="A32" s="6">
        <v>31</v>
      </c>
      <c r="B32" s="6">
        <v>5</v>
      </c>
      <c r="C32" s="6" t="s">
        <v>2044</v>
      </c>
      <c r="D32" s="6" t="s">
        <v>2079</v>
      </c>
      <c r="E32" s="6">
        <v>5</v>
      </c>
      <c r="F32" s="7" t="s">
        <v>2080</v>
      </c>
      <c r="G32" s="7" t="s">
        <v>2081</v>
      </c>
      <c r="H32" s="7" t="s">
        <v>1928</v>
      </c>
      <c r="I32" s="6" t="s">
        <v>1929</v>
      </c>
      <c r="J32" s="7" t="s">
        <v>2082</v>
      </c>
      <c r="K32" s="7" t="s">
        <v>30</v>
      </c>
      <c r="L32" s="7" t="s">
        <v>2083</v>
      </c>
      <c r="M32" s="7" t="s">
        <v>1611</v>
      </c>
      <c r="N32" s="7" t="s">
        <v>1911</v>
      </c>
      <c r="O32" s="7" t="s">
        <v>2084</v>
      </c>
    </row>
    <row r="33" ht="62" customHeight="1" spans="1:15">
      <c r="A33" s="6">
        <v>32</v>
      </c>
      <c r="B33" s="6">
        <v>6</v>
      </c>
      <c r="C33" s="6" t="s">
        <v>2085</v>
      </c>
      <c r="D33" s="6" t="s">
        <v>2086</v>
      </c>
      <c r="E33" s="6">
        <v>8</v>
      </c>
      <c r="F33" s="7" t="s">
        <v>2087</v>
      </c>
      <c r="G33" s="7" t="s">
        <v>2088</v>
      </c>
      <c r="H33" s="7" t="s">
        <v>2089</v>
      </c>
      <c r="I33" s="6" t="s">
        <v>1936</v>
      </c>
      <c r="J33" s="7" t="s">
        <v>2090</v>
      </c>
      <c r="K33" s="7" t="s">
        <v>1642</v>
      </c>
      <c r="L33" s="7" t="s">
        <v>2083</v>
      </c>
      <c r="M33" s="7" t="s">
        <v>30</v>
      </c>
      <c r="N33" s="7" t="s">
        <v>1911</v>
      </c>
      <c r="O33" s="7" t="s">
        <v>2091</v>
      </c>
    </row>
    <row r="34" ht="62" customHeight="1" spans="1:15">
      <c r="A34" s="6">
        <v>33</v>
      </c>
      <c r="B34" s="6">
        <v>6</v>
      </c>
      <c r="C34" s="6" t="s">
        <v>2085</v>
      </c>
      <c r="D34" s="6" t="s">
        <v>2092</v>
      </c>
      <c r="E34" s="6">
        <v>9</v>
      </c>
      <c r="F34" s="7" t="s">
        <v>2093</v>
      </c>
      <c r="G34" s="7" t="s">
        <v>2094</v>
      </c>
      <c r="H34" s="7" t="s">
        <v>1928</v>
      </c>
      <c r="I34" s="6" t="s">
        <v>1929</v>
      </c>
      <c r="J34" s="7" t="s">
        <v>2095</v>
      </c>
      <c r="K34" s="7" t="s">
        <v>30</v>
      </c>
      <c r="L34" s="7" t="s">
        <v>2083</v>
      </c>
      <c r="M34" s="7" t="s">
        <v>1611</v>
      </c>
      <c r="N34" s="7" t="s">
        <v>1911</v>
      </c>
      <c r="O34" s="7" t="s">
        <v>2096</v>
      </c>
    </row>
    <row r="35" ht="62" customHeight="1" spans="1:15">
      <c r="A35" s="6">
        <v>34</v>
      </c>
      <c r="B35" s="6">
        <v>6</v>
      </c>
      <c r="C35" s="6" t="s">
        <v>2085</v>
      </c>
      <c r="D35" s="6" t="s">
        <v>2097</v>
      </c>
      <c r="E35" s="6">
        <v>8</v>
      </c>
      <c r="F35" s="7" t="s">
        <v>2098</v>
      </c>
      <c r="G35" s="7" t="s">
        <v>2099</v>
      </c>
      <c r="H35" s="7" t="s">
        <v>1908</v>
      </c>
      <c r="I35" s="6" t="s">
        <v>1921</v>
      </c>
      <c r="J35" s="7" t="s">
        <v>1944</v>
      </c>
      <c r="K35" s="7" t="s">
        <v>2100</v>
      </c>
      <c r="L35" s="7" t="s">
        <v>1945</v>
      </c>
      <c r="M35" s="7" t="s">
        <v>1594</v>
      </c>
      <c r="N35" s="7" t="s">
        <v>1911</v>
      </c>
      <c r="O35" s="7" t="s">
        <v>2101</v>
      </c>
    </row>
    <row r="36" ht="62" customHeight="1" spans="1:15">
      <c r="A36" s="6">
        <v>35</v>
      </c>
      <c r="B36" s="6">
        <v>6</v>
      </c>
      <c r="C36" s="6" t="s">
        <v>2085</v>
      </c>
      <c r="D36" s="6" t="s">
        <v>2102</v>
      </c>
      <c r="E36" s="6">
        <v>15</v>
      </c>
      <c r="F36" s="7" t="s">
        <v>2103</v>
      </c>
      <c r="G36" s="7" t="s">
        <v>2104</v>
      </c>
      <c r="H36" s="7" t="s">
        <v>1908</v>
      </c>
      <c r="I36" s="6" t="s">
        <v>1921</v>
      </c>
      <c r="J36" s="7" t="s">
        <v>2105</v>
      </c>
      <c r="K36" s="7" t="s">
        <v>1750</v>
      </c>
      <c r="L36" s="7" t="s">
        <v>2023</v>
      </c>
      <c r="M36" s="7" t="s">
        <v>2064</v>
      </c>
      <c r="N36" s="7" t="s">
        <v>1911</v>
      </c>
      <c r="O36" s="7" t="s">
        <v>2106</v>
      </c>
    </row>
    <row r="37" ht="62" customHeight="1" spans="1:15">
      <c r="A37" s="6">
        <v>36</v>
      </c>
      <c r="B37" s="6">
        <v>6</v>
      </c>
      <c r="C37" s="6" t="s">
        <v>2085</v>
      </c>
      <c r="D37" s="6" t="s">
        <v>2107</v>
      </c>
      <c r="E37" s="6">
        <v>8</v>
      </c>
      <c r="F37" s="7" t="s">
        <v>2108</v>
      </c>
      <c r="G37" s="7" t="s">
        <v>2109</v>
      </c>
      <c r="H37" s="7" t="s">
        <v>1908</v>
      </c>
      <c r="I37" s="6" t="s">
        <v>1936</v>
      </c>
      <c r="J37" s="7" t="s">
        <v>2110</v>
      </c>
      <c r="K37" s="7" t="s">
        <v>1725</v>
      </c>
      <c r="L37" s="7" t="s">
        <v>2083</v>
      </c>
      <c r="M37" s="7" t="s">
        <v>30</v>
      </c>
      <c r="N37" s="7" t="s">
        <v>1911</v>
      </c>
      <c r="O37" s="7" t="s">
        <v>2111</v>
      </c>
    </row>
    <row r="38" ht="62" customHeight="1" spans="1:15">
      <c r="A38" s="6">
        <v>37</v>
      </c>
      <c r="B38" s="6">
        <v>6</v>
      </c>
      <c r="C38" s="6" t="s">
        <v>2085</v>
      </c>
      <c r="D38" s="6" t="s">
        <v>2112</v>
      </c>
      <c r="E38" s="6">
        <v>8</v>
      </c>
      <c r="F38" s="7" t="s">
        <v>2113</v>
      </c>
      <c r="G38" s="7" t="s">
        <v>2114</v>
      </c>
      <c r="H38" s="7" t="s">
        <v>1908</v>
      </c>
      <c r="I38" s="6" t="s">
        <v>1936</v>
      </c>
      <c r="J38" s="7" t="s">
        <v>2115</v>
      </c>
      <c r="K38" s="7" t="s">
        <v>2049</v>
      </c>
      <c r="L38" s="7" t="s">
        <v>2029</v>
      </c>
      <c r="M38" s="7" t="s">
        <v>30</v>
      </c>
      <c r="N38" s="7" t="s">
        <v>1911</v>
      </c>
      <c r="O38" s="7" t="s">
        <v>2116</v>
      </c>
    </row>
    <row r="39" ht="62" customHeight="1" spans="1:15">
      <c r="A39" s="6">
        <v>38</v>
      </c>
      <c r="B39" s="6">
        <v>6</v>
      </c>
      <c r="C39" s="6" t="s">
        <v>2085</v>
      </c>
      <c r="D39" s="6" t="s">
        <v>2117</v>
      </c>
      <c r="E39" s="6">
        <v>7</v>
      </c>
      <c r="F39" s="7" t="s">
        <v>2118</v>
      </c>
      <c r="G39" s="7" t="s">
        <v>2119</v>
      </c>
      <c r="H39" s="7" t="s">
        <v>1928</v>
      </c>
      <c r="I39" s="6" t="s">
        <v>1929</v>
      </c>
      <c r="J39" s="7" t="s">
        <v>2120</v>
      </c>
      <c r="K39" s="7" t="s">
        <v>30</v>
      </c>
      <c r="L39" s="7" t="s">
        <v>1440</v>
      </c>
      <c r="M39" s="7" t="s">
        <v>2121</v>
      </c>
      <c r="N39" s="7" t="s">
        <v>1911</v>
      </c>
      <c r="O39" s="7" t="s">
        <v>2122</v>
      </c>
    </row>
    <row r="40" ht="62" customHeight="1" spans="1:15">
      <c r="A40" s="6">
        <v>39</v>
      </c>
      <c r="B40" s="6">
        <v>6</v>
      </c>
      <c r="C40" s="6" t="s">
        <v>2085</v>
      </c>
      <c r="D40" s="6" t="s">
        <v>2123</v>
      </c>
      <c r="E40" s="6">
        <v>7</v>
      </c>
      <c r="F40" s="7" t="s">
        <v>2108</v>
      </c>
      <c r="G40" s="7" t="s">
        <v>2124</v>
      </c>
      <c r="H40" s="7" t="s">
        <v>1908</v>
      </c>
      <c r="I40" s="6" t="s">
        <v>1936</v>
      </c>
      <c r="J40" s="7" t="s">
        <v>2125</v>
      </c>
      <c r="K40" s="7" t="s">
        <v>2126</v>
      </c>
      <c r="L40" s="7" t="s">
        <v>2083</v>
      </c>
      <c r="M40" s="7" t="s">
        <v>30</v>
      </c>
      <c r="N40" s="7" t="s">
        <v>1911</v>
      </c>
      <c r="O40" s="7" t="s">
        <v>2127</v>
      </c>
    </row>
    <row r="41" ht="62" customHeight="1" spans="1:15">
      <c r="A41" s="6">
        <v>40</v>
      </c>
      <c r="B41" s="6">
        <v>6</v>
      </c>
      <c r="C41" s="6" t="s">
        <v>2085</v>
      </c>
      <c r="D41" s="6" t="s">
        <v>2128</v>
      </c>
      <c r="E41" s="6">
        <v>6</v>
      </c>
      <c r="F41" s="7" t="s">
        <v>2129</v>
      </c>
      <c r="G41" s="7" t="s">
        <v>2130</v>
      </c>
      <c r="H41" s="7" t="s">
        <v>1908</v>
      </c>
      <c r="I41" s="6" t="s">
        <v>1921</v>
      </c>
      <c r="J41" s="7" t="s">
        <v>1944</v>
      </c>
      <c r="K41" s="7" t="s">
        <v>1691</v>
      </c>
      <c r="L41" s="7" t="s">
        <v>2131</v>
      </c>
      <c r="M41" s="7" t="s">
        <v>30</v>
      </c>
      <c r="N41" s="7" t="s">
        <v>1911</v>
      </c>
      <c r="O41" s="7" t="s">
        <v>2132</v>
      </c>
    </row>
    <row r="42" ht="62" customHeight="1" spans="1:15">
      <c r="A42" s="6">
        <v>41</v>
      </c>
      <c r="B42" s="6">
        <v>6</v>
      </c>
      <c r="C42" s="6" t="s">
        <v>2085</v>
      </c>
      <c r="D42" s="6" t="s">
        <v>2133</v>
      </c>
      <c r="E42" s="6">
        <v>7</v>
      </c>
      <c r="F42" s="7" t="s">
        <v>2134</v>
      </c>
      <c r="G42" s="7" t="s">
        <v>2135</v>
      </c>
      <c r="H42" s="7" t="s">
        <v>1928</v>
      </c>
      <c r="I42" s="6" t="s">
        <v>1929</v>
      </c>
      <c r="J42" s="7" t="s">
        <v>2136</v>
      </c>
      <c r="K42" s="7" t="s">
        <v>30</v>
      </c>
      <c r="L42" s="7" t="s">
        <v>1440</v>
      </c>
      <c r="M42" s="7" t="s">
        <v>1611</v>
      </c>
      <c r="N42" s="7" t="s">
        <v>1911</v>
      </c>
      <c r="O42" s="7" t="s">
        <v>2137</v>
      </c>
    </row>
    <row r="43" ht="62" customHeight="1" spans="1:15">
      <c r="A43" s="6">
        <v>42</v>
      </c>
      <c r="B43" s="6">
        <v>6</v>
      </c>
      <c r="C43" s="6" t="s">
        <v>2085</v>
      </c>
      <c r="D43" s="6" t="s">
        <v>2138</v>
      </c>
      <c r="E43" s="6">
        <v>7</v>
      </c>
      <c r="F43" s="7" t="s">
        <v>2139</v>
      </c>
      <c r="G43" s="7" t="s">
        <v>2140</v>
      </c>
      <c r="H43" s="7" t="s">
        <v>2089</v>
      </c>
      <c r="I43" s="6" t="s">
        <v>1936</v>
      </c>
      <c r="J43" s="7" t="s">
        <v>2141</v>
      </c>
      <c r="K43" s="7" t="s">
        <v>2049</v>
      </c>
      <c r="L43" s="7" t="s">
        <v>2083</v>
      </c>
      <c r="M43" s="7" t="s">
        <v>30</v>
      </c>
      <c r="N43" s="7" t="s">
        <v>1911</v>
      </c>
      <c r="O43" s="7" t="s">
        <v>2142</v>
      </c>
    </row>
    <row r="44" ht="62" customHeight="1" spans="1:15">
      <c r="A44" s="6">
        <v>43</v>
      </c>
      <c r="B44" s="6">
        <v>7</v>
      </c>
      <c r="C44" s="6" t="s">
        <v>2143</v>
      </c>
      <c r="D44" s="6" t="s">
        <v>2144</v>
      </c>
      <c r="E44" s="6">
        <v>9</v>
      </c>
      <c r="F44" s="7" t="s">
        <v>2145</v>
      </c>
      <c r="G44" s="7" t="s">
        <v>2146</v>
      </c>
      <c r="H44" s="7" t="s">
        <v>2089</v>
      </c>
      <c r="I44" s="6" t="s">
        <v>1936</v>
      </c>
      <c r="J44" s="7" t="s">
        <v>2147</v>
      </c>
      <c r="K44" s="7" t="s">
        <v>2049</v>
      </c>
      <c r="L44" s="7" t="s">
        <v>2083</v>
      </c>
      <c r="M44" s="7" t="s">
        <v>30</v>
      </c>
      <c r="N44" s="7" t="s">
        <v>1911</v>
      </c>
      <c r="O44" s="7" t="s">
        <v>2148</v>
      </c>
    </row>
    <row r="45" ht="62" customHeight="1" spans="1:15">
      <c r="A45" s="6">
        <v>44</v>
      </c>
      <c r="B45" s="6">
        <v>7</v>
      </c>
      <c r="C45" s="6" t="s">
        <v>2143</v>
      </c>
      <c r="D45" s="6" t="s">
        <v>2149</v>
      </c>
      <c r="E45" s="6">
        <v>8</v>
      </c>
      <c r="F45" s="7" t="s">
        <v>2046</v>
      </c>
      <c r="G45" s="7" t="s">
        <v>2150</v>
      </c>
      <c r="H45" s="7" t="s">
        <v>1908</v>
      </c>
      <c r="I45" s="6" t="s">
        <v>1936</v>
      </c>
      <c r="J45" s="7" t="s">
        <v>2151</v>
      </c>
      <c r="K45" s="7" t="s">
        <v>1642</v>
      </c>
      <c r="L45" s="7" t="s">
        <v>2029</v>
      </c>
      <c r="M45" s="7" t="s">
        <v>30</v>
      </c>
      <c r="N45" s="7" t="s">
        <v>1911</v>
      </c>
      <c r="O45" s="7" t="s">
        <v>2152</v>
      </c>
    </row>
    <row r="46" ht="62" customHeight="1" spans="1:15">
      <c r="A46" s="6">
        <v>45</v>
      </c>
      <c r="B46" s="6">
        <v>7</v>
      </c>
      <c r="C46" s="6" t="s">
        <v>2143</v>
      </c>
      <c r="D46" s="6" t="s">
        <v>2153</v>
      </c>
      <c r="E46" s="6">
        <v>8</v>
      </c>
      <c r="F46" s="7" t="s">
        <v>1991</v>
      </c>
      <c r="G46" s="7" t="s">
        <v>2154</v>
      </c>
      <c r="H46" s="7" t="s">
        <v>1908</v>
      </c>
      <c r="I46" s="6" t="s">
        <v>1921</v>
      </c>
      <c r="J46" s="7" t="s">
        <v>1944</v>
      </c>
      <c r="K46" s="7" t="s">
        <v>1691</v>
      </c>
      <c r="L46" s="7" t="s">
        <v>2131</v>
      </c>
      <c r="M46" s="7" t="s">
        <v>30</v>
      </c>
      <c r="N46" s="7" t="s">
        <v>1911</v>
      </c>
      <c r="O46" s="7" t="s">
        <v>2155</v>
      </c>
    </row>
    <row r="47" ht="62" customHeight="1" spans="1:15">
      <c r="A47" s="6">
        <v>46</v>
      </c>
      <c r="B47" s="6">
        <v>7</v>
      </c>
      <c r="C47" s="6" t="s">
        <v>2143</v>
      </c>
      <c r="D47" s="6" t="s">
        <v>2156</v>
      </c>
      <c r="E47" s="6">
        <v>8</v>
      </c>
      <c r="F47" s="7" t="s">
        <v>2157</v>
      </c>
      <c r="G47" s="7" t="s">
        <v>2158</v>
      </c>
      <c r="H47" s="7" t="s">
        <v>1928</v>
      </c>
      <c r="I47" s="6" t="s">
        <v>1929</v>
      </c>
      <c r="J47" s="7" t="s">
        <v>2159</v>
      </c>
      <c r="K47" s="7" t="s">
        <v>30</v>
      </c>
      <c r="L47" s="7" t="s">
        <v>2083</v>
      </c>
      <c r="M47" s="7" t="s">
        <v>1611</v>
      </c>
      <c r="N47" s="7" t="s">
        <v>1911</v>
      </c>
      <c r="O47" s="7" t="s">
        <v>2160</v>
      </c>
    </row>
    <row r="48" ht="62" customHeight="1" spans="1:15">
      <c r="A48" s="6">
        <v>47</v>
      </c>
      <c r="B48" s="6">
        <v>7</v>
      </c>
      <c r="C48" s="6" t="s">
        <v>2143</v>
      </c>
      <c r="D48" s="6" t="s">
        <v>2161</v>
      </c>
      <c r="E48" s="6">
        <v>10</v>
      </c>
      <c r="F48" s="7" t="s">
        <v>1919</v>
      </c>
      <c r="G48" s="7" t="s">
        <v>2162</v>
      </c>
      <c r="H48" s="7" t="s">
        <v>1908</v>
      </c>
      <c r="I48" s="6" t="s">
        <v>1921</v>
      </c>
      <c r="J48" s="7" t="s">
        <v>2163</v>
      </c>
      <c r="K48" s="7" t="s">
        <v>1676</v>
      </c>
      <c r="L48" s="7" t="s">
        <v>2023</v>
      </c>
      <c r="M48" s="7" t="s">
        <v>1621</v>
      </c>
      <c r="N48" s="7" t="s">
        <v>1911</v>
      </c>
      <c r="O48" s="7" t="s">
        <v>2164</v>
      </c>
    </row>
    <row r="49" ht="62" customHeight="1" spans="1:15">
      <c r="A49" s="6">
        <v>48</v>
      </c>
      <c r="B49" s="6">
        <v>7</v>
      </c>
      <c r="C49" s="6" t="s">
        <v>2143</v>
      </c>
      <c r="D49" s="6" t="s">
        <v>2165</v>
      </c>
      <c r="E49" s="6">
        <v>12</v>
      </c>
      <c r="F49" s="7" t="s">
        <v>2166</v>
      </c>
      <c r="G49" s="7" t="s">
        <v>2167</v>
      </c>
      <c r="H49" s="7" t="s">
        <v>1908</v>
      </c>
      <c r="I49" s="6" t="s">
        <v>1921</v>
      </c>
      <c r="J49" s="7" t="s">
        <v>2021</v>
      </c>
      <c r="K49" s="7" t="s">
        <v>1741</v>
      </c>
      <c r="L49" s="7" t="s">
        <v>2023</v>
      </c>
      <c r="M49" s="7" t="s">
        <v>1621</v>
      </c>
      <c r="N49" s="7" t="s">
        <v>1911</v>
      </c>
      <c r="O49" s="7" t="s">
        <v>2168</v>
      </c>
    </row>
    <row r="50" ht="62" customHeight="1" spans="1:15">
      <c r="A50" s="6">
        <v>49</v>
      </c>
      <c r="B50" s="6">
        <v>7</v>
      </c>
      <c r="C50" s="6" t="s">
        <v>2143</v>
      </c>
      <c r="D50" s="6" t="s">
        <v>2169</v>
      </c>
      <c r="E50" s="6">
        <v>5</v>
      </c>
      <c r="F50" s="7" t="s">
        <v>2170</v>
      </c>
      <c r="G50" s="7" t="s">
        <v>2171</v>
      </c>
      <c r="H50" s="7" t="s">
        <v>1908</v>
      </c>
      <c r="I50" s="6" t="s">
        <v>1936</v>
      </c>
      <c r="J50" s="7" t="s">
        <v>2151</v>
      </c>
      <c r="K50" s="7" t="s">
        <v>1741</v>
      </c>
      <c r="L50" s="7" t="s">
        <v>1957</v>
      </c>
      <c r="M50" s="7" t="s">
        <v>30</v>
      </c>
      <c r="N50" s="7" t="s">
        <v>1911</v>
      </c>
      <c r="O50" s="7" t="s">
        <v>2172</v>
      </c>
    </row>
    <row r="51" ht="62" customHeight="1" spans="1:15">
      <c r="A51" s="6">
        <v>50</v>
      </c>
      <c r="B51" s="6">
        <v>7</v>
      </c>
      <c r="C51" s="6" t="s">
        <v>2143</v>
      </c>
      <c r="D51" s="6" t="s">
        <v>2173</v>
      </c>
      <c r="E51" s="6">
        <v>5</v>
      </c>
      <c r="F51" s="7" t="s">
        <v>2174</v>
      </c>
      <c r="G51" s="7" t="s">
        <v>2175</v>
      </c>
      <c r="H51" s="7" t="s">
        <v>1908</v>
      </c>
      <c r="I51" s="6" t="s">
        <v>1936</v>
      </c>
      <c r="J51" s="7" t="s">
        <v>2176</v>
      </c>
      <c r="K51" s="7" t="s">
        <v>1741</v>
      </c>
      <c r="L51" s="7" t="s">
        <v>2029</v>
      </c>
      <c r="M51" s="7" t="s">
        <v>1578</v>
      </c>
      <c r="N51" s="7" t="s">
        <v>1911</v>
      </c>
      <c r="O51" s="7" t="s">
        <v>2177</v>
      </c>
    </row>
    <row r="52" ht="62" customHeight="1" spans="1:15">
      <c r="A52" s="6">
        <v>51</v>
      </c>
      <c r="B52" s="6">
        <v>8</v>
      </c>
      <c r="C52" s="6" t="s">
        <v>2178</v>
      </c>
      <c r="D52" s="6" t="s">
        <v>2179</v>
      </c>
      <c r="E52" s="6">
        <v>10</v>
      </c>
      <c r="F52" s="7" t="s">
        <v>2180</v>
      </c>
      <c r="G52" s="7" t="s">
        <v>2181</v>
      </c>
      <c r="H52" s="7" t="s">
        <v>1908</v>
      </c>
      <c r="I52" s="6" t="s">
        <v>1921</v>
      </c>
      <c r="J52" s="7" t="s">
        <v>2163</v>
      </c>
      <c r="K52" s="7" t="s">
        <v>1676</v>
      </c>
      <c r="L52" s="7" t="s">
        <v>2182</v>
      </c>
      <c r="M52" s="7" t="s">
        <v>2183</v>
      </c>
      <c r="N52" s="7" t="s">
        <v>1911</v>
      </c>
      <c r="O52" s="7" t="s">
        <v>2184</v>
      </c>
    </row>
    <row r="53" ht="62" customHeight="1" spans="1:15">
      <c r="A53" s="6">
        <v>52</v>
      </c>
      <c r="B53" s="6">
        <v>8</v>
      </c>
      <c r="C53" s="6" t="s">
        <v>2178</v>
      </c>
      <c r="D53" s="6" t="s">
        <v>2185</v>
      </c>
      <c r="E53" s="6">
        <v>8</v>
      </c>
      <c r="F53" s="7" t="s">
        <v>2186</v>
      </c>
      <c r="G53" s="7" t="s">
        <v>2187</v>
      </c>
      <c r="H53" s="7" t="s">
        <v>1908</v>
      </c>
      <c r="I53" s="6" t="s">
        <v>1921</v>
      </c>
      <c r="J53" s="7" t="s">
        <v>2188</v>
      </c>
      <c r="K53" s="7" t="s">
        <v>2189</v>
      </c>
      <c r="L53" s="7" t="s">
        <v>1945</v>
      </c>
      <c r="M53" s="7" t="s">
        <v>30</v>
      </c>
      <c r="N53" s="7" t="s">
        <v>1911</v>
      </c>
      <c r="O53" s="7" t="s">
        <v>2190</v>
      </c>
    </row>
    <row r="54" ht="62" customHeight="1" spans="1:15">
      <c r="A54" s="6">
        <v>53</v>
      </c>
      <c r="B54" s="6">
        <v>8</v>
      </c>
      <c r="C54" s="6" t="s">
        <v>2178</v>
      </c>
      <c r="D54" s="6" t="s">
        <v>2191</v>
      </c>
      <c r="E54" s="6">
        <v>8</v>
      </c>
      <c r="F54" s="7" t="s">
        <v>2192</v>
      </c>
      <c r="G54" s="7" t="s">
        <v>2193</v>
      </c>
      <c r="H54" s="7" t="s">
        <v>1908</v>
      </c>
      <c r="I54" s="6" t="s">
        <v>1936</v>
      </c>
      <c r="J54" s="7" t="s">
        <v>2194</v>
      </c>
      <c r="K54" s="7" t="s">
        <v>30</v>
      </c>
      <c r="L54" s="7" t="s">
        <v>2195</v>
      </c>
      <c r="M54" s="7" t="s">
        <v>30</v>
      </c>
      <c r="N54" s="7" t="s">
        <v>1911</v>
      </c>
      <c r="O54" s="7" t="s">
        <v>2196</v>
      </c>
    </row>
    <row r="55" ht="62" customHeight="1" spans="1:15">
      <c r="A55" s="6">
        <v>54</v>
      </c>
      <c r="B55" s="6">
        <v>8</v>
      </c>
      <c r="C55" s="6" t="s">
        <v>2178</v>
      </c>
      <c r="D55" s="6" t="s">
        <v>2197</v>
      </c>
      <c r="E55" s="6">
        <v>9</v>
      </c>
      <c r="F55" s="7" t="s">
        <v>2198</v>
      </c>
      <c r="G55" s="7" t="s">
        <v>2199</v>
      </c>
      <c r="H55" s="7" t="s">
        <v>1908</v>
      </c>
      <c r="I55" s="6" t="s">
        <v>1936</v>
      </c>
      <c r="J55" s="7" t="s">
        <v>2200</v>
      </c>
      <c r="K55" s="7" t="s">
        <v>1642</v>
      </c>
      <c r="L55" s="7" t="s">
        <v>2201</v>
      </c>
      <c r="M55" s="7" t="s">
        <v>30</v>
      </c>
      <c r="N55" s="7" t="s">
        <v>1911</v>
      </c>
      <c r="O55" s="7" t="s">
        <v>2202</v>
      </c>
    </row>
    <row r="56" ht="62" customHeight="1" spans="1:15">
      <c r="A56" s="6">
        <v>55</v>
      </c>
      <c r="B56" s="6">
        <v>8</v>
      </c>
      <c r="C56" s="6" t="s">
        <v>2178</v>
      </c>
      <c r="D56" s="6" t="s">
        <v>2203</v>
      </c>
      <c r="E56" s="6">
        <v>8</v>
      </c>
      <c r="F56" s="7" t="s">
        <v>2204</v>
      </c>
      <c r="G56" s="7" t="s">
        <v>2205</v>
      </c>
      <c r="H56" s="7" t="s">
        <v>1908</v>
      </c>
      <c r="I56" s="6" t="s">
        <v>1936</v>
      </c>
      <c r="J56" s="7" t="s">
        <v>2206</v>
      </c>
      <c r="K56" s="7" t="s">
        <v>1642</v>
      </c>
      <c r="L56" s="7" t="s">
        <v>2201</v>
      </c>
      <c r="M56" s="7" t="s">
        <v>30</v>
      </c>
      <c r="N56" s="7" t="s">
        <v>1911</v>
      </c>
      <c r="O56" s="7" t="s">
        <v>2207</v>
      </c>
    </row>
    <row r="57" ht="62" customHeight="1" spans="1:15">
      <c r="A57" s="6">
        <v>56</v>
      </c>
      <c r="B57" s="6">
        <v>8</v>
      </c>
      <c r="C57" s="6" t="s">
        <v>2178</v>
      </c>
      <c r="D57" s="6" t="s">
        <v>2208</v>
      </c>
      <c r="E57" s="6">
        <v>10</v>
      </c>
      <c r="F57" s="7" t="s">
        <v>2209</v>
      </c>
      <c r="G57" s="7" t="s">
        <v>2210</v>
      </c>
      <c r="H57" s="7" t="s">
        <v>2089</v>
      </c>
      <c r="I57" s="6" t="s">
        <v>1936</v>
      </c>
      <c r="J57" s="7" t="s">
        <v>2211</v>
      </c>
      <c r="K57" s="7" t="s">
        <v>2077</v>
      </c>
      <c r="L57" s="7" t="s">
        <v>2212</v>
      </c>
      <c r="M57" s="7" t="s">
        <v>30</v>
      </c>
      <c r="N57" s="7" t="s">
        <v>1911</v>
      </c>
      <c r="O57" s="7" t="s">
        <v>2213</v>
      </c>
    </row>
    <row r="58" ht="62" customHeight="1" spans="1:15">
      <c r="A58" s="6">
        <v>57</v>
      </c>
      <c r="B58" s="6">
        <v>8</v>
      </c>
      <c r="C58" s="6" t="s">
        <v>2178</v>
      </c>
      <c r="D58" s="6" t="s">
        <v>2214</v>
      </c>
      <c r="E58" s="6">
        <v>8</v>
      </c>
      <c r="F58" s="7" t="s">
        <v>2215</v>
      </c>
      <c r="G58" s="7" t="s">
        <v>2216</v>
      </c>
      <c r="H58" s="7" t="s">
        <v>1908</v>
      </c>
      <c r="I58" s="6" t="s">
        <v>1936</v>
      </c>
      <c r="J58" s="7" t="s">
        <v>2217</v>
      </c>
      <c r="K58" s="7" t="s">
        <v>1642</v>
      </c>
      <c r="L58" s="7" t="s">
        <v>2201</v>
      </c>
      <c r="M58" s="7" t="s">
        <v>30</v>
      </c>
      <c r="N58" s="7" t="s">
        <v>1911</v>
      </c>
      <c r="O58" s="7" t="s">
        <v>2218</v>
      </c>
    </row>
    <row r="59" ht="62" customHeight="1" spans="1:15">
      <c r="A59" s="6">
        <v>58</v>
      </c>
      <c r="B59" s="6">
        <v>8</v>
      </c>
      <c r="C59" s="6" t="s">
        <v>2178</v>
      </c>
      <c r="D59" s="6" t="s">
        <v>2219</v>
      </c>
      <c r="E59" s="6">
        <v>8</v>
      </c>
      <c r="F59" s="7" t="s">
        <v>2198</v>
      </c>
      <c r="G59" s="7" t="s">
        <v>2220</v>
      </c>
      <c r="H59" s="7" t="s">
        <v>1908</v>
      </c>
      <c r="I59" s="6" t="s">
        <v>1936</v>
      </c>
      <c r="J59" s="7" t="s">
        <v>2221</v>
      </c>
      <c r="K59" s="7" t="s">
        <v>1653</v>
      </c>
      <c r="L59" s="7" t="s">
        <v>2201</v>
      </c>
      <c r="M59" s="7" t="s">
        <v>30</v>
      </c>
      <c r="N59" s="7" t="s">
        <v>1911</v>
      </c>
      <c r="O59" s="7" t="s">
        <v>2222</v>
      </c>
    </row>
    <row r="60" ht="62" customHeight="1" spans="1:15">
      <c r="A60" s="6">
        <v>59</v>
      </c>
      <c r="B60" s="6">
        <v>8</v>
      </c>
      <c r="C60" s="6" t="s">
        <v>2178</v>
      </c>
      <c r="D60" s="6" t="s">
        <v>2223</v>
      </c>
      <c r="E60" s="6">
        <v>6</v>
      </c>
      <c r="F60" s="7" t="s">
        <v>2198</v>
      </c>
      <c r="G60" s="7" t="s">
        <v>2224</v>
      </c>
      <c r="H60" s="7" t="s">
        <v>1908</v>
      </c>
      <c r="I60" s="6" t="s">
        <v>1936</v>
      </c>
      <c r="J60" s="7" t="s">
        <v>2225</v>
      </c>
      <c r="K60" s="7" t="s">
        <v>2077</v>
      </c>
      <c r="L60" s="7" t="s">
        <v>2201</v>
      </c>
      <c r="M60" s="7" t="s">
        <v>30</v>
      </c>
      <c r="N60" s="7" t="s">
        <v>1911</v>
      </c>
      <c r="O60" s="7" t="s">
        <v>2226</v>
      </c>
    </row>
    <row r="61" ht="62" customHeight="1" spans="1:15">
      <c r="A61" s="6">
        <v>60</v>
      </c>
      <c r="B61" s="6">
        <v>8</v>
      </c>
      <c r="C61" s="6" t="s">
        <v>2178</v>
      </c>
      <c r="D61" s="6" t="s">
        <v>2227</v>
      </c>
      <c r="E61" s="6">
        <v>7</v>
      </c>
      <c r="F61" s="7" t="s">
        <v>2228</v>
      </c>
      <c r="G61" s="7" t="s">
        <v>2229</v>
      </c>
      <c r="H61" s="7" t="s">
        <v>1908</v>
      </c>
      <c r="I61" s="6" t="s">
        <v>1936</v>
      </c>
      <c r="J61" s="7" t="s">
        <v>2230</v>
      </c>
      <c r="K61" s="7" t="s">
        <v>2049</v>
      </c>
      <c r="L61" s="7" t="s">
        <v>2212</v>
      </c>
      <c r="M61" s="7" t="s">
        <v>30</v>
      </c>
      <c r="N61" s="7" t="s">
        <v>1911</v>
      </c>
      <c r="O61" s="7" t="s">
        <v>2231</v>
      </c>
    </row>
    <row r="62" ht="62" customHeight="1" spans="1:15">
      <c r="A62" s="6">
        <v>61</v>
      </c>
      <c r="B62" s="6">
        <v>9</v>
      </c>
      <c r="C62" s="6" t="s">
        <v>2232</v>
      </c>
      <c r="D62" s="6" t="s">
        <v>2233</v>
      </c>
      <c r="E62" s="6">
        <v>6</v>
      </c>
      <c r="F62" s="7" t="s">
        <v>2234</v>
      </c>
      <c r="G62" s="7" t="s">
        <v>2235</v>
      </c>
      <c r="H62" s="7" t="s">
        <v>2236</v>
      </c>
      <c r="I62" s="6" t="s">
        <v>1936</v>
      </c>
      <c r="J62" s="7" t="s">
        <v>2237</v>
      </c>
      <c r="K62" s="7" t="s">
        <v>1691</v>
      </c>
      <c r="L62" s="7" t="s">
        <v>2212</v>
      </c>
      <c r="M62" s="7" t="s">
        <v>30</v>
      </c>
      <c r="N62" s="7" t="s">
        <v>1911</v>
      </c>
      <c r="O62" s="7" t="s">
        <v>2238</v>
      </c>
    </row>
    <row r="63" ht="62" customHeight="1" spans="1:15">
      <c r="A63" s="6">
        <v>62</v>
      </c>
      <c r="B63" s="6">
        <v>9</v>
      </c>
      <c r="C63" s="6" t="s">
        <v>2232</v>
      </c>
      <c r="D63" s="6" t="s">
        <v>2239</v>
      </c>
      <c r="E63" s="6">
        <v>7</v>
      </c>
      <c r="F63" s="7" t="s">
        <v>2240</v>
      </c>
      <c r="G63" s="7" t="s">
        <v>2241</v>
      </c>
      <c r="H63" s="7" t="s">
        <v>1908</v>
      </c>
      <c r="I63" s="6" t="s">
        <v>1936</v>
      </c>
      <c r="J63" s="7" t="s">
        <v>2242</v>
      </c>
      <c r="K63" s="7" t="s">
        <v>30</v>
      </c>
      <c r="L63" s="7" t="s">
        <v>2212</v>
      </c>
      <c r="M63" s="7" t="s">
        <v>30</v>
      </c>
      <c r="N63" s="7" t="s">
        <v>1911</v>
      </c>
      <c r="O63" s="7" t="s">
        <v>2243</v>
      </c>
    </row>
    <row r="64" ht="62" customHeight="1" spans="1:15">
      <c r="A64" s="6">
        <v>63</v>
      </c>
      <c r="B64" s="6">
        <v>9</v>
      </c>
      <c r="C64" s="6" t="s">
        <v>2232</v>
      </c>
      <c r="D64" s="6" t="s">
        <v>2244</v>
      </c>
      <c r="E64" s="6">
        <v>7</v>
      </c>
      <c r="F64" s="7" t="s">
        <v>2245</v>
      </c>
      <c r="G64" s="7" t="s">
        <v>2246</v>
      </c>
      <c r="H64" s="7" t="s">
        <v>2236</v>
      </c>
      <c r="I64" s="6" t="s">
        <v>1936</v>
      </c>
      <c r="J64" s="7" t="s">
        <v>2247</v>
      </c>
      <c r="K64" s="7" t="s">
        <v>30</v>
      </c>
      <c r="L64" s="7" t="s">
        <v>2248</v>
      </c>
      <c r="M64" s="7" t="s">
        <v>30</v>
      </c>
      <c r="N64" s="7" t="s">
        <v>1911</v>
      </c>
      <c r="O64" s="7" t="s">
        <v>2249</v>
      </c>
    </row>
    <row r="65" ht="62" customHeight="1" spans="1:15">
      <c r="A65" s="6">
        <v>64</v>
      </c>
      <c r="B65" s="6">
        <v>9</v>
      </c>
      <c r="C65" s="6" t="s">
        <v>2232</v>
      </c>
      <c r="D65" s="6" t="s">
        <v>2250</v>
      </c>
      <c r="E65" s="6">
        <v>9</v>
      </c>
      <c r="F65" s="7" t="s">
        <v>2234</v>
      </c>
      <c r="G65" s="7" t="s">
        <v>2251</v>
      </c>
      <c r="H65" s="7" t="s">
        <v>2236</v>
      </c>
      <c r="I65" s="6" t="s">
        <v>1936</v>
      </c>
      <c r="J65" s="7" t="s">
        <v>2252</v>
      </c>
      <c r="K65" s="7" t="s">
        <v>1642</v>
      </c>
      <c r="L65" s="7" t="s">
        <v>2201</v>
      </c>
      <c r="M65" s="7" t="s">
        <v>30</v>
      </c>
      <c r="N65" s="7" t="s">
        <v>1911</v>
      </c>
      <c r="O65" s="7" t="s">
        <v>2253</v>
      </c>
    </row>
    <row r="66" ht="62" customHeight="1" spans="1:15">
      <c r="A66" s="6">
        <v>65</v>
      </c>
      <c r="B66" s="6">
        <v>9</v>
      </c>
      <c r="C66" s="6" t="s">
        <v>2232</v>
      </c>
      <c r="D66" s="6" t="s">
        <v>2254</v>
      </c>
      <c r="E66" s="6">
        <v>11</v>
      </c>
      <c r="F66" s="7" t="s">
        <v>2255</v>
      </c>
      <c r="G66" s="7" t="s">
        <v>2256</v>
      </c>
      <c r="H66" s="7" t="s">
        <v>1908</v>
      </c>
      <c r="I66" s="6" t="s">
        <v>1921</v>
      </c>
      <c r="J66" s="7" t="s">
        <v>2257</v>
      </c>
      <c r="K66" s="7" t="s">
        <v>1676</v>
      </c>
      <c r="L66" s="7" t="s">
        <v>2258</v>
      </c>
      <c r="M66" s="7" t="s">
        <v>1621</v>
      </c>
      <c r="N66" s="7" t="s">
        <v>1911</v>
      </c>
      <c r="O66" s="7" t="s">
        <v>2259</v>
      </c>
    </row>
    <row r="67" ht="62" customHeight="1" spans="1:15">
      <c r="A67" s="6">
        <v>66</v>
      </c>
      <c r="B67" s="6">
        <v>9</v>
      </c>
      <c r="C67" s="6" t="s">
        <v>2232</v>
      </c>
      <c r="D67" s="6" t="s">
        <v>2260</v>
      </c>
      <c r="E67" s="6">
        <v>14</v>
      </c>
      <c r="F67" s="7" t="s">
        <v>2166</v>
      </c>
      <c r="G67" s="7" t="s">
        <v>2261</v>
      </c>
      <c r="H67" s="7" t="s">
        <v>1908</v>
      </c>
      <c r="I67" s="6" t="s">
        <v>1921</v>
      </c>
      <c r="J67" s="7" t="s">
        <v>2262</v>
      </c>
      <c r="K67" s="7" t="s">
        <v>1757</v>
      </c>
      <c r="L67" s="7" t="s">
        <v>2263</v>
      </c>
      <c r="M67" s="7" t="s">
        <v>1621</v>
      </c>
      <c r="N67" s="7" t="s">
        <v>1911</v>
      </c>
      <c r="O67" s="7" t="s">
        <v>2264</v>
      </c>
    </row>
    <row r="68" ht="62" customHeight="1" spans="1:15">
      <c r="A68" s="6">
        <v>67</v>
      </c>
      <c r="B68" s="6">
        <v>9</v>
      </c>
      <c r="C68" s="6" t="s">
        <v>2232</v>
      </c>
      <c r="D68" s="6" t="s">
        <v>2265</v>
      </c>
      <c r="E68" s="6">
        <v>6</v>
      </c>
      <c r="F68" s="7" t="s">
        <v>2266</v>
      </c>
      <c r="G68" s="7" t="s">
        <v>2267</v>
      </c>
      <c r="H68" s="7" t="s">
        <v>1908</v>
      </c>
      <c r="I68" s="6" t="s">
        <v>1909</v>
      </c>
      <c r="J68" s="7" t="s">
        <v>2268</v>
      </c>
      <c r="K68" s="7" t="s">
        <v>1757</v>
      </c>
      <c r="L68" s="7" t="s">
        <v>2201</v>
      </c>
      <c r="M68" s="7" t="s">
        <v>30</v>
      </c>
      <c r="N68" s="7" t="s">
        <v>1911</v>
      </c>
      <c r="O68" s="7" t="s">
        <v>2269</v>
      </c>
    </row>
    <row r="69" ht="62" customHeight="1" spans="1:15">
      <c r="A69" s="6">
        <v>68</v>
      </c>
      <c r="B69" s="6">
        <v>9</v>
      </c>
      <c r="C69" s="6" t="s">
        <v>2232</v>
      </c>
      <c r="D69" s="6" t="s">
        <v>2270</v>
      </c>
      <c r="E69" s="6">
        <v>5</v>
      </c>
      <c r="F69" s="7" t="s">
        <v>2271</v>
      </c>
      <c r="G69" s="7" t="s">
        <v>2272</v>
      </c>
      <c r="H69" s="7" t="s">
        <v>1908</v>
      </c>
      <c r="I69" s="6" t="s">
        <v>1936</v>
      </c>
      <c r="J69" s="7" t="s">
        <v>2273</v>
      </c>
      <c r="K69" s="7" t="s">
        <v>1642</v>
      </c>
      <c r="L69" s="7" t="s">
        <v>2274</v>
      </c>
      <c r="M69" s="7" t="s">
        <v>30</v>
      </c>
      <c r="N69" s="7" t="s">
        <v>1911</v>
      </c>
      <c r="O69" s="7" t="s">
        <v>2275</v>
      </c>
    </row>
    <row r="70" ht="62" customHeight="1" spans="1:15">
      <c r="A70" s="6">
        <v>69</v>
      </c>
      <c r="B70" s="6">
        <v>10</v>
      </c>
      <c r="C70" s="6" t="s">
        <v>2276</v>
      </c>
      <c r="D70" s="6" t="s">
        <v>2277</v>
      </c>
      <c r="E70" s="6">
        <v>8</v>
      </c>
      <c r="F70" s="7" t="s">
        <v>2278</v>
      </c>
      <c r="G70" s="7" t="s">
        <v>2279</v>
      </c>
      <c r="H70" s="7" t="s">
        <v>2236</v>
      </c>
      <c r="I70" s="6" t="s">
        <v>1936</v>
      </c>
      <c r="J70" s="7" t="s">
        <v>2280</v>
      </c>
      <c r="K70" s="7" t="s">
        <v>30</v>
      </c>
      <c r="L70" s="7" t="s">
        <v>2248</v>
      </c>
      <c r="M70" s="7" t="s">
        <v>1578</v>
      </c>
      <c r="N70" s="7" t="s">
        <v>1911</v>
      </c>
      <c r="O70" s="7" t="s">
        <v>2281</v>
      </c>
    </row>
    <row r="71" ht="62" customHeight="1" spans="1:15">
      <c r="A71" s="6">
        <v>70</v>
      </c>
      <c r="B71" s="6">
        <v>10</v>
      </c>
      <c r="C71" s="6" t="s">
        <v>2276</v>
      </c>
      <c r="D71" s="6" t="s">
        <v>2282</v>
      </c>
      <c r="E71" s="6">
        <v>8</v>
      </c>
      <c r="F71" s="7" t="s">
        <v>2283</v>
      </c>
      <c r="G71" s="7" t="s">
        <v>2284</v>
      </c>
      <c r="H71" s="7" t="s">
        <v>2285</v>
      </c>
      <c r="I71" s="6" t="s">
        <v>1936</v>
      </c>
      <c r="J71" s="7" t="s">
        <v>2286</v>
      </c>
      <c r="K71" s="7" t="s">
        <v>30</v>
      </c>
      <c r="L71" s="7" t="s">
        <v>2248</v>
      </c>
      <c r="M71" s="7" t="s">
        <v>30</v>
      </c>
      <c r="N71" s="7" t="s">
        <v>1911</v>
      </c>
      <c r="O71" s="7" t="s">
        <v>2287</v>
      </c>
    </row>
    <row r="72" ht="62" customHeight="1" spans="1:15">
      <c r="A72" s="6">
        <v>71</v>
      </c>
      <c r="B72" s="6">
        <v>10</v>
      </c>
      <c r="C72" s="6" t="s">
        <v>2276</v>
      </c>
      <c r="D72" s="6" t="s">
        <v>2288</v>
      </c>
      <c r="E72" s="6">
        <v>8</v>
      </c>
      <c r="F72" s="7" t="s">
        <v>2289</v>
      </c>
      <c r="G72" s="7" t="s">
        <v>2290</v>
      </c>
      <c r="H72" s="7" t="s">
        <v>2285</v>
      </c>
      <c r="I72" s="6" t="s">
        <v>1936</v>
      </c>
      <c r="J72" s="7" t="s">
        <v>2291</v>
      </c>
      <c r="K72" s="7" t="s">
        <v>1653</v>
      </c>
      <c r="L72" s="7" t="s">
        <v>2201</v>
      </c>
      <c r="M72" s="7" t="s">
        <v>30</v>
      </c>
      <c r="N72" s="7" t="s">
        <v>1911</v>
      </c>
      <c r="O72" s="7" t="s">
        <v>2292</v>
      </c>
    </row>
    <row r="73" ht="62" customHeight="1" spans="1:15">
      <c r="A73" s="6">
        <v>72</v>
      </c>
      <c r="B73" s="6">
        <v>10</v>
      </c>
      <c r="C73" s="6" t="s">
        <v>2276</v>
      </c>
      <c r="D73" s="6" t="s">
        <v>2293</v>
      </c>
      <c r="E73" s="6">
        <v>8</v>
      </c>
      <c r="F73" s="7" t="s">
        <v>2294</v>
      </c>
      <c r="G73" s="7" t="s">
        <v>2295</v>
      </c>
      <c r="H73" s="7" t="s">
        <v>2285</v>
      </c>
      <c r="I73" s="6" t="s">
        <v>1936</v>
      </c>
      <c r="J73" s="7" t="s">
        <v>2296</v>
      </c>
      <c r="K73" s="7" t="s">
        <v>1757</v>
      </c>
      <c r="L73" s="7" t="s">
        <v>2248</v>
      </c>
      <c r="M73" s="7" t="s">
        <v>1594</v>
      </c>
      <c r="N73" s="7" t="s">
        <v>1911</v>
      </c>
      <c r="O73" s="7" t="s">
        <v>2297</v>
      </c>
    </row>
    <row r="74" ht="62" customHeight="1" spans="1:15">
      <c r="A74" s="6">
        <v>73</v>
      </c>
      <c r="B74" s="6">
        <v>10</v>
      </c>
      <c r="C74" s="6" t="s">
        <v>2276</v>
      </c>
      <c r="D74" s="6" t="s">
        <v>2298</v>
      </c>
      <c r="E74" s="6">
        <v>9</v>
      </c>
      <c r="F74" s="7" t="s">
        <v>2299</v>
      </c>
      <c r="G74" s="7" t="s">
        <v>2300</v>
      </c>
      <c r="H74" s="7" t="s">
        <v>2285</v>
      </c>
      <c r="I74" s="6" t="s">
        <v>1936</v>
      </c>
      <c r="J74" s="7" t="s">
        <v>2242</v>
      </c>
      <c r="K74" s="7" t="s">
        <v>1653</v>
      </c>
      <c r="L74" s="7" t="s">
        <v>2201</v>
      </c>
      <c r="M74" s="7" t="s">
        <v>30</v>
      </c>
      <c r="N74" s="7" t="s">
        <v>1911</v>
      </c>
      <c r="O74" s="7" t="s">
        <v>2301</v>
      </c>
    </row>
    <row r="75" ht="62" customHeight="1" spans="1:15">
      <c r="A75" s="6">
        <v>74</v>
      </c>
      <c r="B75" s="6">
        <v>10</v>
      </c>
      <c r="C75" s="6" t="s">
        <v>2276</v>
      </c>
      <c r="D75" s="6" t="s">
        <v>2302</v>
      </c>
      <c r="E75" s="6">
        <v>9</v>
      </c>
      <c r="F75" s="7" t="s">
        <v>2303</v>
      </c>
      <c r="G75" s="7" t="s">
        <v>2304</v>
      </c>
      <c r="H75" s="7" t="s">
        <v>2285</v>
      </c>
      <c r="I75" s="6" t="s">
        <v>1936</v>
      </c>
      <c r="J75" s="7" t="s">
        <v>2305</v>
      </c>
      <c r="K75" s="7" t="s">
        <v>2077</v>
      </c>
      <c r="L75" s="7" t="s">
        <v>2248</v>
      </c>
      <c r="M75" s="7" t="s">
        <v>30</v>
      </c>
      <c r="N75" s="7" t="s">
        <v>1911</v>
      </c>
      <c r="O75" s="7" t="s">
        <v>2306</v>
      </c>
    </row>
    <row r="76" ht="62" customHeight="1" spans="1:15">
      <c r="A76" s="6">
        <v>75</v>
      </c>
      <c r="B76" s="6">
        <v>10</v>
      </c>
      <c r="C76" s="6" t="s">
        <v>2276</v>
      </c>
      <c r="D76" s="6" t="s">
        <v>2307</v>
      </c>
      <c r="E76" s="6">
        <v>10</v>
      </c>
      <c r="F76" s="7" t="s">
        <v>2308</v>
      </c>
      <c r="G76" s="7" t="s">
        <v>2309</v>
      </c>
      <c r="H76" s="7" t="s">
        <v>2285</v>
      </c>
      <c r="I76" s="6" t="s">
        <v>1936</v>
      </c>
      <c r="J76" s="7" t="s">
        <v>2310</v>
      </c>
      <c r="K76" s="7" t="s">
        <v>30</v>
      </c>
      <c r="L76" s="7" t="s">
        <v>2248</v>
      </c>
      <c r="M76" s="7" t="s">
        <v>1578</v>
      </c>
      <c r="N76" s="7" t="s">
        <v>1911</v>
      </c>
      <c r="O76" s="7" t="s">
        <v>2311</v>
      </c>
    </row>
    <row r="77" ht="62" customHeight="1" spans="1:15">
      <c r="A77" s="6">
        <v>76</v>
      </c>
      <c r="B77" s="6">
        <v>10</v>
      </c>
      <c r="C77" s="6" t="s">
        <v>2276</v>
      </c>
      <c r="D77" s="6" t="s">
        <v>2312</v>
      </c>
      <c r="E77" s="6">
        <v>10</v>
      </c>
      <c r="F77" s="7" t="s">
        <v>2313</v>
      </c>
      <c r="G77" s="7" t="s">
        <v>2314</v>
      </c>
      <c r="H77" s="7" t="s">
        <v>2236</v>
      </c>
      <c r="I77" s="6" t="s">
        <v>1936</v>
      </c>
      <c r="J77" s="7" t="s">
        <v>2315</v>
      </c>
      <c r="K77" s="7" t="s">
        <v>2077</v>
      </c>
      <c r="L77" s="7" t="s">
        <v>2248</v>
      </c>
      <c r="M77" s="7" t="s">
        <v>2316</v>
      </c>
      <c r="N77" s="7" t="s">
        <v>1911</v>
      </c>
      <c r="O77" s="7" t="s">
        <v>2317</v>
      </c>
    </row>
    <row r="78" ht="62" customHeight="1" spans="1:15">
      <c r="A78" s="6">
        <v>77</v>
      </c>
      <c r="B78" s="6">
        <v>11</v>
      </c>
      <c r="C78" s="6" t="s">
        <v>2318</v>
      </c>
      <c r="D78" s="6" t="s">
        <v>2319</v>
      </c>
      <c r="E78" s="6">
        <v>8</v>
      </c>
      <c r="F78" s="7" t="s">
        <v>2198</v>
      </c>
      <c r="G78" s="7" t="s">
        <v>2320</v>
      </c>
      <c r="H78" s="7" t="s">
        <v>2285</v>
      </c>
      <c r="I78" s="6" t="s">
        <v>1936</v>
      </c>
      <c r="J78" s="7" t="s">
        <v>2321</v>
      </c>
      <c r="K78" s="7" t="s">
        <v>1653</v>
      </c>
      <c r="L78" s="7" t="s">
        <v>2201</v>
      </c>
      <c r="M78" s="7" t="s">
        <v>1604</v>
      </c>
      <c r="N78" s="7" t="s">
        <v>1911</v>
      </c>
      <c r="O78" s="7" t="s">
        <v>2322</v>
      </c>
    </row>
    <row r="79" ht="62" customHeight="1" spans="1:15">
      <c r="A79" s="6">
        <v>78</v>
      </c>
      <c r="B79" s="6">
        <v>11</v>
      </c>
      <c r="C79" s="6" t="s">
        <v>2318</v>
      </c>
      <c r="D79" s="6" t="s">
        <v>2323</v>
      </c>
      <c r="E79" s="6">
        <v>8</v>
      </c>
      <c r="F79" s="7" t="s">
        <v>2324</v>
      </c>
      <c r="G79" s="7" t="s">
        <v>2325</v>
      </c>
      <c r="H79" s="7" t="s">
        <v>2285</v>
      </c>
      <c r="I79" s="6" t="s">
        <v>1936</v>
      </c>
      <c r="J79" s="7" t="s">
        <v>2326</v>
      </c>
      <c r="K79" s="7" t="s">
        <v>2049</v>
      </c>
      <c r="L79" s="7" t="s">
        <v>2201</v>
      </c>
      <c r="M79" s="7" t="s">
        <v>1604</v>
      </c>
      <c r="N79" s="7" t="s">
        <v>1911</v>
      </c>
      <c r="O79" s="7" t="s">
        <v>2327</v>
      </c>
    </row>
    <row r="80" ht="62" customHeight="1" spans="1:15">
      <c r="A80" s="6">
        <v>79</v>
      </c>
      <c r="B80" s="6">
        <v>11</v>
      </c>
      <c r="C80" s="6" t="s">
        <v>2318</v>
      </c>
      <c r="D80" s="6" t="s">
        <v>2328</v>
      </c>
      <c r="E80" s="6">
        <v>10</v>
      </c>
      <c r="F80" s="7" t="s">
        <v>2329</v>
      </c>
      <c r="G80" s="7" t="s">
        <v>2330</v>
      </c>
      <c r="H80" s="7" t="s">
        <v>2285</v>
      </c>
      <c r="I80" s="6" t="s">
        <v>1909</v>
      </c>
      <c r="J80" s="7" t="s">
        <v>2331</v>
      </c>
      <c r="K80" s="7" t="s">
        <v>1741</v>
      </c>
      <c r="L80" s="7" t="s">
        <v>2029</v>
      </c>
      <c r="M80" s="7" t="s">
        <v>1578</v>
      </c>
      <c r="N80" s="7" t="s">
        <v>1911</v>
      </c>
      <c r="O80" s="7" t="s">
        <v>2332</v>
      </c>
    </row>
    <row r="81" ht="62" customHeight="1" spans="1:15">
      <c r="A81" s="6">
        <v>80</v>
      </c>
      <c r="B81" s="6">
        <v>11</v>
      </c>
      <c r="C81" s="6" t="s">
        <v>2318</v>
      </c>
      <c r="D81" s="6" t="s">
        <v>2333</v>
      </c>
      <c r="E81" s="6">
        <v>8</v>
      </c>
      <c r="F81" s="7" t="s">
        <v>2046</v>
      </c>
      <c r="G81" s="7" t="s">
        <v>2334</v>
      </c>
      <c r="H81" s="7" t="s">
        <v>2285</v>
      </c>
      <c r="I81" s="6" t="s">
        <v>1936</v>
      </c>
      <c r="J81" s="7" t="s">
        <v>2335</v>
      </c>
      <c r="K81" s="7" t="s">
        <v>2049</v>
      </c>
      <c r="L81" s="7" t="s">
        <v>2336</v>
      </c>
      <c r="M81" s="7" t="s">
        <v>30</v>
      </c>
      <c r="N81" s="7" t="s">
        <v>1911</v>
      </c>
      <c r="O81" s="7" t="s">
        <v>2337</v>
      </c>
    </row>
    <row r="82" ht="62" customHeight="1" spans="1:15">
      <c r="A82" s="6">
        <v>81</v>
      </c>
      <c r="B82" s="6">
        <v>11</v>
      </c>
      <c r="C82" s="6" t="s">
        <v>2318</v>
      </c>
      <c r="D82" s="6" t="s">
        <v>2338</v>
      </c>
      <c r="E82" s="6">
        <v>10</v>
      </c>
      <c r="F82" s="7" t="s">
        <v>2234</v>
      </c>
      <c r="G82" s="7" t="s">
        <v>2339</v>
      </c>
      <c r="H82" s="7" t="s">
        <v>2236</v>
      </c>
      <c r="I82" s="6" t="s">
        <v>1936</v>
      </c>
      <c r="J82" s="7" t="s">
        <v>2340</v>
      </c>
      <c r="K82" s="7" t="s">
        <v>30</v>
      </c>
      <c r="L82" s="7" t="s">
        <v>2083</v>
      </c>
      <c r="M82" s="7" t="s">
        <v>1578</v>
      </c>
      <c r="N82" s="7" t="s">
        <v>1911</v>
      </c>
      <c r="O82" s="7" t="s">
        <v>2341</v>
      </c>
    </row>
    <row r="83" ht="62" customHeight="1" spans="1:15">
      <c r="A83" s="6">
        <v>82</v>
      </c>
      <c r="B83" s="6">
        <v>11</v>
      </c>
      <c r="C83" s="6" t="s">
        <v>2318</v>
      </c>
      <c r="D83" s="6" t="s">
        <v>2342</v>
      </c>
      <c r="E83" s="6">
        <v>8</v>
      </c>
      <c r="F83" s="7" t="s">
        <v>2343</v>
      </c>
      <c r="G83" s="7" t="s">
        <v>2344</v>
      </c>
      <c r="H83" s="7" t="s">
        <v>2015</v>
      </c>
      <c r="I83" s="6" t="s">
        <v>1921</v>
      </c>
      <c r="J83" s="7" t="s">
        <v>2345</v>
      </c>
      <c r="K83" s="7" t="s">
        <v>2346</v>
      </c>
      <c r="L83" s="7" t="s">
        <v>2347</v>
      </c>
      <c r="M83" s="7" t="s">
        <v>1594</v>
      </c>
      <c r="N83" s="7" t="s">
        <v>1911</v>
      </c>
      <c r="O83" s="7" t="s">
        <v>2348</v>
      </c>
    </row>
    <row r="84" ht="62" customHeight="1" spans="1:15">
      <c r="A84" s="6">
        <v>83</v>
      </c>
      <c r="B84" s="6">
        <v>11</v>
      </c>
      <c r="C84" s="6" t="s">
        <v>2318</v>
      </c>
      <c r="D84" s="6" t="s">
        <v>2349</v>
      </c>
      <c r="E84" s="6">
        <v>7</v>
      </c>
      <c r="F84" s="7" t="s">
        <v>2350</v>
      </c>
      <c r="G84" s="7" t="s">
        <v>2351</v>
      </c>
      <c r="H84" s="7" t="s">
        <v>1928</v>
      </c>
      <c r="I84" s="6" t="s">
        <v>1929</v>
      </c>
      <c r="J84" s="7" t="s">
        <v>2352</v>
      </c>
      <c r="K84" s="7" t="s">
        <v>30</v>
      </c>
      <c r="L84" s="7" t="s">
        <v>2041</v>
      </c>
      <c r="M84" s="7" t="s">
        <v>1611</v>
      </c>
      <c r="N84" s="7" t="s">
        <v>1911</v>
      </c>
      <c r="O84" s="7" t="s">
        <v>2353</v>
      </c>
    </row>
    <row r="85" ht="62" customHeight="1" spans="1:15">
      <c r="A85" s="6">
        <v>84</v>
      </c>
      <c r="B85" s="6">
        <v>11</v>
      </c>
      <c r="C85" s="6" t="s">
        <v>2318</v>
      </c>
      <c r="D85" s="6" t="s">
        <v>2354</v>
      </c>
      <c r="E85" s="6">
        <v>7</v>
      </c>
      <c r="F85" s="7" t="s">
        <v>2355</v>
      </c>
      <c r="G85" s="7" t="s">
        <v>2356</v>
      </c>
      <c r="H85" s="7" t="s">
        <v>1908</v>
      </c>
      <c r="I85" s="6" t="s">
        <v>1909</v>
      </c>
      <c r="J85" s="7" t="s">
        <v>2357</v>
      </c>
      <c r="K85" s="7" t="s">
        <v>1660</v>
      </c>
      <c r="L85" s="7" t="s">
        <v>2041</v>
      </c>
      <c r="M85" s="7" t="s">
        <v>2358</v>
      </c>
      <c r="N85" s="7" t="s">
        <v>1911</v>
      </c>
      <c r="O85" s="7" t="s">
        <v>2359</v>
      </c>
    </row>
    <row r="86" ht="62" customHeight="1" spans="1:15">
      <c r="A86" s="6">
        <v>85</v>
      </c>
      <c r="B86" s="6">
        <v>11</v>
      </c>
      <c r="C86" s="6" t="s">
        <v>2318</v>
      </c>
      <c r="D86" s="6" t="s">
        <v>2360</v>
      </c>
      <c r="E86" s="6">
        <v>10</v>
      </c>
      <c r="F86" s="7" t="s">
        <v>2361</v>
      </c>
      <c r="G86" s="7" t="s">
        <v>2362</v>
      </c>
      <c r="H86" s="7" t="s">
        <v>1908</v>
      </c>
      <c r="I86" s="6" t="s">
        <v>1936</v>
      </c>
      <c r="J86" s="7" t="s">
        <v>2363</v>
      </c>
      <c r="K86" s="7" t="s">
        <v>2189</v>
      </c>
      <c r="L86" s="7" t="s">
        <v>1963</v>
      </c>
      <c r="M86" s="7" t="s">
        <v>30</v>
      </c>
      <c r="N86" s="7" t="s">
        <v>1911</v>
      </c>
      <c r="O86" s="7" t="s">
        <v>2364</v>
      </c>
    </row>
    <row r="87" ht="62" customHeight="1" spans="1:15">
      <c r="A87" s="6">
        <v>86</v>
      </c>
      <c r="B87" s="6">
        <v>11</v>
      </c>
      <c r="C87" s="6" t="s">
        <v>2318</v>
      </c>
      <c r="D87" s="6" t="s">
        <v>2365</v>
      </c>
      <c r="E87" s="6">
        <v>9</v>
      </c>
      <c r="F87" s="7" t="s">
        <v>2013</v>
      </c>
      <c r="G87" s="7" t="s">
        <v>2366</v>
      </c>
      <c r="H87" s="7" t="s">
        <v>2367</v>
      </c>
      <c r="I87" s="6" t="s">
        <v>1936</v>
      </c>
      <c r="J87" s="7" t="s">
        <v>2368</v>
      </c>
      <c r="K87" s="7" t="s">
        <v>1988</v>
      </c>
      <c r="L87" s="7" t="s">
        <v>1957</v>
      </c>
      <c r="M87" s="7" t="s">
        <v>30</v>
      </c>
      <c r="N87" s="7" t="s">
        <v>1911</v>
      </c>
      <c r="O87" s="7" t="s">
        <v>2369</v>
      </c>
    </row>
    <row r="88" ht="62" customHeight="1" spans="1:15">
      <c r="A88" s="6">
        <v>87</v>
      </c>
      <c r="B88" s="6">
        <v>12</v>
      </c>
      <c r="C88" s="6" t="s">
        <v>2370</v>
      </c>
      <c r="D88" s="6" t="s">
        <v>2371</v>
      </c>
      <c r="E88" s="6">
        <v>9</v>
      </c>
      <c r="F88" s="7" t="s">
        <v>2372</v>
      </c>
      <c r="G88" s="7" t="s">
        <v>2373</v>
      </c>
      <c r="H88" s="7" t="s">
        <v>1908</v>
      </c>
      <c r="I88" s="6" t="s">
        <v>1921</v>
      </c>
      <c r="J88" s="7" t="s">
        <v>2374</v>
      </c>
      <c r="K88" s="7" t="s">
        <v>1676</v>
      </c>
      <c r="L88" s="7" t="s">
        <v>2182</v>
      </c>
      <c r="M88" s="7" t="s">
        <v>1621</v>
      </c>
      <c r="N88" s="7" t="s">
        <v>1911</v>
      </c>
      <c r="O88" s="7" t="s">
        <v>2375</v>
      </c>
    </row>
    <row r="89" ht="62" customHeight="1" spans="1:15">
      <c r="A89" s="6">
        <v>88</v>
      </c>
      <c r="B89" s="6">
        <v>12</v>
      </c>
      <c r="C89" s="6" t="s">
        <v>2370</v>
      </c>
      <c r="D89" s="6" t="s">
        <v>2376</v>
      </c>
      <c r="E89" s="6">
        <v>16</v>
      </c>
      <c r="F89" s="7" t="s">
        <v>2166</v>
      </c>
      <c r="G89" s="7" t="s">
        <v>2377</v>
      </c>
      <c r="H89" s="7" t="s">
        <v>1908</v>
      </c>
      <c r="I89" s="6" t="s">
        <v>1921</v>
      </c>
      <c r="J89" s="7" t="s">
        <v>2378</v>
      </c>
      <c r="K89" s="7" t="s">
        <v>1750</v>
      </c>
      <c r="L89" s="7" t="s">
        <v>2379</v>
      </c>
      <c r="M89" s="7" t="s">
        <v>2064</v>
      </c>
      <c r="N89" s="7" t="s">
        <v>1911</v>
      </c>
      <c r="O89" s="7" t="s">
        <v>2380</v>
      </c>
    </row>
    <row r="90" ht="62" customHeight="1" spans="1:15">
      <c r="A90" s="6">
        <v>89</v>
      </c>
      <c r="B90" s="6">
        <v>12</v>
      </c>
      <c r="C90" s="6" t="s">
        <v>2370</v>
      </c>
      <c r="D90" s="6" t="s">
        <v>2381</v>
      </c>
      <c r="E90" s="6">
        <v>5</v>
      </c>
      <c r="F90" s="7" t="s">
        <v>2080</v>
      </c>
      <c r="G90" s="7" t="s">
        <v>2382</v>
      </c>
      <c r="H90" s="7" t="s">
        <v>1928</v>
      </c>
      <c r="I90" s="6" t="s">
        <v>1929</v>
      </c>
      <c r="J90" s="7" t="s">
        <v>2383</v>
      </c>
      <c r="K90" s="7" t="s">
        <v>30</v>
      </c>
      <c r="L90" s="7" t="s">
        <v>1440</v>
      </c>
      <c r="M90" s="7" t="s">
        <v>2042</v>
      </c>
      <c r="N90" s="7" t="s">
        <v>1911</v>
      </c>
      <c r="O90" s="7" t="s">
        <v>2384</v>
      </c>
    </row>
    <row r="91" ht="62" customHeight="1" spans="1:15">
      <c r="A91" s="6">
        <v>90</v>
      </c>
      <c r="B91" s="6">
        <v>13</v>
      </c>
      <c r="C91" s="6" t="s">
        <v>2385</v>
      </c>
      <c r="D91" s="6" t="s">
        <v>2386</v>
      </c>
      <c r="E91" s="6">
        <v>8</v>
      </c>
      <c r="F91" s="7" t="s">
        <v>2387</v>
      </c>
      <c r="G91" s="7" t="s">
        <v>2388</v>
      </c>
      <c r="H91" s="7" t="s">
        <v>1908</v>
      </c>
      <c r="I91" s="6" t="s">
        <v>1909</v>
      </c>
      <c r="J91" s="7" t="s">
        <v>2389</v>
      </c>
      <c r="K91" s="7" t="s">
        <v>30</v>
      </c>
      <c r="L91" s="7" t="s">
        <v>2390</v>
      </c>
      <c r="M91" s="7" t="s">
        <v>1578</v>
      </c>
      <c r="N91" s="7" t="s">
        <v>1911</v>
      </c>
      <c r="O91" s="7" t="s">
        <v>2391</v>
      </c>
    </row>
    <row r="92" ht="62" customHeight="1" spans="1:15">
      <c r="A92" s="6">
        <v>91</v>
      </c>
      <c r="B92" s="6">
        <v>13</v>
      </c>
      <c r="C92" s="6" t="s">
        <v>2385</v>
      </c>
      <c r="D92" s="6" t="s">
        <v>2392</v>
      </c>
      <c r="E92" s="6">
        <v>8</v>
      </c>
      <c r="F92" s="7" t="s">
        <v>2393</v>
      </c>
      <c r="G92" s="7" t="s">
        <v>2394</v>
      </c>
      <c r="H92" s="7" t="s">
        <v>1908</v>
      </c>
      <c r="I92" s="6" t="s">
        <v>1921</v>
      </c>
      <c r="J92" s="7" t="s">
        <v>2395</v>
      </c>
      <c r="K92" s="7" t="s">
        <v>1691</v>
      </c>
      <c r="L92" s="7" t="s">
        <v>2396</v>
      </c>
      <c r="M92" s="7" t="s">
        <v>1594</v>
      </c>
      <c r="N92" s="7" t="s">
        <v>1911</v>
      </c>
      <c r="O92" s="7" t="s">
        <v>2397</v>
      </c>
    </row>
    <row r="93" ht="62" customHeight="1" spans="1:15">
      <c r="A93" s="6">
        <v>92</v>
      </c>
      <c r="B93" s="6">
        <v>13</v>
      </c>
      <c r="C93" s="6" t="s">
        <v>2385</v>
      </c>
      <c r="D93" s="6" t="s">
        <v>2398</v>
      </c>
      <c r="E93" s="6">
        <v>10</v>
      </c>
      <c r="F93" s="7" t="s">
        <v>2372</v>
      </c>
      <c r="G93" s="7" t="s">
        <v>2399</v>
      </c>
      <c r="H93" s="7" t="s">
        <v>1908</v>
      </c>
      <c r="I93" s="6" t="s">
        <v>1921</v>
      </c>
      <c r="J93" s="7" t="s">
        <v>2400</v>
      </c>
      <c r="K93" s="7" t="s">
        <v>1676</v>
      </c>
      <c r="L93" s="7" t="s">
        <v>2401</v>
      </c>
      <c r="M93" s="7" t="s">
        <v>2064</v>
      </c>
      <c r="N93" s="7" t="s">
        <v>1911</v>
      </c>
      <c r="O93" s="7" t="s">
        <v>2402</v>
      </c>
    </row>
    <row r="94" ht="62" customHeight="1" spans="1:15">
      <c r="A94" s="6">
        <v>93</v>
      </c>
      <c r="B94" s="6">
        <v>13</v>
      </c>
      <c r="C94" s="6" t="s">
        <v>2385</v>
      </c>
      <c r="D94" s="6" t="s">
        <v>2403</v>
      </c>
      <c r="E94" s="6">
        <v>16</v>
      </c>
      <c r="F94" s="7" t="s">
        <v>2166</v>
      </c>
      <c r="G94" s="7" t="s">
        <v>2404</v>
      </c>
      <c r="H94" s="7" t="s">
        <v>1908</v>
      </c>
      <c r="I94" s="6" t="s">
        <v>1921</v>
      </c>
      <c r="J94" s="7" t="s">
        <v>2405</v>
      </c>
      <c r="K94" s="7" t="s">
        <v>1750</v>
      </c>
      <c r="L94" s="7" t="s">
        <v>2379</v>
      </c>
      <c r="M94" s="7" t="s">
        <v>2064</v>
      </c>
      <c r="N94" s="7" t="s">
        <v>1911</v>
      </c>
      <c r="O94" s="7" t="s">
        <v>2406</v>
      </c>
    </row>
    <row r="95" ht="62" customHeight="1" spans="1:15">
      <c r="A95" s="6">
        <v>94</v>
      </c>
      <c r="B95" s="6">
        <v>13</v>
      </c>
      <c r="C95" s="6" t="s">
        <v>2385</v>
      </c>
      <c r="D95" s="6" t="s">
        <v>2407</v>
      </c>
      <c r="E95" s="6">
        <v>10</v>
      </c>
      <c r="F95" s="7" t="s">
        <v>2408</v>
      </c>
      <c r="G95" s="7" t="s">
        <v>2409</v>
      </c>
      <c r="H95" s="7" t="s">
        <v>1908</v>
      </c>
      <c r="I95" s="6" t="s">
        <v>1921</v>
      </c>
      <c r="J95" s="7" t="s">
        <v>2410</v>
      </c>
      <c r="K95" s="7" t="s">
        <v>1719</v>
      </c>
      <c r="L95" s="7" t="s">
        <v>2411</v>
      </c>
      <c r="M95" s="7" t="s">
        <v>1604</v>
      </c>
      <c r="N95" s="7" t="s">
        <v>1911</v>
      </c>
      <c r="O95" s="7" t="s">
        <v>2412</v>
      </c>
    </row>
    <row r="96" ht="62" customHeight="1" spans="1:15">
      <c r="A96" s="6">
        <v>95</v>
      </c>
      <c r="B96" s="6">
        <v>13</v>
      </c>
      <c r="C96" s="6" t="s">
        <v>2385</v>
      </c>
      <c r="D96" s="6" t="s">
        <v>2413</v>
      </c>
      <c r="E96" s="6">
        <v>8</v>
      </c>
      <c r="F96" s="7" t="s">
        <v>2414</v>
      </c>
      <c r="G96" s="7" t="s">
        <v>2415</v>
      </c>
      <c r="H96" s="7" t="s">
        <v>1908</v>
      </c>
      <c r="I96" s="6" t="s">
        <v>1909</v>
      </c>
      <c r="J96" s="7" t="s">
        <v>2416</v>
      </c>
      <c r="K96" s="7" t="s">
        <v>1676</v>
      </c>
      <c r="L96" s="7" t="s">
        <v>2390</v>
      </c>
      <c r="M96" s="7" t="s">
        <v>1594</v>
      </c>
      <c r="N96" s="7" t="s">
        <v>1911</v>
      </c>
      <c r="O96" s="7" t="s">
        <v>2417</v>
      </c>
    </row>
    <row r="97" ht="62" customHeight="1" spans="1:15">
      <c r="A97" s="6">
        <v>96</v>
      </c>
      <c r="B97" s="6">
        <v>14</v>
      </c>
      <c r="C97" s="6" t="s">
        <v>2418</v>
      </c>
      <c r="D97" s="6" t="s">
        <v>2419</v>
      </c>
      <c r="E97" s="6">
        <v>9</v>
      </c>
      <c r="F97" s="7" t="s">
        <v>2420</v>
      </c>
      <c r="G97" s="7" t="s">
        <v>2421</v>
      </c>
      <c r="H97" s="7" t="s">
        <v>1928</v>
      </c>
      <c r="I97" s="6" t="s">
        <v>1929</v>
      </c>
      <c r="J97" s="7" t="s">
        <v>2422</v>
      </c>
      <c r="K97" s="7" t="s">
        <v>1642</v>
      </c>
      <c r="L97" s="7" t="s">
        <v>2390</v>
      </c>
      <c r="M97" s="7" t="s">
        <v>1611</v>
      </c>
      <c r="N97" s="7" t="s">
        <v>1911</v>
      </c>
      <c r="O97" s="7" t="s">
        <v>2423</v>
      </c>
    </row>
    <row r="98" ht="62" customHeight="1" spans="1:15">
      <c r="A98" s="6">
        <v>97</v>
      </c>
      <c r="B98" s="6">
        <v>14</v>
      </c>
      <c r="C98" s="6" t="s">
        <v>2418</v>
      </c>
      <c r="D98" s="6" t="s">
        <v>2424</v>
      </c>
      <c r="E98" s="6">
        <v>9</v>
      </c>
      <c r="F98" s="7" t="s">
        <v>1954</v>
      </c>
      <c r="G98" s="7" t="s">
        <v>2425</v>
      </c>
      <c r="H98" s="7" t="s">
        <v>2426</v>
      </c>
      <c r="I98" s="6" t="s">
        <v>1936</v>
      </c>
      <c r="J98" s="7" t="s">
        <v>2427</v>
      </c>
      <c r="K98" s="7" t="s">
        <v>2428</v>
      </c>
      <c r="L98" s="7" t="s">
        <v>1957</v>
      </c>
      <c r="M98" s="7" t="s">
        <v>1604</v>
      </c>
      <c r="N98" s="7" t="s">
        <v>1911</v>
      </c>
      <c r="O98" s="7" t="s">
        <v>2429</v>
      </c>
    </row>
    <row r="99" ht="62" customHeight="1" spans="1:15">
      <c r="A99" s="6">
        <v>98</v>
      </c>
      <c r="B99" s="6">
        <v>14</v>
      </c>
      <c r="C99" s="6" t="s">
        <v>2418</v>
      </c>
      <c r="D99" s="6" t="s">
        <v>2430</v>
      </c>
      <c r="E99" s="6">
        <v>9</v>
      </c>
      <c r="F99" s="7" t="s">
        <v>2431</v>
      </c>
      <c r="G99" s="7" t="s">
        <v>2432</v>
      </c>
      <c r="H99" s="7" t="s">
        <v>2426</v>
      </c>
      <c r="I99" s="6" t="s">
        <v>1929</v>
      </c>
      <c r="J99" s="7" t="s">
        <v>2433</v>
      </c>
      <c r="K99" s="7" t="s">
        <v>30</v>
      </c>
      <c r="L99" s="7" t="s">
        <v>2434</v>
      </c>
      <c r="M99" s="7" t="s">
        <v>1611</v>
      </c>
      <c r="N99" s="7" t="s">
        <v>1911</v>
      </c>
      <c r="O99" s="7" t="s">
        <v>2435</v>
      </c>
    </row>
    <row r="100" ht="62" customHeight="1" spans="1:15">
      <c r="A100" s="6">
        <v>99</v>
      </c>
      <c r="B100" s="6">
        <v>14</v>
      </c>
      <c r="C100" s="6" t="s">
        <v>2418</v>
      </c>
      <c r="D100" s="6" t="s">
        <v>2436</v>
      </c>
      <c r="E100" s="6">
        <v>9</v>
      </c>
      <c r="F100" s="7" t="s">
        <v>2437</v>
      </c>
      <c r="G100" s="7" t="s">
        <v>2438</v>
      </c>
      <c r="H100" s="7" t="s">
        <v>2426</v>
      </c>
      <c r="I100" s="6" t="s">
        <v>1936</v>
      </c>
      <c r="J100" s="7" t="s">
        <v>2439</v>
      </c>
      <c r="K100" s="7" t="s">
        <v>1660</v>
      </c>
      <c r="L100" s="7" t="s">
        <v>1440</v>
      </c>
      <c r="M100" s="7" t="s">
        <v>30</v>
      </c>
      <c r="N100" s="7" t="s">
        <v>1911</v>
      </c>
      <c r="O100" s="7" t="s">
        <v>2440</v>
      </c>
    </row>
    <row r="101" ht="62" customHeight="1" spans="1:15">
      <c r="A101" s="6">
        <v>100</v>
      </c>
      <c r="B101" s="6">
        <v>14</v>
      </c>
      <c r="C101" s="6" t="s">
        <v>2418</v>
      </c>
      <c r="D101" s="6" t="s">
        <v>2441</v>
      </c>
      <c r="E101" s="6">
        <v>11</v>
      </c>
      <c r="F101" s="7" t="s">
        <v>2442</v>
      </c>
      <c r="G101" s="7" t="s">
        <v>2443</v>
      </c>
      <c r="H101" s="7" t="s">
        <v>2426</v>
      </c>
      <c r="I101" s="6" t="s">
        <v>1909</v>
      </c>
      <c r="J101" s="7" t="s">
        <v>1515</v>
      </c>
      <c r="K101" s="7" t="s">
        <v>1750</v>
      </c>
      <c r="L101" s="7" t="s">
        <v>1440</v>
      </c>
      <c r="M101" s="7" t="s">
        <v>1594</v>
      </c>
      <c r="N101" s="7" t="s">
        <v>1911</v>
      </c>
      <c r="O101" s="7" t="s">
        <v>2444</v>
      </c>
    </row>
    <row r="102" ht="62" customHeight="1" spans="1:15">
      <c r="A102" s="6">
        <v>101</v>
      </c>
      <c r="B102" s="6">
        <v>14</v>
      </c>
      <c r="C102" s="6" t="s">
        <v>2418</v>
      </c>
      <c r="D102" s="6" t="s">
        <v>2445</v>
      </c>
      <c r="E102" s="6">
        <v>9</v>
      </c>
      <c r="F102" s="7" t="s">
        <v>2431</v>
      </c>
      <c r="G102" s="7" t="s">
        <v>2446</v>
      </c>
      <c r="H102" s="7" t="s">
        <v>2426</v>
      </c>
      <c r="I102" s="6" t="s">
        <v>1929</v>
      </c>
      <c r="J102" s="7" t="s">
        <v>2447</v>
      </c>
      <c r="K102" s="7" t="s">
        <v>1691</v>
      </c>
      <c r="L102" s="7" t="s">
        <v>2390</v>
      </c>
      <c r="M102" s="7" t="s">
        <v>1611</v>
      </c>
      <c r="N102" s="7" t="s">
        <v>1911</v>
      </c>
      <c r="O102" s="7" t="s">
        <v>2448</v>
      </c>
    </row>
    <row r="103" ht="62" customHeight="1" spans="1:15">
      <c r="A103" s="6">
        <v>102</v>
      </c>
      <c r="B103" s="6">
        <v>14</v>
      </c>
      <c r="C103" s="6" t="s">
        <v>2418</v>
      </c>
      <c r="D103" s="6" t="s">
        <v>2449</v>
      </c>
      <c r="E103" s="6">
        <v>12</v>
      </c>
      <c r="F103" s="7" t="s">
        <v>2450</v>
      </c>
      <c r="G103" s="7" t="s">
        <v>2451</v>
      </c>
      <c r="H103" s="7" t="s">
        <v>2426</v>
      </c>
      <c r="I103" s="6" t="s">
        <v>1936</v>
      </c>
      <c r="J103" s="7" t="s">
        <v>2005</v>
      </c>
      <c r="K103" s="7" t="s">
        <v>30</v>
      </c>
      <c r="L103" s="7" t="s">
        <v>1957</v>
      </c>
      <c r="M103" s="7" t="s">
        <v>30</v>
      </c>
      <c r="N103" s="7" t="s">
        <v>1911</v>
      </c>
      <c r="O103" s="7" t="s">
        <v>2452</v>
      </c>
    </row>
    <row r="104" ht="62" customHeight="1" spans="1:15">
      <c r="A104" s="6">
        <v>103</v>
      </c>
      <c r="B104" s="6">
        <v>14</v>
      </c>
      <c r="C104" s="6" t="s">
        <v>2418</v>
      </c>
      <c r="D104" s="6" t="s">
        <v>2453</v>
      </c>
      <c r="E104" s="6">
        <v>10</v>
      </c>
      <c r="F104" s="7" t="s">
        <v>2454</v>
      </c>
      <c r="G104" s="7" t="s">
        <v>2455</v>
      </c>
      <c r="H104" s="7" t="s">
        <v>2426</v>
      </c>
      <c r="I104" s="6" t="s">
        <v>1921</v>
      </c>
      <c r="J104" s="7" t="s">
        <v>1944</v>
      </c>
      <c r="K104" s="7" t="s">
        <v>30</v>
      </c>
      <c r="L104" s="7" t="s">
        <v>1945</v>
      </c>
      <c r="M104" s="7" t="s">
        <v>1594</v>
      </c>
      <c r="N104" s="7" t="s">
        <v>1911</v>
      </c>
      <c r="O104" s="7" t="s">
        <v>2456</v>
      </c>
    </row>
    <row r="105" ht="62" customHeight="1" spans="1:15">
      <c r="A105" s="6">
        <v>104</v>
      </c>
      <c r="B105" s="6">
        <v>14</v>
      </c>
      <c r="C105" s="6" t="s">
        <v>2418</v>
      </c>
      <c r="D105" s="6" t="s">
        <v>2457</v>
      </c>
      <c r="E105" s="6">
        <v>9</v>
      </c>
      <c r="F105" s="7" t="s">
        <v>2458</v>
      </c>
      <c r="G105" s="7" t="s">
        <v>2459</v>
      </c>
      <c r="H105" s="7" t="s">
        <v>2426</v>
      </c>
      <c r="I105" s="6" t="s">
        <v>1921</v>
      </c>
      <c r="J105" s="7" t="s">
        <v>2460</v>
      </c>
      <c r="K105" s="7" t="s">
        <v>1719</v>
      </c>
      <c r="L105" s="7" t="s">
        <v>2461</v>
      </c>
      <c r="M105" s="7" t="s">
        <v>1594</v>
      </c>
      <c r="N105" s="7" t="s">
        <v>1911</v>
      </c>
      <c r="O105" s="7" t="s">
        <v>2462</v>
      </c>
    </row>
    <row r="106" ht="62" customHeight="1" spans="1:15">
      <c r="A106" s="6">
        <v>105</v>
      </c>
      <c r="B106" s="6">
        <v>14</v>
      </c>
      <c r="C106" s="6" t="s">
        <v>2418</v>
      </c>
      <c r="D106" s="6" t="s">
        <v>2463</v>
      </c>
      <c r="E106" s="6">
        <v>9</v>
      </c>
      <c r="F106" s="7" t="s">
        <v>2464</v>
      </c>
      <c r="G106" s="7" t="s">
        <v>2465</v>
      </c>
      <c r="H106" s="7" t="s">
        <v>2426</v>
      </c>
      <c r="I106" s="6" t="s">
        <v>1921</v>
      </c>
      <c r="J106" s="7" t="s">
        <v>2466</v>
      </c>
      <c r="K106" s="7" t="s">
        <v>2077</v>
      </c>
      <c r="L106" s="7" t="s">
        <v>2467</v>
      </c>
      <c r="M106" s="7" t="s">
        <v>30</v>
      </c>
      <c r="N106" s="7" t="s">
        <v>1911</v>
      </c>
      <c r="O106" s="7" t="s">
        <v>2468</v>
      </c>
    </row>
    <row r="107" ht="62" customHeight="1" spans="1:15">
      <c r="A107" s="6">
        <v>106</v>
      </c>
      <c r="B107" s="6">
        <v>14</v>
      </c>
      <c r="C107" s="6" t="s">
        <v>2418</v>
      </c>
      <c r="D107" s="6" t="s">
        <v>2469</v>
      </c>
      <c r="E107" s="6">
        <v>9</v>
      </c>
      <c r="F107" s="7" t="s">
        <v>2470</v>
      </c>
      <c r="G107" s="7" t="s">
        <v>2471</v>
      </c>
      <c r="H107" s="7" t="s">
        <v>2426</v>
      </c>
      <c r="I107" s="6" t="s">
        <v>1936</v>
      </c>
      <c r="J107" s="7" t="s">
        <v>2472</v>
      </c>
      <c r="K107" s="7" t="s">
        <v>2473</v>
      </c>
      <c r="L107" s="7" t="s">
        <v>2474</v>
      </c>
      <c r="M107" s="7" t="s">
        <v>30</v>
      </c>
      <c r="N107" s="7" t="s">
        <v>1911</v>
      </c>
      <c r="O107" s="7" t="s">
        <v>2475</v>
      </c>
    </row>
    <row r="108" ht="62" customHeight="1" spans="1:15">
      <c r="A108" s="6">
        <v>107</v>
      </c>
      <c r="B108" s="6">
        <v>15</v>
      </c>
      <c r="C108" s="6" t="s">
        <v>2476</v>
      </c>
      <c r="D108" s="6" t="s">
        <v>2477</v>
      </c>
      <c r="E108" s="6">
        <v>9</v>
      </c>
      <c r="F108" s="7" t="s">
        <v>2478</v>
      </c>
      <c r="G108" s="7" t="s">
        <v>2479</v>
      </c>
      <c r="H108" s="7" t="s">
        <v>2426</v>
      </c>
      <c r="I108" s="6" t="s">
        <v>1921</v>
      </c>
      <c r="J108" s="7" t="s">
        <v>2480</v>
      </c>
      <c r="K108" s="7" t="s">
        <v>1719</v>
      </c>
      <c r="L108" s="7" t="s">
        <v>2481</v>
      </c>
      <c r="M108" s="7" t="s">
        <v>30</v>
      </c>
      <c r="N108" s="7" t="s">
        <v>1911</v>
      </c>
      <c r="O108" s="7" t="s">
        <v>2482</v>
      </c>
    </row>
    <row r="109" ht="62" customHeight="1" spans="1:15">
      <c r="A109" s="6">
        <v>108</v>
      </c>
      <c r="B109" s="6">
        <v>15</v>
      </c>
      <c r="C109" s="6" t="s">
        <v>2476</v>
      </c>
      <c r="D109" s="6" t="s">
        <v>2483</v>
      </c>
      <c r="E109" s="6">
        <v>8</v>
      </c>
      <c r="F109" s="7" t="s">
        <v>1954</v>
      </c>
      <c r="G109" s="7" t="s">
        <v>2484</v>
      </c>
      <c r="H109" s="7" t="s">
        <v>2426</v>
      </c>
      <c r="I109" s="6" t="s">
        <v>1936</v>
      </c>
      <c r="J109" s="7" t="s">
        <v>2368</v>
      </c>
      <c r="K109" s="7" t="s">
        <v>1988</v>
      </c>
      <c r="L109" s="7" t="s">
        <v>2029</v>
      </c>
      <c r="M109" s="7" t="s">
        <v>30</v>
      </c>
      <c r="N109" s="7" t="s">
        <v>1911</v>
      </c>
      <c r="O109" s="7" t="s">
        <v>2485</v>
      </c>
    </row>
    <row r="110" ht="62" customHeight="1" spans="1:15">
      <c r="A110" s="6">
        <v>109</v>
      </c>
      <c r="B110" s="6">
        <v>15</v>
      </c>
      <c r="C110" s="6" t="s">
        <v>2476</v>
      </c>
      <c r="D110" s="6" t="s">
        <v>2486</v>
      </c>
      <c r="E110" s="6">
        <v>9</v>
      </c>
      <c r="F110" s="7" t="s">
        <v>2487</v>
      </c>
      <c r="G110" s="7" t="s">
        <v>2488</v>
      </c>
      <c r="H110" s="7" t="s">
        <v>2426</v>
      </c>
      <c r="I110" s="6" t="s">
        <v>1921</v>
      </c>
      <c r="J110" s="7" t="s">
        <v>2489</v>
      </c>
      <c r="K110" s="7" t="s">
        <v>2490</v>
      </c>
      <c r="L110" s="7" t="s">
        <v>2481</v>
      </c>
      <c r="M110" s="7" t="s">
        <v>30</v>
      </c>
      <c r="N110" s="7" t="s">
        <v>1911</v>
      </c>
      <c r="O110" s="7" t="s">
        <v>2491</v>
      </c>
    </row>
    <row r="111" ht="62" customHeight="1" spans="1:15">
      <c r="A111" s="6">
        <v>110</v>
      </c>
      <c r="B111" s="6">
        <v>15</v>
      </c>
      <c r="C111" s="6" t="s">
        <v>2476</v>
      </c>
      <c r="D111" s="6" t="s">
        <v>2492</v>
      </c>
      <c r="E111" s="6">
        <v>8</v>
      </c>
      <c r="F111" s="7" t="s">
        <v>2493</v>
      </c>
      <c r="G111" s="7" t="s">
        <v>2494</v>
      </c>
      <c r="H111" s="7" t="s">
        <v>2495</v>
      </c>
      <c r="I111" s="6" t="s">
        <v>1909</v>
      </c>
      <c r="J111" s="7" t="s">
        <v>2496</v>
      </c>
      <c r="K111" s="7" t="s">
        <v>30</v>
      </c>
      <c r="L111" s="7" t="s">
        <v>2461</v>
      </c>
      <c r="M111" s="7" t="s">
        <v>2497</v>
      </c>
      <c r="N111" s="7" t="s">
        <v>1911</v>
      </c>
      <c r="O111" s="7" t="s">
        <v>2498</v>
      </c>
    </row>
    <row r="112" ht="62" customHeight="1" spans="1:15">
      <c r="A112" s="6">
        <v>111</v>
      </c>
      <c r="B112" s="6">
        <v>15</v>
      </c>
      <c r="C112" s="6" t="s">
        <v>2476</v>
      </c>
      <c r="D112" s="6" t="s">
        <v>2499</v>
      </c>
      <c r="E112" s="6">
        <v>7</v>
      </c>
      <c r="F112" s="7" t="s">
        <v>2500</v>
      </c>
      <c r="G112" s="7" t="s">
        <v>2501</v>
      </c>
      <c r="H112" s="7" t="s">
        <v>2495</v>
      </c>
      <c r="I112" s="6" t="s">
        <v>1921</v>
      </c>
      <c r="J112" s="7" t="s">
        <v>2496</v>
      </c>
      <c r="K112" s="7" t="s">
        <v>1719</v>
      </c>
      <c r="L112" s="7" t="s">
        <v>2411</v>
      </c>
      <c r="M112" s="7" t="s">
        <v>30</v>
      </c>
      <c r="N112" s="7" t="s">
        <v>1911</v>
      </c>
      <c r="O112" s="7" t="s">
        <v>2502</v>
      </c>
    </row>
    <row r="113" ht="62" customHeight="1" spans="1:15">
      <c r="A113" s="6">
        <v>112</v>
      </c>
      <c r="B113" s="6">
        <v>15</v>
      </c>
      <c r="C113" s="6" t="s">
        <v>2476</v>
      </c>
      <c r="D113" s="6" t="s">
        <v>2503</v>
      </c>
      <c r="E113" s="6">
        <v>8</v>
      </c>
      <c r="F113" s="7" t="s">
        <v>2504</v>
      </c>
      <c r="G113" s="7" t="s">
        <v>2505</v>
      </c>
      <c r="H113" s="7" t="s">
        <v>2495</v>
      </c>
      <c r="I113" s="6" t="s">
        <v>1921</v>
      </c>
      <c r="J113" s="7" t="s">
        <v>2506</v>
      </c>
      <c r="K113" s="7" t="s">
        <v>1736</v>
      </c>
      <c r="L113" s="7" t="s">
        <v>2461</v>
      </c>
      <c r="M113" s="7" t="s">
        <v>30</v>
      </c>
      <c r="N113" s="7" t="s">
        <v>1911</v>
      </c>
      <c r="O113" s="7" t="s">
        <v>2507</v>
      </c>
    </row>
    <row r="114" ht="62" customHeight="1" spans="1:15">
      <c r="A114" s="6">
        <v>113</v>
      </c>
      <c r="B114" s="6">
        <v>15</v>
      </c>
      <c r="C114" s="6" t="s">
        <v>2476</v>
      </c>
      <c r="D114" s="6" t="s">
        <v>2508</v>
      </c>
      <c r="E114" s="6">
        <v>14</v>
      </c>
      <c r="F114" s="7" t="s">
        <v>2509</v>
      </c>
      <c r="G114" s="7" t="s">
        <v>2510</v>
      </c>
      <c r="H114" s="7" t="s">
        <v>2495</v>
      </c>
      <c r="I114" s="6" t="s">
        <v>1921</v>
      </c>
      <c r="J114" s="7" t="s">
        <v>2511</v>
      </c>
      <c r="K114" s="7" t="s">
        <v>1741</v>
      </c>
      <c r="L114" s="7" t="s">
        <v>2461</v>
      </c>
      <c r="M114" s="7" t="s">
        <v>30</v>
      </c>
      <c r="N114" s="7" t="s">
        <v>1911</v>
      </c>
      <c r="O114" s="7" t="s">
        <v>2512</v>
      </c>
    </row>
    <row r="115" ht="62" customHeight="1" spans="1:15">
      <c r="A115" s="6">
        <v>114</v>
      </c>
      <c r="B115" s="6">
        <v>15</v>
      </c>
      <c r="C115" s="6" t="s">
        <v>2476</v>
      </c>
      <c r="D115" s="6" t="s">
        <v>2513</v>
      </c>
      <c r="E115" s="6">
        <v>9</v>
      </c>
      <c r="F115" s="7" t="s">
        <v>2514</v>
      </c>
      <c r="G115" s="7" t="s">
        <v>2515</v>
      </c>
      <c r="H115" s="7" t="s">
        <v>2495</v>
      </c>
      <c r="I115" s="6" t="s">
        <v>1921</v>
      </c>
      <c r="J115" s="7" t="s">
        <v>2516</v>
      </c>
      <c r="K115" s="7" t="s">
        <v>1763</v>
      </c>
      <c r="L115" s="7" t="s">
        <v>2461</v>
      </c>
      <c r="M115" s="7" t="s">
        <v>30</v>
      </c>
      <c r="N115" s="7" t="s">
        <v>1911</v>
      </c>
      <c r="O115" s="7" t="s">
        <v>2517</v>
      </c>
    </row>
    <row r="116" ht="62" customHeight="1" spans="1:15">
      <c r="A116" s="6">
        <v>115</v>
      </c>
      <c r="B116" s="6">
        <v>15</v>
      </c>
      <c r="C116" s="6" t="s">
        <v>2476</v>
      </c>
      <c r="D116" s="6" t="s">
        <v>2518</v>
      </c>
      <c r="E116" s="6">
        <v>11</v>
      </c>
      <c r="F116" s="7" t="s">
        <v>2519</v>
      </c>
      <c r="G116" s="7" t="s">
        <v>2520</v>
      </c>
      <c r="H116" s="7" t="s">
        <v>2495</v>
      </c>
      <c r="I116" s="6" t="s">
        <v>1921</v>
      </c>
      <c r="J116" s="7" t="s">
        <v>2521</v>
      </c>
      <c r="K116" s="7" t="s">
        <v>30</v>
      </c>
      <c r="L116" s="7" t="s">
        <v>1440</v>
      </c>
      <c r="M116" s="7" t="s">
        <v>30</v>
      </c>
      <c r="N116" s="7" t="s">
        <v>1911</v>
      </c>
      <c r="O116" s="7" t="s">
        <v>2522</v>
      </c>
    </row>
    <row r="117" ht="62" customHeight="1" spans="1:15">
      <c r="A117" s="6">
        <v>116</v>
      </c>
      <c r="B117" s="6">
        <v>15</v>
      </c>
      <c r="C117" s="6" t="s">
        <v>2476</v>
      </c>
      <c r="D117" s="6" t="s">
        <v>2523</v>
      </c>
      <c r="E117" s="6">
        <v>7</v>
      </c>
      <c r="F117" s="7" t="s">
        <v>2524</v>
      </c>
      <c r="G117" s="7" t="s">
        <v>2525</v>
      </c>
      <c r="H117" s="7" t="s">
        <v>2495</v>
      </c>
      <c r="I117" s="6" t="s">
        <v>1921</v>
      </c>
      <c r="J117" s="7" t="s">
        <v>2521</v>
      </c>
      <c r="K117" s="7" t="s">
        <v>1642</v>
      </c>
      <c r="L117" s="7" t="s">
        <v>1440</v>
      </c>
      <c r="M117" s="7" t="s">
        <v>30</v>
      </c>
      <c r="N117" s="7" t="s">
        <v>1911</v>
      </c>
      <c r="O117" s="7" t="s">
        <v>2526</v>
      </c>
    </row>
    <row r="118" ht="62" customHeight="1" spans="1:15">
      <c r="A118" s="6">
        <v>117</v>
      </c>
      <c r="B118" s="6">
        <v>15</v>
      </c>
      <c r="C118" s="6" t="s">
        <v>2476</v>
      </c>
      <c r="D118" s="6" t="s">
        <v>2527</v>
      </c>
      <c r="E118" s="6">
        <v>8</v>
      </c>
      <c r="F118" s="7" t="s">
        <v>2528</v>
      </c>
      <c r="G118" s="7" t="s">
        <v>2529</v>
      </c>
      <c r="H118" s="7" t="s">
        <v>2495</v>
      </c>
      <c r="I118" s="6" t="s">
        <v>1921</v>
      </c>
      <c r="J118" s="7" t="s">
        <v>2530</v>
      </c>
      <c r="K118" s="7" t="s">
        <v>2473</v>
      </c>
      <c r="L118" s="7" t="s">
        <v>1945</v>
      </c>
      <c r="M118" s="7" t="s">
        <v>1604</v>
      </c>
      <c r="N118" s="7" t="s">
        <v>1911</v>
      </c>
      <c r="O118" s="7" t="s">
        <v>2531</v>
      </c>
    </row>
    <row r="119" ht="62" customHeight="1" spans="1:15">
      <c r="A119" s="6">
        <v>118</v>
      </c>
      <c r="B119" s="6">
        <v>15</v>
      </c>
      <c r="C119" s="6" t="s">
        <v>2476</v>
      </c>
      <c r="D119" s="6" t="s">
        <v>2532</v>
      </c>
      <c r="E119" s="6">
        <v>10</v>
      </c>
      <c r="F119" s="7" t="s">
        <v>2533</v>
      </c>
      <c r="G119" s="7" t="s">
        <v>2534</v>
      </c>
      <c r="H119" s="7" t="s">
        <v>1908</v>
      </c>
      <c r="I119" s="6" t="s">
        <v>1921</v>
      </c>
      <c r="J119" s="7" t="s">
        <v>2535</v>
      </c>
      <c r="K119" s="7" t="s">
        <v>1676</v>
      </c>
      <c r="L119" s="7" t="s">
        <v>2182</v>
      </c>
      <c r="M119" s="7" t="s">
        <v>1621</v>
      </c>
      <c r="N119" s="7" t="s">
        <v>1911</v>
      </c>
      <c r="O119" s="7" t="s">
        <v>2536</v>
      </c>
    </row>
    <row r="120" ht="62" customHeight="1" spans="1:15">
      <c r="A120" s="8">
        <v>119</v>
      </c>
      <c r="B120" s="8">
        <v>15</v>
      </c>
      <c r="C120" s="8" t="s">
        <v>2476</v>
      </c>
      <c r="D120" s="8" t="s">
        <v>2537</v>
      </c>
      <c r="E120" s="8">
        <v>6</v>
      </c>
      <c r="F120" s="9" t="s">
        <v>2538</v>
      </c>
      <c r="G120" s="9" t="s">
        <v>2539</v>
      </c>
      <c r="H120" s="9" t="s">
        <v>1908</v>
      </c>
      <c r="I120" s="8" t="s">
        <v>1909</v>
      </c>
      <c r="J120" s="9" t="s">
        <v>1515</v>
      </c>
      <c r="K120" s="9" t="s">
        <v>30</v>
      </c>
      <c r="L120" s="9" t="s">
        <v>2083</v>
      </c>
      <c r="M120" s="9" t="s">
        <v>1910</v>
      </c>
      <c r="N120" s="9" t="s">
        <v>1911</v>
      </c>
      <c r="O120" s="9" t="s">
        <v>2540</v>
      </c>
    </row>
  </sheetData>
  <conditionalFormatting sqref="I2:I120">
    <cfRule type="containsText" dxfId="1" priority="1" operator="between" text="C｜">
      <formula>NOT(ISERROR(SEARCH("C｜",I2)))</formula>
    </cfRule>
    <cfRule type="containsText" dxfId="2" priority="2" operator="between" text="D｜">
      <formula>NOT(ISERROR(SEARCH("D｜",I2)))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showGridLines="0" workbookViewId="0">
      <selection activeCell="A1" sqref="A1"/>
    </sheetView>
  </sheetViews>
  <sheetFormatPr defaultColWidth="9" defaultRowHeight="14"/>
  <cols>
    <col min="1" max="1" width="10" customWidth="1"/>
    <col min="2" max="2" width="32" customWidth="1"/>
    <col min="3" max="3" width="14" customWidth="1"/>
    <col min="4" max="4" width="10" customWidth="1"/>
    <col min="5" max="5" width="12" customWidth="1"/>
    <col min="6" max="6" width="72" customWidth="1"/>
    <col min="7" max="9" width="54" customWidth="1"/>
    <col min="10" max="10" width="30" customWidth="1"/>
  </cols>
  <sheetData>
    <row r="1" ht="34" customHeight="1" spans="1:10">
      <c r="A1" s="1" t="s">
        <v>2541</v>
      </c>
      <c r="B1" s="2" t="s">
        <v>1891</v>
      </c>
      <c r="C1" s="2" t="s">
        <v>2542</v>
      </c>
      <c r="D1" s="2" t="s">
        <v>2543</v>
      </c>
      <c r="E1" s="2" t="s">
        <v>2544</v>
      </c>
      <c r="F1" s="2" t="s">
        <v>1898</v>
      </c>
      <c r="G1" s="2" t="s">
        <v>1899</v>
      </c>
      <c r="H1" s="2" t="s">
        <v>1900</v>
      </c>
      <c r="I1" s="2" t="s">
        <v>1901</v>
      </c>
      <c r="J1" s="3" t="s">
        <v>2545</v>
      </c>
    </row>
    <row r="2" ht="64" customHeight="1" spans="1:10">
      <c r="A2" s="4">
        <v>1</v>
      </c>
      <c r="B2" s="4" t="s">
        <v>1904</v>
      </c>
      <c r="C2" s="4" t="s">
        <v>2546</v>
      </c>
      <c r="D2" s="4">
        <v>7</v>
      </c>
      <c r="E2" s="4">
        <v>62</v>
      </c>
      <c r="F2" s="5" t="s">
        <v>2547</v>
      </c>
      <c r="G2" s="5" t="s">
        <v>2548</v>
      </c>
      <c r="H2" s="5" t="s">
        <v>2549</v>
      </c>
      <c r="I2" s="5" t="s">
        <v>2550</v>
      </c>
      <c r="J2" s="5" t="s">
        <v>2551</v>
      </c>
    </row>
    <row r="3" ht="64" customHeight="1" spans="1:10">
      <c r="A3" s="6">
        <v>2</v>
      </c>
      <c r="B3" s="6" t="s">
        <v>1952</v>
      </c>
      <c r="C3" s="6" t="s">
        <v>2552</v>
      </c>
      <c r="D3" s="6">
        <v>8</v>
      </c>
      <c r="E3" s="6">
        <v>60</v>
      </c>
      <c r="F3" s="7" t="s">
        <v>2553</v>
      </c>
      <c r="G3" s="7" t="s">
        <v>2554</v>
      </c>
      <c r="H3" s="7" t="s">
        <v>2347</v>
      </c>
      <c r="I3" s="7" t="s">
        <v>1611</v>
      </c>
      <c r="J3" s="7" t="s">
        <v>2551</v>
      </c>
    </row>
    <row r="4" ht="64" customHeight="1" spans="1:10">
      <c r="A4" s="6">
        <v>3</v>
      </c>
      <c r="B4" s="6" t="s">
        <v>1996</v>
      </c>
      <c r="C4" s="6" t="s">
        <v>2555</v>
      </c>
      <c r="D4" s="6">
        <v>7</v>
      </c>
      <c r="E4" s="6">
        <v>58</v>
      </c>
      <c r="F4" s="7" t="s">
        <v>2556</v>
      </c>
      <c r="G4" s="7" t="s">
        <v>2557</v>
      </c>
      <c r="H4" s="7" t="s">
        <v>2558</v>
      </c>
      <c r="I4" s="7" t="s">
        <v>1621</v>
      </c>
      <c r="J4" s="7" t="s">
        <v>2551</v>
      </c>
    </row>
    <row r="5" ht="64" customHeight="1" spans="1:10">
      <c r="A5" s="6">
        <v>4</v>
      </c>
      <c r="B5" s="6" t="s">
        <v>2036</v>
      </c>
      <c r="C5" s="6" t="s">
        <v>2559</v>
      </c>
      <c r="D5" s="6">
        <v>1</v>
      </c>
      <c r="E5" s="6">
        <v>12</v>
      </c>
      <c r="F5" s="7" t="s">
        <v>2040</v>
      </c>
      <c r="G5" s="7" t="s">
        <v>30</v>
      </c>
      <c r="H5" s="7" t="s">
        <v>2041</v>
      </c>
      <c r="I5" s="7" t="s">
        <v>2042</v>
      </c>
      <c r="J5" s="7" t="s">
        <v>2551</v>
      </c>
    </row>
    <row r="6" ht="64" customHeight="1" spans="1:10">
      <c r="A6" s="6">
        <v>5</v>
      </c>
      <c r="B6" s="6" t="s">
        <v>2044</v>
      </c>
      <c r="C6" s="6" t="s">
        <v>2560</v>
      </c>
      <c r="D6" s="6">
        <v>8</v>
      </c>
      <c r="E6" s="6">
        <v>62</v>
      </c>
      <c r="F6" s="7" t="s">
        <v>2561</v>
      </c>
      <c r="G6" s="7" t="s">
        <v>2562</v>
      </c>
      <c r="H6" s="7" t="s">
        <v>2563</v>
      </c>
      <c r="I6" s="7" t="s">
        <v>2564</v>
      </c>
      <c r="J6" s="7" t="s">
        <v>2551</v>
      </c>
    </row>
    <row r="7" ht="64" customHeight="1" spans="1:10">
      <c r="A7" s="6">
        <v>6</v>
      </c>
      <c r="B7" s="6" t="s">
        <v>2085</v>
      </c>
      <c r="C7" s="6" t="s">
        <v>2565</v>
      </c>
      <c r="D7" s="6">
        <v>11</v>
      </c>
      <c r="E7" s="6">
        <v>90</v>
      </c>
      <c r="F7" s="7" t="s">
        <v>2566</v>
      </c>
      <c r="G7" s="7" t="s">
        <v>2567</v>
      </c>
      <c r="H7" s="7" t="s">
        <v>2568</v>
      </c>
      <c r="I7" s="7" t="s">
        <v>2564</v>
      </c>
      <c r="J7" s="7" t="s">
        <v>2551</v>
      </c>
    </row>
    <row r="8" ht="64" customHeight="1" spans="1:10">
      <c r="A8" s="6">
        <v>7</v>
      </c>
      <c r="B8" s="6" t="s">
        <v>2143</v>
      </c>
      <c r="C8" s="6" t="s">
        <v>2569</v>
      </c>
      <c r="D8" s="6">
        <v>8</v>
      </c>
      <c r="E8" s="6">
        <v>65</v>
      </c>
      <c r="F8" s="7" t="s">
        <v>2570</v>
      </c>
      <c r="G8" s="7" t="s">
        <v>2571</v>
      </c>
      <c r="H8" s="7" t="s">
        <v>2568</v>
      </c>
      <c r="I8" s="7" t="s">
        <v>2572</v>
      </c>
      <c r="J8" s="7" t="s">
        <v>2551</v>
      </c>
    </row>
    <row r="9" ht="64" customHeight="1" spans="1:10">
      <c r="A9" s="6">
        <v>8</v>
      </c>
      <c r="B9" s="6" t="s">
        <v>2178</v>
      </c>
      <c r="C9" s="6" t="s">
        <v>2573</v>
      </c>
      <c r="D9" s="6">
        <v>10</v>
      </c>
      <c r="E9" s="6">
        <v>82</v>
      </c>
      <c r="F9" s="7" t="s">
        <v>2574</v>
      </c>
      <c r="G9" s="7" t="s">
        <v>2562</v>
      </c>
      <c r="H9" s="7" t="s">
        <v>2575</v>
      </c>
      <c r="I9" s="7" t="s">
        <v>2183</v>
      </c>
      <c r="J9" s="7" t="s">
        <v>2551</v>
      </c>
    </row>
    <row r="10" ht="64" customHeight="1" spans="1:10">
      <c r="A10" s="6">
        <v>9</v>
      </c>
      <c r="B10" s="6" t="s">
        <v>2232</v>
      </c>
      <c r="C10" s="6" t="s">
        <v>2576</v>
      </c>
      <c r="D10" s="6">
        <v>8</v>
      </c>
      <c r="E10" s="6">
        <v>65</v>
      </c>
      <c r="F10" s="7" t="s">
        <v>2577</v>
      </c>
      <c r="G10" s="7" t="s">
        <v>2578</v>
      </c>
      <c r="H10" s="7" t="s">
        <v>2579</v>
      </c>
      <c r="I10" s="7" t="s">
        <v>1621</v>
      </c>
      <c r="J10" s="7" t="s">
        <v>2551</v>
      </c>
    </row>
    <row r="11" ht="64" customHeight="1" spans="1:10">
      <c r="A11" s="6">
        <v>10</v>
      </c>
      <c r="B11" s="6" t="s">
        <v>2276</v>
      </c>
      <c r="C11" s="6" t="s">
        <v>2580</v>
      </c>
      <c r="D11" s="6">
        <v>8</v>
      </c>
      <c r="E11" s="6">
        <v>70</v>
      </c>
      <c r="F11" s="7" t="s">
        <v>2581</v>
      </c>
      <c r="G11" s="7" t="s">
        <v>2582</v>
      </c>
      <c r="H11" s="7" t="s">
        <v>2248</v>
      </c>
      <c r="I11" s="7" t="s">
        <v>2583</v>
      </c>
      <c r="J11" s="7" t="s">
        <v>2551</v>
      </c>
    </row>
    <row r="12" ht="64" customHeight="1" spans="1:10">
      <c r="A12" s="6">
        <v>11</v>
      </c>
      <c r="B12" s="6" t="s">
        <v>2318</v>
      </c>
      <c r="C12" s="6" t="s">
        <v>2584</v>
      </c>
      <c r="D12" s="6">
        <v>10</v>
      </c>
      <c r="E12" s="6">
        <v>85</v>
      </c>
      <c r="F12" s="7" t="s">
        <v>2585</v>
      </c>
      <c r="G12" s="7" t="s">
        <v>2586</v>
      </c>
      <c r="H12" s="7" t="s">
        <v>2587</v>
      </c>
      <c r="I12" s="7" t="s">
        <v>2588</v>
      </c>
      <c r="J12" s="7" t="s">
        <v>2551</v>
      </c>
    </row>
    <row r="13" ht="64" customHeight="1" spans="1:10">
      <c r="A13" s="6">
        <v>12</v>
      </c>
      <c r="B13" s="6" t="s">
        <v>2370</v>
      </c>
      <c r="C13" s="6" t="s">
        <v>2589</v>
      </c>
      <c r="D13" s="6">
        <v>3</v>
      </c>
      <c r="E13" s="6">
        <v>30</v>
      </c>
      <c r="F13" s="7" t="s">
        <v>2590</v>
      </c>
      <c r="G13" s="7" t="s">
        <v>2591</v>
      </c>
      <c r="H13" s="7" t="s">
        <v>2379</v>
      </c>
      <c r="I13" s="7" t="s">
        <v>2592</v>
      </c>
      <c r="J13" s="7" t="s">
        <v>2551</v>
      </c>
    </row>
    <row r="14" ht="64" customHeight="1" spans="1:10">
      <c r="A14" s="6">
        <v>13</v>
      </c>
      <c r="B14" s="6" t="s">
        <v>2385</v>
      </c>
      <c r="C14" s="6" t="s">
        <v>2593</v>
      </c>
      <c r="D14" s="6">
        <v>6</v>
      </c>
      <c r="E14" s="6">
        <v>60</v>
      </c>
      <c r="F14" s="7" t="s">
        <v>2594</v>
      </c>
      <c r="G14" s="7" t="s">
        <v>2595</v>
      </c>
      <c r="H14" s="7" t="s">
        <v>2596</v>
      </c>
      <c r="I14" s="7" t="s">
        <v>2597</v>
      </c>
      <c r="J14" s="7" t="s">
        <v>2551</v>
      </c>
    </row>
    <row r="15" ht="64" customHeight="1" spans="1:10">
      <c r="A15" s="6">
        <v>14</v>
      </c>
      <c r="B15" s="6" t="s">
        <v>2418</v>
      </c>
      <c r="C15" s="6" t="s">
        <v>2598</v>
      </c>
      <c r="D15" s="6">
        <v>11</v>
      </c>
      <c r="E15" s="6">
        <v>105</v>
      </c>
      <c r="F15" s="7" t="s">
        <v>2599</v>
      </c>
      <c r="G15" s="7" t="s">
        <v>2600</v>
      </c>
      <c r="H15" s="7" t="s">
        <v>2601</v>
      </c>
      <c r="I15" s="7" t="s">
        <v>2602</v>
      </c>
      <c r="J15" s="7" t="s">
        <v>2551</v>
      </c>
    </row>
    <row r="16" ht="64" customHeight="1" spans="1:10">
      <c r="A16" s="8">
        <v>15</v>
      </c>
      <c r="B16" s="8" t="s">
        <v>2476</v>
      </c>
      <c r="C16" s="8" t="s">
        <v>2603</v>
      </c>
      <c r="D16" s="8">
        <v>13</v>
      </c>
      <c r="E16" s="8">
        <v>114</v>
      </c>
      <c r="F16" s="9" t="s">
        <v>2604</v>
      </c>
      <c r="G16" s="9" t="s">
        <v>2605</v>
      </c>
      <c r="H16" s="9" t="s">
        <v>2606</v>
      </c>
      <c r="I16" s="9" t="s">
        <v>2607</v>
      </c>
      <c r="J16" s="9" t="s">
        <v>2551</v>
      </c>
    </row>
  </sheetData>
  <pageMargins left="0.7" right="0.7" top="0.75" bottom="0.75" header="0.3" footer="0.3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showGridLines="0" workbookViewId="0">
      <selection activeCell="A1" sqref="A1"/>
    </sheetView>
  </sheetViews>
  <sheetFormatPr defaultColWidth="9" defaultRowHeight="14" outlineLevelCol="4"/>
  <cols>
    <col min="1" max="1" width="42" customWidth="1"/>
    <col min="2" max="2" width="18" customWidth="1"/>
    <col min="3" max="3" width="44" customWidth="1"/>
    <col min="4" max="4" width="62" customWidth="1"/>
    <col min="5" max="5" width="32" customWidth="1"/>
  </cols>
  <sheetData>
    <row r="1" ht="34" customHeight="1" spans="1:5">
      <c r="A1" s="1" t="s">
        <v>2608</v>
      </c>
      <c r="B1" s="2" t="s">
        <v>2609</v>
      </c>
      <c r="C1" s="2" t="s">
        <v>2610</v>
      </c>
      <c r="D1" s="2" t="s">
        <v>2611</v>
      </c>
      <c r="E1" s="3" t="s">
        <v>2612</v>
      </c>
    </row>
    <row r="2" ht="48" customHeight="1" spans="1:5">
      <c r="A2" s="5" t="s">
        <v>164</v>
      </c>
      <c r="B2" s="5" t="s">
        <v>16</v>
      </c>
      <c r="C2" s="5" t="s">
        <v>30</v>
      </c>
      <c r="D2" s="5" t="s">
        <v>175</v>
      </c>
      <c r="E2" s="5" t="s">
        <v>2613</v>
      </c>
    </row>
    <row r="3" ht="48" customHeight="1" spans="1:5">
      <c r="A3" s="7" t="s">
        <v>203</v>
      </c>
      <c r="B3" s="7" t="s">
        <v>16</v>
      </c>
      <c r="C3" s="7" t="s">
        <v>30</v>
      </c>
      <c r="D3" s="7" t="s">
        <v>175</v>
      </c>
      <c r="E3" s="7" t="s">
        <v>2613</v>
      </c>
    </row>
    <row r="4" ht="48" customHeight="1" spans="1:5">
      <c r="A4" s="7" t="s">
        <v>177</v>
      </c>
      <c r="B4" s="7" t="s">
        <v>16</v>
      </c>
      <c r="C4" s="7" t="s">
        <v>30</v>
      </c>
      <c r="D4" s="7" t="s">
        <v>186</v>
      </c>
      <c r="E4" s="7" t="s">
        <v>2613</v>
      </c>
    </row>
    <row r="5" ht="48" customHeight="1" spans="1:5">
      <c r="A5" s="7" t="s">
        <v>211</v>
      </c>
      <c r="B5" s="7" t="s">
        <v>16</v>
      </c>
      <c r="C5" s="7" t="s">
        <v>30</v>
      </c>
      <c r="D5" s="7" t="s">
        <v>186</v>
      </c>
      <c r="E5" s="7" t="s">
        <v>2613</v>
      </c>
    </row>
    <row r="6" ht="48" customHeight="1" spans="1:5">
      <c r="A6" s="7" t="s">
        <v>1668</v>
      </c>
      <c r="B6" s="7" t="s">
        <v>16</v>
      </c>
      <c r="C6" s="7" t="s">
        <v>30</v>
      </c>
      <c r="D6" s="7" t="s">
        <v>186</v>
      </c>
      <c r="E6" s="7" t="s">
        <v>2613</v>
      </c>
    </row>
    <row r="7" ht="48" customHeight="1" spans="1:5">
      <c r="A7" s="7" t="s">
        <v>1684</v>
      </c>
      <c r="B7" s="7" t="s">
        <v>16</v>
      </c>
      <c r="C7" s="7" t="s">
        <v>30</v>
      </c>
      <c r="D7" s="7" t="s">
        <v>186</v>
      </c>
      <c r="E7" s="7" t="s">
        <v>2613</v>
      </c>
    </row>
    <row r="8" ht="48" customHeight="1" spans="1:5">
      <c r="A8" s="7" t="s">
        <v>688</v>
      </c>
      <c r="B8" s="7" t="s">
        <v>16</v>
      </c>
      <c r="C8" s="7" t="s">
        <v>30</v>
      </c>
      <c r="D8" s="7" t="s">
        <v>695</v>
      </c>
      <c r="E8" s="7" t="s">
        <v>2613</v>
      </c>
    </row>
    <row r="9" ht="48" customHeight="1" spans="1:5">
      <c r="A9" s="7" t="s">
        <v>697</v>
      </c>
      <c r="B9" s="7" t="s">
        <v>16</v>
      </c>
      <c r="C9" s="7" t="s">
        <v>30</v>
      </c>
      <c r="D9" s="7" t="s">
        <v>705</v>
      </c>
      <c r="E9" s="7" t="s">
        <v>2613</v>
      </c>
    </row>
    <row r="10" ht="48" customHeight="1" spans="1:5">
      <c r="A10" s="7" t="s">
        <v>707</v>
      </c>
      <c r="B10" s="7" t="s">
        <v>16</v>
      </c>
      <c r="C10" s="7" t="s">
        <v>30</v>
      </c>
      <c r="D10" s="7" t="s">
        <v>715</v>
      </c>
      <c r="E10" s="7" t="s">
        <v>2613</v>
      </c>
    </row>
    <row r="11" ht="48" customHeight="1" spans="1:5">
      <c r="A11" s="7" t="s">
        <v>1105</v>
      </c>
      <c r="B11" s="7" t="s">
        <v>16</v>
      </c>
      <c r="C11" s="7" t="s">
        <v>30</v>
      </c>
      <c r="D11" s="7" t="s">
        <v>1113</v>
      </c>
      <c r="E11" s="7" t="s">
        <v>2613</v>
      </c>
    </row>
    <row r="12" ht="48" customHeight="1" spans="1:5">
      <c r="A12" s="7" t="s">
        <v>1114</v>
      </c>
      <c r="B12" s="7" t="s">
        <v>16</v>
      </c>
      <c r="C12" s="7" t="s">
        <v>30</v>
      </c>
      <c r="D12" s="7" t="s">
        <v>1122</v>
      </c>
      <c r="E12" s="7" t="s">
        <v>2613</v>
      </c>
    </row>
    <row r="13" ht="48" customHeight="1" spans="1:5">
      <c r="A13" s="7" t="s">
        <v>1148</v>
      </c>
      <c r="B13" s="7" t="s">
        <v>16</v>
      </c>
      <c r="C13" s="7" t="s">
        <v>30</v>
      </c>
      <c r="D13" s="7" t="s">
        <v>1158</v>
      </c>
      <c r="E13" s="7" t="s">
        <v>2613</v>
      </c>
    </row>
    <row r="14" ht="48" customHeight="1" spans="1:5">
      <c r="A14" s="7" t="s">
        <v>718</v>
      </c>
      <c r="B14" s="7" t="s">
        <v>16</v>
      </c>
      <c r="C14" s="7" t="s">
        <v>30</v>
      </c>
      <c r="D14" s="7" t="s">
        <v>728</v>
      </c>
      <c r="E14" s="7" t="s">
        <v>2613</v>
      </c>
    </row>
    <row r="15" ht="48" customHeight="1" spans="1:5">
      <c r="A15" s="7" t="s">
        <v>730</v>
      </c>
      <c r="B15" s="7" t="s">
        <v>16</v>
      </c>
      <c r="C15" s="7" t="s">
        <v>30</v>
      </c>
      <c r="D15" s="7" t="s">
        <v>728</v>
      </c>
      <c r="E15" s="7" t="s">
        <v>2613</v>
      </c>
    </row>
    <row r="16" ht="48" customHeight="1" spans="1:5">
      <c r="A16" s="7" t="s">
        <v>1226</v>
      </c>
      <c r="B16" s="7" t="s">
        <v>16</v>
      </c>
      <c r="C16" s="7" t="s">
        <v>30</v>
      </c>
      <c r="D16" s="7" t="s">
        <v>728</v>
      </c>
      <c r="E16" s="7" t="s">
        <v>2613</v>
      </c>
    </row>
    <row r="17" ht="48" customHeight="1" spans="1:5">
      <c r="A17" s="7" t="s">
        <v>1822</v>
      </c>
      <c r="B17" s="7" t="s">
        <v>16</v>
      </c>
      <c r="C17" s="7" t="s">
        <v>30</v>
      </c>
      <c r="D17" s="7" t="s">
        <v>1831</v>
      </c>
      <c r="E17" s="7" t="s">
        <v>2613</v>
      </c>
    </row>
    <row r="18" ht="48" customHeight="1" spans="1:5">
      <c r="A18" s="7" t="s">
        <v>1571</v>
      </c>
      <c r="B18" s="7" t="s">
        <v>16</v>
      </c>
      <c r="C18" s="7" t="s">
        <v>30</v>
      </c>
      <c r="D18" s="7" t="s">
        <v>1576</v>
      </c>
      <c r="E18" s="7" t="s">
        <v>2613</v>
      </c>
    </row>
    <row r="19" ht="48" customHeight="1" spans="1:5">
      <c r="A19" s="7" t="s">
        <v>1384</v>
      </c>
      <c r="B19" s="7" t="s">
        <v>16</v>
      </c>
      <c r="C19" s="7" t="s">
        <v>30</v>
      </c>
      <c r="D19" s="7" t="s">
        <v>1391</v>
      </c>
      <c r="E19" s="7" t="s">
        <v>2613</v>
      </c>
    </row>
    <row r="20" ht="48" customHeight="1" spans="1:5">
      <c r="A20" s="7" t="s">
        <v>707</v>
      </c>
      <c r="B20" s="7" t="s">
        <v>2614</v>
      </c>
      <c r="C20" s="7" t="s">
        <v>432</v>
      </c>
      <c r="D20" s="7" t="s">
        <v>2615</v>
      </c>
      <c r="E20" s="7" t="s">
        <v>2613</v>
      </c>
    </row>
    <row r="21" ht="48" customHeight="1" spans="1:5">
      <c r="A21" s="7" t="s">
        <v>1148</v>
      </c>
      <c r="B21" s="7" t="s">
        <v>2616</v>
      </c>
      <c r="C21" s="7" t="s">
        <v>1177</v>
      </c>
      <c r="D21" s="7" t="s">
        <v>2617</v>
      </c>
      <c r="E21" s="7" t="s">
        <v>2613</v>
      </c>
    </row>
    <row r="22" ht="48" customHeight="1" spans="1:5">
      <c r="A22" s="7" t="s">
        <v>1384</v>
      </c>
      <c r="B22" s="7" t="s">
        <v>2618</v>
      </c>
      <c r="C22" s="7" t="s">
        <v>1449</v>
      </c>
      <c r="D22" s="7" t="s">
        <v>2619</v>
      </c>
      <c r="E22" s="7" t="s">
        <v>2613</v>
      </c>
    </row>
    <row r="23" ht="48" customHeight="1" spans="1:5">
      <c r="A23" s="7" t="s">
        <v>314</v>
      </c>
      <c r="B23" s="7" t="s">
        <v>2620</v>
      </c>
      <c r="C23" s="7" t="s">
        <v>314</v>
      </c>
      <c r="D23" s="7" t="s">
        <v>2621</v>
      </c>
      <c r="E23" s="7" t="s">
        <v>2622</v>
      </c>
    </row>
    <row r="24" ht="48" customHeight="1" spans="1:5">
      <c r="A24" s="7" t="s">
        <v>348</v>
      </c>
      <c r="B24" s="7" t="s">
        <v>2620</v>
      </c>
      <c r="C24" s="7" t="s">
        <v>348</v>
      </c>
      <c r="D24" s="7" t="s">
        <v>2623</v>
      </c>
      <c r="E24" s="7" t="s">
        <v>2624</v>
      </c>
    </row>
    <row r="25" ht="48" customHeight="1" spans="1:5">
      <c r="A25" s="7" t="s">
        <v>637</v>
      </c>
      <c r="B25" s="7" t="s">
        <v>2625</v>
      </c>
      <c r="C25" s="7" t="s">
        <v>637</v>
      </c>
      <c r="D25" s="7" t="s">
        <v>2626</v>
      </c>
      <c r="E25" s="7" t="s">
        <v>2627</v>
      </c>
    </row>
    <row r="26" ht="48" customHeight="1" spans="1:5">
      <c r="A26" s="7" t="s">
        <v>1206</v>
      </c>
      <c r="B26" s="7" t="s">
        <v>2628</v>
      </c>
      <c r="C26" s="7" t="s">
        <v>1206</v>
      </c>
      <c r="D26" s="7" t="s">
        <v>2629</v>
      </c>
      <c r="E26" s="7" t="s">
        <v>2630</v>
      </c>
    </row>
    <row r="27" ht="48" customHeight="1" spans="1:5">
      <c r="A27" s="7" t="s">
        <v>880</v>
      </c>
      <c r="B27" s="7" t="s">
        <v>2631</v>
      </c>
      <c r="C27" s="7" t="s">
        <v>880</v>
      </c>
      <c r="D27" s="7" t="s">
        <v>2632</v>
      </c>
      <c r="E27" s="7" t="s">
        <v>2633</v>
      </c>
    </row>
    <row r="28" ht="48" customHeight="1" spans="1:5">
      <c r="A28" s="7" t="s">
        <v>1449</v>
      </c>
      <c r="B28" s="7" t="s">
        <v>2620</v>
      </c>
      <c r="C28" s="7" t="s">
        <v>1449</v>
      </c>
      <c r="D28" s="7" t="s">
        <v>2634</v>
      </c>
      <c r="E28" s="7" t="s">
        <v>2635</v>
      </c>
    </row>
    <row r="29" ht="48" customHeight="1" spans="1:5">
      <c r="A29" s="7" t="s">
        <v>30</v>
      </c>
      <c r="B29" s="7" t="s">
        <v>2636</v>
      </c>
      <c r="C29" s="7" t="s">
        <v>217</v>
      </c>
      <c r="D29" s="7" t="s">
        <v>220</v>
      </c>
      <c r="E29" s="7" t="s">
        <v>218</v>
      </c>
    </row>
    <row r="30" ht="48" customHeight="1" spans="1:5">
      <c r="A30" s="7" t="s">
        <v>30</v>
      </c>
      <c r="B30" s="7" t="s">
        <v>2636</v>
      </c>
      <c r="C30" s="7" t="s">
        <v>241</v>
      </c>
      <c r="D30" s="7" t="s">
        <v>244</v>
      </c>
      <c r="E30" s="7" t="s">
        <v>242</v>
      </c>
    </row>
    <row r="31" ht="48" customHeight="1" spans="1:5">
      <c r="A31" s="7" t="s">
        <v>30</v>
      </c>
      <c r="B31" s="7" t="s">
        <v>2636</v>
      </c>
      <c r="C31" s="7" t="s">
        <v>259</v>
      </c>
      <c r="D31" s="7" t="s">
        <v>262</v>
      </c>
      <c r="E31" s="7" t="s">
        <v>260</v>
      </c>
    </row>
    <row r="32" ht="48" customHeight="1" spans="1:5">
      <c r="A32" s="7" t="s">
        <v>30</v>
      </c>
      <c r="B32" s="7" t="s">
        <v>2636</v>
      </c>
      <c r="C32" s="7" t="s">
        <v>231</v>
      </c>
      <c r="D32" s="7" t="s">
        <v>234</v>
      </c>
      <c r="E32" s="7" t="s">
        <v>232</v>
      </c>
    </row>
    <row r="33" ht="48" customHeight="1" spans="1:5">
      <c r="A33" s="7" t="s">
        <v>30</v>
      </c>
      <c r="B33" s="7" t="s">
        <v>2636</v>
      </c>
      <c r="C33" s="7" t="s">
        <v>250</v>
      </c>
      <c r="D33" s="7" t="s">
        <v>253</v>
      </c>
      <c r="E33" s="7" t="s">
        <v>251</v>
      </c>
    </row>
    <row r="34" ht="48" customHeight="1" spans="1:5">
      <c r="A34" s="7" t="s">
        <v>30</v>
      </c>
      <c r="B34" s="7" t="s">
        <v>2636</v>
      </c>
      <c r="C34" s="7" t="s">
        <v>268</v>
      </c>
      <c r="D34" s="7" t="s">
        <v>271</v>
      </c>
      <c r="E34" s="7" t="s">
        <v>269</v>
      </c>
    </row>
    <row r="35" ht="48" customHeight="1" spans="1:5">
      <c r="A35" s="7" t="s">
        <v>30</v>
      </c>
      <c r="B35" s="7" t="s">
        <v>2636</v>
      </c>
      <c r="C35" s="7" t="s">
        <v>1741</v>
      </c>
      <c r="D35" s="7" t="s">
        <v>1742</v>
      </c>
      <c r="E35" s="7" t="s">
        <v>218</v>
      </c>
    </row>
    <row r="36" ht="48" customHeight="1" spans="1:5">
      <c r="A36" s="7" t="s">
        <v>30</v>
      </c>
      <c r="B36" s="7" t="s">
        <v>2636</v>
      </c>
      <c r="C36" s="7" t="s">
        <v>1750</v>
      </c>
      <c r="D36" s="7" t="s">
        <v>1751</v>
      </c>
      <c r="E36" s="7" t="s">
        <v>242</v>
      </c>
    </row>
    <row r="37" ht="48" customHeight="1" spans="1:5">
      <c r="A37" s="7" t="s">
        <v>30</v>
      </c>
      <c r="B37" s="7" t="s">
        <v>2636</v>
      </c>
      <c r="C37" s="7" t="s">
        <v>1757</v>
      </c>
      <c r="D37" s="7" t="s">
        <v>1758</v>
      </c>
      <c r="E37" s="7" t="s">
        <v>260</v>
      </c>
    </row>
    <row r="38" ht="48" customHeight="1" spans="1:5">
      <c r="A38" s="7" t="s">
        <v>30</v>
      </c>
      <c r="B38" s="7" t="s">
        <v>2636</v>
      </c>
      <c r="C38" s="7" t="s">
        <v>1763</v>
      </c>
      <c r="D38" s="7" t="s">
        <v>1765</v>
      </c>
      <c r="E38" s="7" t="s">
        <v>1764</v>
      </c>
    </row>
    <row r="39" ht="48" customHeight="1" spans="1:5">
      <c r="A39" s="7" t="s">
        <v>30</v>
      </c>
      <c r="B39" s="7" t="s">
        <v>2636</v>
      </c>
      <c r="C39" s="7" t="s">
        <v>661</v>
      </c>
      <c r="D39" s="7" t="s">
        <v>663</v>
      </c>
      <c r="E39" s="7" t="s">
        <v>662</v>
      </c>
    </row>
    <row r="40" ht="48" customHeight="1" spans="1:5">
      <c r="A40" s="7" t="s">
        <v>30</v>
      </c>
      <c r="B40" s="7" t="s">
        <v>2636</v>
      </c>
      <c r="C40" s="7" t="s">
        <v>1214</v>
      </c>
      <c r="D40" s="7" t="s">
        <v>1217</v>
      </c>
      <c r="E40" s="7" t="s">
        <v>1215</v>
      </c>
    </row>
    <row r="41" ht="48" customHeight="1" spans="1:5">
      <c r="A41" s="7" t="s">
        <v>30</v>
      </c>
      <c r="B41" s="7" t="s">
        <v>2636</v>
      </c>
      <c r="C41" s="7" t="s">
        <v>1013</v>
      </c>
      <c r="D41" s="7" t="s">
        <v>1015</v>
      </c>
      <c r="E41" s="7" t="s">
        <v>1014</v>
      </c>
    </row>
    <row r="42" ht="48" customHeight="1" spans="1:5">
      <c r="A42" s="7" t="s">
        <v>30</v>
      </c>
      <c r="B42" s="7" t="s">
        <v>2636</v>
      </c>
      <c r="C42" s="7" t="s">
        <v>1023</v>
      </c>
      <c r="D42" s="7" t="s">
        <v>1025</v>
      </c>
      <c r="E42" s="7" t="s">
        <v>1024</v>
      </c>
    </row>
    <row r="43" ht="48" customHeight="1" spans="1:5">
      <c r="A43" s="7" t="s">
        <v>30</v>
      </c>
      <c r="B43" s="7" t="s">
        <v>2636</v>
      </c>
      <c r="C43" s="7" t="s">
        <v>1033</v>
      </c>
      <c r="D43" s="7" t="s">
        <v>1036</v>
      </c>
      <c r="E43" s="7" t="s">
        <v>1034</v>
      </c>
    </row>
    <row r="44" ht="48" customHeight="1" spans="1:5">
      <c r="A44" s="7" t="s">
        <v>30</v>
      </c>
      <c r="B44" s="7" t="s">
        <v>2636</v>
      </c>
      <c r="C44" s="7" t="s">
        <v>1043</v>
      </c>
      <c r="D44" s="7" t="s">
        <v>1046</v>
      </c>
      <c r="E44" s="7" t="s">
        <v>1044</v>
      </c>
    </row>
    <row r="45" ht="48" customHeight="1" spans="1:5">
      <c r="A45" s="7" t="s">
        <v>30</v>
      </c>
      <c r="B45" s="7" t="s">
        <v>2636</v>
      </c>
      <c r="C45" s="7" t="s">
        <v>1053</v>
      </c>
      <c r="D45" s="7" t="s">
        <v>1056</v>
      </c>
      <c r="E45" s="7" t="s">
        <v>1054</v>
      </c>
    </row>
    <row r="46" ht="48" customHeight="1" spans="1:5">
      <c r="A46" s="7" t="s">
        <v>30</v>
      </c>
      <c r="B46" s="7" t="s">
        <v>2636</v>
      </c>
      <c r="C46" s="7" t="s">
        <v>1349</v>
      </c>
      <c r="D46" s="7" t="s">
        <v>1352</v>
      </c>
      <c r="E46" s="7" t="s">
        <v>1350</v>
      </c>
    </row>
    <row r="47" ht="48" customHeight="1" spans="1:5">
      <c r="A47" s="7" t="s">
        <v>30</v>
      </c>
      <c r="B47" s="7" t="s">
        <v>2636</v>
      </c>
      <c r="C47" s="7" t="s">
        <v>1611</v>
      </c>
      <c r="D47" s="7" t="s">
        <v>1613</v>
      </c>
      <c r="E47" s="7" t="s">
        <v>1612</v>
      </c>
    </row>
    <row r="48" ht="48" customHeight="1" spans="1:5">
      <c r="A48" s="7" t="s">
        <v>30</v>
      </c>
      <c r="B48" s="7" t="s">
        <v>2636</v>
      </c>
      <c r="C48" s="7" t="s">
        <v>1621</v>
      </c>
      <c r="D48" s="7" t="s">
        <v>1624</v>
      </c>
      <c r="E48" s="7" t="s">
        <v>1622</v>
      </c>
    </row>
    <row r="49" ht="48" customHeight="1" spans="1:5">
      <c r="A49" s="7" t="s">
        <v>30</v>
      </c>
      <c r="B49" s="7" t="s">
        <v>2636</v>
      </c>
      <c r="C49" s="7" t="s">
        <v>1632</v>
      </c>
      <c r="D49" s="7" t="s">
        <v>1634</v>
      </c>
      <c r="E49" s="7" t="s">
        <v>1633</v>
      </c>
    </row>
    <row r="50" ht="48" customHeight="1" spans="1:5">
      <c r="A50" s="7" t="s">
        <v>30</v>
      </c>
      <c r="B50" s="7" t="s">
        <v>2636</v>
      </c>
      <c r="C50" s="7" t="s">
        <v>1871</v>
      </c>
      <c r="D50" s="7" t="s">
        <v>1873</v>
      </c>
      <c r="E50" s="7" t="s">
        <v>1872</v>
      </c>
    </row>
    <row r="51" ht="48" customHeight="1" spans="1:5">
      <c r="A51" s="7" t="s">
        <v>30</v>
      </c>
      <c r="B51" s="7" t="s">
        <v>2636</v>
      </c>
      <c r="C51" s="7" t="s">
        <v>1515</v>
      </c>
      <c r="D51" s="7" t="s">
        <v>1517</v>
      </c>
      <c r="E51" s="7" t="s">
        <v>1516</v>
      </c>
    </row>
    <row r="52" ht="48" customHeight="1" spans="1:5">
      <c r="A52" s="7" t="s">
        <v>30</v>
      </c>
      <c r="B52" s="7" t="s">
        <v>2636</v>
      </c>
      <c r="C52" s="7" t="s">
        <v>1524</v>
      </c>
      <c r="D52" s="7" t="s">
        <v>1525</v>
      </c>
      <c r="E52" s="7" t="s">
        <v>1497</v>
      </c>
    </row>
    <row r="53" ht="48" customHeight="1" spans="1:5">
      <c r="A53" s="7" t="s">
        <v>30</v>
      </c>
      <c r="B53" s="7" t="s">
        <v>2636</v>
      </c>
      <c r="C53" s="7" t="s">
        <v>1531</v>
      </c>
      <c r="D53" s="7" t="s">
        <v>1533</v>
      </c>
      <c r="E53" s="7" t="s">
        <v>1532</v>
      </c>
    </row>
    <row r="54" ht="48" customHeight="1" spans="1:5">
      <c r="A54" s="7" t="s">
        <v>30</v>
      </c>
      <c r="B54" s="7" t="s">
        <v>2636</v>
      </c>
      <c r="C54" s="7" t="s">
        <v>1540</v>
      </c>
      <c r="D54" s="7" t="s">
        <v>1543</v>
      </c>
      <c r="E54" s="7" t="s">
        <v>1541</v>
      </c>
    </row>
    <row r="55" ht="48" customHeight="1" spans="1:5">
      <c r="A55" s="7" t="s">
        <v>30</v>
      </c>
      <c r="B55" s="7" t="s">
        <v>2636</v>
      </c>
      <c r="C55" s="7" t="s">
        <v>1065</v>
      </c>
      <c r="D55" s="7" t="s">
        <v>1068</v>
      </c>
      <c r="E55" s="7" t="s">
        <v>1067</v>
      </c>
    </row>
    <row r="56" ht="48" customHeight="1" spans="1:5">
      <c r="A56" s="7" t="s">
        <v>30</v>
      </c>
      <c r="B56" s="7" t="s">
        <v>2636</v>
      </c>
      <c r="C56" s="7" t="s">
        <v>1075</v>
      </c>
      <c r="D56" s="7" t="s">
        <v>1078</v>
      </c>
      <c r="E56" s="7" t="s">
        <v>1076</v>
      </c>
    </row>
    <row r="57" ht="48" customHeight="1" spans="1:5">
      <c r="A57" s="7" t="s">
        <v>30</v>
      </c>
      <c r="B57" s="7" t="s">
        <v>2636</v>
      </c>
      <c r="C57" s="7" t="s">
        <v>1086</v>
      </c>
      <c r="D57" s="7" t="s">
        <v>1088</v>
      </c>
      <c r="E57" s="7" t="s">
        <v>1087</v>
      </c>
    </row>
    <row r="58" ht="48" customHeight="1" spans="1:5">
      <c r="A58" s="9" t="s">
        <v>30</v>
      </c>
      <c r="B58" s="9" t="s">
        <v>2636</v>
      </c>
      <c r="C58" s="9" t="s">
        <v>1095</v>
      </c>
      <c r="D58" s="9" t="s">
        <v>1097</v>
      </c>
      <c r="E58" s="9" t="s">
        <v>1096</v>
      </c>
    </row>
  </sheetData>
  <conditionalFormatting sqref="B2:B58">
    <cfRule type="containsText" dxfId="3" priority="1" operator="between" text="新增">
      <formula>NOT(ISERROR(SEARCH("新增",B2)))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showGridLines="0" workbookViewId="0">
      <selection activeCell="A1" sqref="A1"/>
    </sheetView>
  </sheetViews>
  <sheetFormatPr defaultColWidth="9" defaultRowHeight="14" outlineLevelCol="4"/>
  <cols>
    <col min="1" max="1" width="14" customWidth="1"/>
    <col min="2" max="2" width="30" customWidth="1"/>
    <col min="3" max="3" width="78" customWidth="1"/>
    <col min="4" max="4" width="14" customWidth="1"/>
    <col min="5" max="5" width="18" customWidth="1"/>
  </cols>
  <sheetData>
    <row r="1" ht="34" customHeight="1" spans="1:5">
      <c r="A1" s="1" t="s">
        <v>2637</v>
      </c>
      <c r="B1" s="2" t="s">
        <v>2638</v>
      </c>
      <c r="C1" s="2" t="s">
        <v>2639</v>
      </c>
      <c r="D1" s="2" t="s">
        <v>2640</v>
      </c>
      <c r="E1" s="3" t="s">
        <v>2641</v>
      </c>
    </row>
    <row r="2" ht="58" customHeight="1" spans="1:5">
      <c r="A2" s="4" t="s">
        <v>2642</v>
      </c>
      <c r="B2" s="5" t="s">
        <v>2643</v>
      </c>
      <c r="C2" s="5" t="s">
        <v>2644</v>
      </c>
      <c r="D2" s="4" t="s">
        <v>2645</v>
      </c>
      <c r="E2" s="4" t="s">
        <v>2646</v>
      </c>
    </row>
    <row r="3" ht="58" customHeight="1" spans="1:5">
      <c r="A3" s="6" t="s">
        <v>31</v>
      </c>
      <c r="B3" s="7" t="s">
        <v>32</v>
      </c>
      <c r="C3" s="7" t="s">
        <v>2647</v>
      </c>
      <c r="D3" s="6" t="s">
        <v>72</v>
      </c>
      <c r="E3" s="6" t="s">
        <v>33</v>
      </c>
    </row>
    <row r="4" ht="58" customHeight="1" spans="1:5">
      <c r="A4" s="6" t="s">
        <v>34</v>
      </c>
      <c r="B4" s="7" t="s">
        <v>2648</v>
      </c>
      <c r="C4" s="7" t="s">
        <v>2649</v>
      </c>
      <c r="D4" s="6" t="s">
        <v>72</v>
      </c>
      <c r="E4" s="6" t="s">
        <v>33</v>
      </c>
    </row>
    <row r="5" ht="58" customHeight="1" spans="1:5">
      <c r="A5" s="6" t="s">
        <v>36</v>
      </c>
      <c r="B5" s="7" t="s">
        <v>2650</v>
      </c>
      <c r="C5" s="7" t="s">
        <v>2651</v>
      </c>
      <c r="D5" s="6" t="s">
        <v>2645</v>
      </c>
      <c r="E5" s="6" t="s">
        <v>33</v>
      </c>
    </row>
    <row r="6" ht="58" customHeight="1" spans="1:5">
      <c r="A6" s="6" t="s">
        <v>38</v>
      </c>
      <c r="B6" s="7" t="s">
        <v>2652</v>
      </c>
      <c r="C6" s="7" t="s">
        <v>2653</v>
      </c>
      <c r="D6" s="6" t="s">
        <v>2645</v>
      </c>
      <c r="E6" s="6" t="s">
        <v>33</v>
      </c>
    </row>
    <row r="7" ht="58" customHeight="1" spans="1:5">
      <c r="A7" s="6" t="s">
        <v>2654</v>
      </c>
      <c r="B7" s="7" t="s">
        <v>2655</v>
      </c>
      <c r="C7" s="7" t="s">
        <v>2656</v>
      </c>
      <c r="D7" s="6" t="s">
        <v>2645</v>
      </c>
      <c r="E7" s="6" t="s">
        <v>2657</v>
      </c>
    </row>
    <row r="8" ht="58" customHeight="1" spans="1:5">
      <c r="A8" s="6" t="s">
        <v>2658</v>
      </c>
      <c r="B8" s="7" t="s">
        <v>2659</v>
      </c>
      <c r="C8" s="7" t="s">
        <v>2660</v>
      </c>
      <c r="D8" s="6" t="s">
        <v>2645</v>
      </c>
      <c r="E8" s="6" t="s">
        <v>2657</v>
      </c>
    </row>
    <row r="9" ht="58" customHeight="1" spans="1:5">
      <c r="A9" s="6" t="s">
        <v>2661</v>
      </c>
      <c r="B9" s="7" t="s">
        <v>2662</v>
      </c>
      <c r="C9" s="7" t="s">
        <v>2663</v>
      </c>
      <c r="D9" s="6" t="s">
        <v>2645</v>
      </c>
      <c r="E9" s="6" t="s">
        <v>2657</v>
      </c>
    </row>
    <row r="10" ht="58" customHeight="1" spans="1:5">
      <c r="A10" s="6" t="s">
        <v>2664</v>
      </c>
      <c r="B10" s="7" t="s">
        <v>2665</v>
      </c>
      <c r="C10" s="7" t="s">
        <v>2666</v>
      </c>
      <c r="D10" s="6" t="s">
        <v>2645</v>
      </c>
      <c r="E10" s="6" t="s">
        <v>2657</v>
      </c>
    </row>
    <row r="11" ht="58" customHeight="1" spans="1:5">
      <c r="A11" s="6" t="s">
        <v>2667</v>
      </c>
      <c r="B11" s="7" t="s">
        <v>2668</v>
      </c>
      <c r="C11" s="7" t="s">
        <v>2669</v>
      </c>
      <c r="D11" s="6" t="s">
        <v>2645</v>
      </c>
      <c r="E11" s="6" t="s">
        <v>2670</v>
      </c>
    </row>
    <row r="12" ht="58" customHeight="1" spans="1:5">
      <c r="A12" s="8" t="s">
        <v>2671</v>
      </c>
      <c r="B12" s="9" t="s">
        <v>2672</v>
      </c>
      <c r="C12" s="9" t="s">
        <v>2673</v>
      </c>
      <c r="D12" s="8" t="s">
        <v>72</v>
      </c>
      <c r="E12" s="8" t="s">
        <v>2674</v>
      </c>
    </row>
  </sheetData>
  <conditionalFormatting sqref="E2:E12">
    <cfRule type="containsText" dxfId="0" priority="1" operator="between" text="最高优先">
      <formula>NOT(ISERROR(SEARCH("最高优先",E2)))</formula>
    </cfRule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总览</vt:lpstr>
      <vt:lpstr>资产总表</vt:lpstr>
      <vt:lpstr>人物资产</vt:lpstr>
      <vt:lpstr>场景资产</vt:lpstr>
      <vt:lpstr>道具资产</vt:lpstr>
      <vt:lpstr>特殊资产</vt:lpstr>
      <vt:lpstr>声音资产</vt:lpstr>
      <vt:lpstr>119镜映射</vt:lpstr>
      <vt:lpstr>场次汇总</vt:lpstr>
      <vt:lpstr>资产变更</vt:lpstr>
      <vt:lpstr>生产包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小虫（Evil）</cp:lastModifiedBy>
  <dcterms:created xsi:type="dcterms:W3CDTF">2026-07-28T06:37:37Z</dcterms:created>
  <dcterms:modified xsi:type="dcterms:W3CDTF">2026-07-28T06:37:49Z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96C0BC6CC04D4C958DDBF361E4A9C2DA_12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