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68d596d8f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8eff8ead7904585"/>
    <x:sheet xmlns:r="http://schemas.openxmlformats.org/officeDocument/2006/relationships" name="资产总表" sheetId="2" r:id="R3a63d9bdf0214ae0"/>
    <x:sheet xmlns:r="http://schemas.openxmlformats.org/officeDocument/2006/relationships" name="人物资产" sheetId="3" r:id="R7615f9789b40495d"/>
    <x:sheet xmlns:r="http://schemas.openxmlformats.org/officeDocument/2006/relationships" name="场景资产" sheetId="4" r:id="R0d014fbaeb5a453a"/>
    <x:sheet xmlns:r="http://schemas.openxmlformats.org/officeDocument/2006/relationships" name="道具资产" sheetId="5" r:id="Re2970eab7cca4f9e"/>
    <x:sheet xmlns:r="http://schemas.openxmlformats.org/officeDocument/2006/relationships" name="特殊资产" sheetId="6" r:id="Rf7b9e6a575064e1a"/>
    <x:sheet xmlns:r="http://schemas.openxmlformats.org/officeDocument/2006/relationships" name="声音资产" sheetId="7" r:id="R74cb7ffe3c734193"/>
    <x:sheet xmlns:r="http://schemas.openxmlformats.org/officeDocument/2006/relationships" name="119镜映射" sheetId="8" r:id="Rc986d1caa223496f"/>
    <x:sheet xmlns:r="http://schemas.openxmlformats.org/officeDocument/2006/relationships" name="场次汇总" sheetId="9" r:id="R777ba2a5b5274377"/>
    <x:sheet xmlns:r="http://schemas.openxmlformats.org/officeDocument/2006/relationships" name="资产变更" sheetId="10" r:id="R75ebcf1c61cf4128"/>
    <x:sheet xmlns:r="http://schemas.openxmlformats.org/officeDocument/2006/relationships" name="生产包" sheetId="11" r:id="Raa38cb436d2548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8"/>
      <x:color rgb="FFFFFFFF"/>
      <x:name val="Carlito"/>
    </x:font>
    <x:font>
      <x:b/>
      <x:sz val="9"/>
      <x:color rgb="FF215D7A"/>
      <x:name val="Carlito"/>
    </x:font>
    <x:font>
      <x:b/>
      <x:sz val="10"/>
      <x:color rgb="FFFFFFFF"/>
      <x:name val="Carlito"/>
    </x:font>
    <x:font>
      <x:sz val="9"/>
      <x:color rgb="FF1D2B34"/>
      <x:name val="Carlito"/>
    </x:font>
    <x:font>
      <x:b/>
      <x:sz val="9"/>
      <x:color rgb="FF14283B"/>
      <x:name val="Carlito"/>
    </x:font>
    <x:font>
      <x:b/>
      <x:i/>
      <x:sz val="9"/>
      <x:color rgb="FF667784"/>
      <x:name val="Carlito"/>
    </x:font>
    <x:font>
      <x:i/>
      <x:sz val="9"/>
      <x:color rgb="FF667784"/>
      <x:name val="Carlito"/>
    </x:font>
    <x:font>
      <x:b/>
      <x:sz val="9"/>
      <x:color rgb="FF2F7D61"/>
      <x:name val="Carlito"/>
    </x:font>
    <x:font>
      <x:b/>
      <x:sz val="20"/>
      <x:color rgb="FFFFFFFF"/>
      <x:name val="Carlito"/>
    </x:font>
    <x:font>
      <x:b/>
      <x:sz val="10"/>
      <x:color rgb="FF215D7A"/>
      <x:name val="Carlito"/>
    </x:font>
    <x:font>
      <x:b/>
      <x:sz val="11"/>
      <x:color rgb="FFFFFFFF"/>
      <x:name val="Carlito"/>
    </x:font>
    <x:font>
      <x:b/>
      <x:sz val="11"/>
      <x:color rgb="FF667784"/>
      <x:name val="Carlito"/>
    </x:font>
    <x:font>
      <x:b/>
      <x:sz val="15"/>
      <x:color rgb="FF14283B"/>
      <x:name val="Carlito"/>
    </x:font>
    <x:font>
      <x:sz val="11"/>
      <x:color rgb="FF1D2B34"/>
      <x:name val="Carlito"/>
    </x:font>
    <x:font>
      <x:b/>
      <x:sz val="11"/>
      <x:color rgb="FF2F7D6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4283B"/>
      </x:patternFill>
    </x:fill>
    <x:fill>
      <x:patternFill patternType="solid">
        <x:fgColor rgb="FFEAF2F5"/>
      </x:patternFill>
    </x:fill>
    <x:fill>
      <x:patternFill patternType="solid">
        <x:fgColor rgb="FFFFF7E8"/>
      </x:patternFill>
    </x:fill>
    <x:fill>
      <x:patternFill patternType="solid">
        <x:fgColor rgb="FFECEFF1"/>
      </x:patternFill>
    </x:fill>
    <x:fill>
      <x:patternFill patternType="solid">
        <x:fgColor rgb="FFE8F4EE"/>
      </x:patternFill>
    </x:fill>
    <x:fill>
      <x:patternFill patternType="solid">
        <x:fgColor rgb="FFF7FBF9"/>
      </x:patternFill>
    </x:fill>
    <x:fill>
      <x:patternFill patternType="solid">
        <x:fgColor rgb="FF215D7A"/>
      </x:patternFill>
    </x:fill>
    <x:fill>
      <x:patternFill patternType="solid">
        <x:fgColor rgb="FFF4F7F8"/>
      </x:patternFill>
    </x:fill>
    <x:fill>
      <x:patternFill patternType="solid">
        <x:fgColor rgb="FFFFFFFF"/>
      </x:patternFill>
    </x:fill>
    <x:fill>
      <x:patternFill patternType="solid">
        <x:fgColor rgb="FF4CA6A8"/>
      </x:patternFill>
    </x:fill>
  </x:fills>
  <x:borders count="25">
    <x:border/>
    <x:border>
      <x:left style="medium">
        <x:color rgb="FF14283B"/>
      </x:left>
      <x:top style="medium">
        <x:color rgb="FF14283B"/>
      </x:top>
      <x:bottom style="medium">
        <x:color rgb="FF14283B"/>
      </x:bottom>
    </x:border>
    <x:border>
      <x:top style="medium">
        <x:color rgb="FF14283B"/>
      </x:top>
      <x:bottom style="medium">
        <x:color rgb="FF14283B"/>
      </x:bottom>
    </x:border>
    <x:border>
      <x:right style="medium">
        <x:color rgb="FF14283B"/>
      </x:right>
      <x:top style="medium">
        <x:color rgb="FF14283B"/>
      </x:top>
      <x:bottom style="medium">
        <x:color rgb="FF14283B"/>
      </x:bottom>
    </x:border>
    <x:border>
      <x:bottom style="thin">
        <x:color rgb="FFE2E8EC"/>
      </x:bottom>
    </x:border>
    <x:border>
      <x:top style="thin">
        <x:color rgb="FFE2E8EC"/>
      </x:top>
      <x:bottom style="thin">
        <x:color rgb="FFE2E8EC"/>
      </x:bottom>
    </x:border>
    <x:border>
      <x:top style="thin">
        <x:color rgb="FFE2E8EC"/>
      </x:top>
      <x:bottom style="thin">
        <x:color rgb="FFC9D5DB"/>
      </x:bottom>
    </x:border>
    <x:border>
      <x:top style="medium">
        <x:color rgb="FF215D7A"/>
      </x:top>
      <x:bottom style="thin">
        <x:color rgb="FFC9D5DB"/>
      </x:bottom>
    </x:border>
    <x:border>
      <x:top style="thin">
        <x:color rgb="FFA7CDBD"/>
      </x:top>
      <x:bottom style="thin">
        <x:color rgb="FFCFE3D9"/>
      </x:bottom>
    </x:border>
    <x:border>
      <x:left style="medium">
        <x:color rgb="FFC9D5DB"/>
      </x:left>
      <x:top style="medium">
        <x:color rgb="FFC9D5DB"/>
      </x:top>
    </x:border>
    <x:border>
      <x:right style="medium">
        <x:color rgb="FFC9D5DB"/>
      </x:right>
      <x:top style="medium">
        <x:color rgb="FFC9D5DB"/>
      </x:top>
    </x:border>
    <x:border>
      <x:left style="medium">
        <x:color rgb="FFC9D5DB"/>
      </x:left>
    </x:border>
    <x:border>
      <x:right style="medium">
        <x:color rgb="FFC9D5DB"/>
      </x:right>
    </x:border>
    <x:border>
      <x:left style="medium">
        <x:color rgb="FFC9D5DB"/>
      </x:left>
      <x:bottom style="medium">
        <x:color rgb="FFC9D5DB"/>
      </x:bottom>
    </x:border>
    <x:border>
      <x:right style="medium">
        <x:color rgb="FFC9D5DB"/>
      </x:right>
      <x:bottom style="medium">
        <x:color rgb="FFC9D5DB"/>
      </x:bottom>
    </x:border>
    <x:border>
      <x:top style="medium">
        <x:color rgb="FFC9D5DB"/>
      </x:top>
    </x:border>
    <x:border>
      <x:bottom style="medium">
        <x:color rgb="FFC9D5DB"/>
      </x:bottom>
    </x:border>
    <x:border>
      <x:left style="thin">
        <x:color rgb="FFC9D5DB"/>
      </x:left>
      <x:top style="thin">
        <x:color rgb="FFC9D5DB"/>
      </x:top>
    </x:border>
    <x:border>
      <x:top style="thin">
        <x:color rgb="FFC9D5DB"/>
      </x:top>
    </x:border>
    <x:border>
      <x:right style="thin">
        <x:color rgb="FFC9D5DB"/>
      </x:right>
      <x:top style="thin">
        <x:color rgb="FFC9D5DB"/>
      </x:top>
    </x:border>
    <x:border>
      <x:left style="thin">
        <x:color rgb="FFC9D5DB"/>
      </x:left>
    </x:border>
    <x:border>
      <x:right style="thin">
        <x:color rgb="FFC9D5DB"/>
      </x:right>
    </x:border>
    <x:border>
      <x:left style="thin">
        <x:color rgb="FFC9D5DB"/>
      </x:left>
      <x:bottom style="thin">
        <x:color rgb="FFC9D5DB"/>
      </x:bottom>
    </x:border>
    <x:border>
      <x:bottom style="thin">
        <x:color rgb="FFC9D5DB"/>
      </x:bottom>
    </x:border>
    <x:border>
      <x:right style="thin">
        <x:color rgb="FFC9D5DB"/>
      </x:right>
      <x:bottom style="thin">
        <x:color rgb="FFC9D5DB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horizontal="left" wrapText="1"/>
    </x:xf>
    <x:xf numFmtId="0" fontId="4" fillId="0" borderId="5" xfId="0" applyNumberFormat="1" applyFont="1" applyFill="1" applyBorder="1" applyAlignment="1">
      <x:alignment horizontal="left" wrapText="1"/>
    </x:xf>
    <x:xf numFmtId="0" fontId="4" fillId="0" borderId="6" xfId="0" applyNumberFormat="1" applyFont="1" applyFill="1" applyBorder="1" applyAlignment="1">
      <x:alignment horizontal="left" wrapText="1"/>
    </x:xf>
    <x:xf numFmtId="0" fontId="4" fillId="0" borderId="4" xfId="0" applyNumberFormat="1" applyFont="1" applyFill="1" applyBorder="1" applyAlignment="1">
      <x:alignment horizontal="left" vertical="top" wrapText="1"/>
    </x:xf>
    <x:xf numFmtId="0" fontId="4" fillId="0" borderId="5" xfId="0" applyNumberFormat="1" applyFont="1" applyFill="1" applyBorder="1" applyAlignment="1">
      <x:alignment horizontal="left" vertical="top" wrapText="1"/>
    </x:xf>
    <x:xf numFmtId="0" fontId="4" fillId="0" borderId="6" xfId="0" applyNumberFormat="1" applyFont="1" applyFill="1" applyBorder="1" applyAlignment="1">
      <x:alignment horizontal="left" vertical="top" wrapText="1"/>
    </x:xf>
    <x:xf numFmtId="0" fontId="4" fillId="3" borderId="4" xfId="0" applyNumberFormat="1" applyFont="1" applyFill="1" applyBorder="1" applyAlignment="1">
      <x:alignment horizontal="left" vertical="top" wrapText="1"/>
    </x:xf>
    <x:xf numFmtId="0" fontId="5" fillId="3" borderId="4" xfId="0" applyNumberFormat="1" applyFont="1" applyFill="1" applyBorder="1" applyAlignment="1">
      <x:alignment horizontal="left" vertical="top" wrapText="1"/>
    </x:xf>
    <x:xf numFmtId="0" fontId="5" fillId="3" borderId="7" xfId="0" applyNumberFormat="1" applyFont="1" applyFill="1" applyBorder="1" applyAlignment="1">
      <x:alignment horizontal="left" vertical="top" wrapText="1"/>
    </x:xf>
    <x:xf numFmtId="0" fontId="4" fillId="4" borderId="5" xfId="0" applyNumberFormat="1" applyFont="1" applyFill="1" applyBorder="1" applyAlignment="1">
      <x:alignment horizontal="left" vertical="top" wrapText="1"/>
    </x:xf>
    <x:xf numFmtId="0" fontId="4" fillId="3" borderId="5" xfId="0" applyNumberFormat="1" applyFont="1" applyFill="1" applyBorder="1" applyAlignment="1">
      <x:alignment horizontal="left" vertical="top" wrapText="1"/>
    </x:xf>
    <x:xf numFmtId="0" fontId="5" fillId="3" borderId="5" xfId="0" applyNumberFormat="1" applyFont="1" applyFill="1" applyBorder="1" applyAlignment="1">
      <x:alignment horizontal="left" vertical="top" wrapText="1"/>
    </x:xf>
    <x:xf numFmtId="0" fontId="5" fillId="5" borderId="7" xfId="0" applyNumberFormat="1" applyFont="1" applyFill="1" applyBorder="1" applyAlignment="1">
      <x:alignment horizontal="left" vertical="top" wrapText="1"/>
    </x:xf>
    <x:xf numFmtId="0" fontId="6" fillId="5" borderId="7" xfId="0" applyNumberFormat="1" applyFont="1" applyFill="1" applyBorder="1" applyAlignment="1">
      <x:alignment horizontal="left" vertical="top" wrapText="1"/>
    </x:xf>
    <x:xf numFmtId="0" fontId="4" fillId="5" borderId="5" xfId="0" applyNumberFormat="1" applyFont="1" applyFill="1" applyBorder="1" applyAlignment="1">
      <x:alignment horizontal="left" vertical="top" wrapText="1"/>
    </x:xf>
    <x:xf numFmtId="0" fontId="7" fillId="5" borderId="5" xfId="0" applyNumberFormat="1" applyFont="1" applyFill="1" applyBorder="1" applyAlignment="1">
      <x:alignment horizontal="left" vertical="top" wrapText="1"/>
    </x:xf>
    <x:xf numFmtId="0" fontId="4" fillId="6" borderId="5" xfId="0" applyNumberFormat="1" applyFont="1" applyFill="1" applyBorder="1" applyAlignment="1">
      <x:alignment horizontal="left" vertical="top" wrapText="1"/>
    </x:xf>
    <x:xf numFmtId="0" fontId="8" fillId="6" borderId="5" xfId="0" applyNumberFormat="1" applyFont="1" applyFill="1" applyBorder="1" applyAlignment="1">
      <x:alignment horizontal="left" vertical="top" wrapText="1"/>
    </x:xf>
    <x:xf numFmtId="0" fontId="8" fillId="6" borderId="8" xfId="0" applyNumberFormat="1" applyFont="1" applyFill="1" applyBorder="1" applyAlignment="1">
      <x:alignment horizontal="left" vertical="top" wrapText="1"/>
    </x:xf>
    <x:xf numFmtId="0" fontId="4" fillId="7" borderId="5" xfId="0" applyNumberFormat="1" applyFont="1" applyFill="1" applyBorder="1" applyAlignment="1">
      <x:alignment horizontal="left" vertical="top" wrapText="1"/>
    </x:xf>
    <x:xf numFmtId="0" fontId="4" fillId="3" borderId="6" xfId="0" applyNumberFormat="1" applyFont="1" applyFill="1" applyBorder="1" applyAlignment="1">
      <x:alignment horizontal="left" vertical="top" wrapText="1"/>
    </x:xf>
    <x:xf numFmtId="0" fontId="5" fillId="3" borderId="6" xfId="0" applyNumberFormat="1" applyFont="1" applyFill="1" applyBorder="1" applyAlignment="1">
      <x:alignment horizontal="left" vertical="top" wrapText="1"/>
    </x:xf>
    <x:xf numFmtId="0" fontId="5" fillId="3" borderId="7" xfId="0" applyNumberFormat="1" applyFont="1" applyFill="1" applyBorder="1" applyAlignment="1">
      <x:alignment horizontal="center" vertical="top" wrapText="1"/>
    </x:xf>
    <x:xf numFmtId="0" fontId="4" fillId="4" borderId="5" xfId="0" applyNumberFormat="1" applyFont="1" applyFill="1" applyBorder="1" applyAlignment="1">
      <x:alignment horizontal="center" vertical="top" wrapText="1"/>
    </x:xf>
    <x:xf numFmtId="0" fontId="6" fillId="5" borderId="7" xfId="0" applyNumberFormat="1" applyFont="1" applyFill="1" applyBorder="1" applyAlignment="1">
      <x:alignment horizontal="center" vertical="top" wrapText="1"/>
    </x:xf>
    <x:xf numFmtId="0" fontId="7" fillId="5" borderId="5" xfId="0" applyNumberFormat="1" applyFont="1" applyFill="1" applyBorder="1" applyAlignment="1">
      <x:alignment horizontal="center" vertical="top" wrapText="1"/>
    </x:xf>
    <x:xf numFmtId="0" fontId="8" fillId="6" borderId="8" xfId="0" applyNumberFormat="1" applyFont="1" applyFill="1" applyBorder="1" applyAlignment="1">
      <x:alignment horizontal="center" vertical="top" wrapText="1"/>
    </x:xf>
    <x:xf numFmtId="0" fontId="4" fillId="7" borderId="5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horizontal="center"/>
    </x:xf>
    <x:xf numFmtId="0" fontId="11" fillId="8" borderId="9" xfId="0" applyNumberFormat="1" applyFont="1" applyFill="1" applyBorder="1" applyAlignment="1">
      <x:alignment horizontal="center"/>
    </x:xf>
    <x:xf numFmtId="0" fontId="11" fillId="8" borderId="10" xfId="0" applyNumberFormat="1" applyFont="1" applyFill="1" applyBorder="1" applyAlignment="1">
      <x:alignment horizontal="center"/>
    </x:xf>
    <x:xf numFmtId="0" fontId="12" fillId="9" borderId="11" xfId="0" applyNumberFormat="1" applyFont="1" applyFill="1" applyBorder="1"/>
    <x:xf numFmtId="0" fontId="13" fillId="10" borderId="12" xfId="0" applyNumberFormat="1" applyFont="1" applyFill="1" applyBorder="1" applyAlignment="1">
      <x:alignment horizontal="center"/>
    </x:xf>
    <x:xf numFmtId="0" fontId="12" fillId="9" borderId="13" xfId="0" applyNumberFormat="1" applyFont="1" applyFill="1" applyBorder="1"/>
    <x:xf numFmtId="0" fontId="13" fillId="10" borderId="14" xfId="0" applyNumberFormat="1" applyFont="1" applyFill="1" applyBorder="1" applyAlignment="1">
      <x:alignment horizontal="center"/>
    </x:xf>
    <x:xf numFmtId="0" fontId="14" fillId="9" borderId="0" xfId="0" applyNumberFormat="1" applyFont="1" applyFill="1" applyBorder="1"/>
    <x:xf numFmtId="0" fontId="0" fillId="6" borderId="0" xfId="0" applyNumberFormat="1" applyFont="1" applyFill="1" applyBorder="1"/>
    <x:xf numFmtId="0" fontId="15" fillId="6" borderId="0" xfId="0" applyNumberFormat="1" applyFont="1" applyFill="1" applyBorder="1"/>
    <x:xf numFmtId="0" fontId="15" fillId="6" borderId="0" xfId="0" applyNumberFormat="1" applyFont="1" applyFill="1" applyBorder="1" applyAlignment="1">
      <x:alignment horizontal="center"/>
    </x:xf>
    <x:xf numFmtId="0" fontId="11" fillId="8" borderId="15" xfId="0" applyNumberFormat="1" applyFont="1" applyFill="1" applyBorder="1" applyAlignment="1">
      <x:alignment horizontal="center"/>
    </x:xf>
    <x:xf numFmtId="0" fontId="14" fillId="9" borderId="11" xfId="0" applyNumberFormat="1" applyFont="1" applyFill="1" applyBorder="1"/>
    <x:xf numFmtId="0" fontId="15" fillId="6" borderId="12" xfId="0" applyNumberFormat="1" applyFont="1" applyFill="1" applyBorder="1" applyAlignment="1">
      <x:alignment horizontal="center"/>
    </x:xf>
    <x:xf numFmtId="0" fontId="14" fillId="9" borderId="13" xfId="0" applyNumberFormat="1" applyFont="1" applyFill="1" applyBorder="1"/>
    <x:xf numFmtId="0" fontId="14" fillId="9" borderId="16" xfId="0" applyNumberFormat="1" applyFont="1" applyFill="1" applyBorder="1"/>
    <x:xf numFmtId="0" fontId="15" fillId="6" borderId="14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horizontal="center"/>
    </x:xf>
    <x:xf numFmtId="0" fontId="14" fillId="10" borderId="0" xfId="0" applyNumberFormat="1" applyFont="1" applyFill="1" applyBorder="1"/>
    <x:xf numFmtId="0" fontId="11" fillId="11" borderId="17" xfId="0" applyNumberFormat="1" applyFont="1" applyFill="1" applyBorder="1" applyAlignment="1">
      <x:alignment horizontal="center"/>
    </x:xf>
    <x:xf numFmtId="0" fontId="11" fillId="11" borderId="18" xfId="0" applyNumberFormat="1" applyFont="1" applyFill="1" applyBorder="1" applyAlignment="1">
      <x:alignment horizontal="center"/>
    </x:xf>
    <x:xf numFmtId="0" fontId="11" fillId="11" borderId="19" xfId="0" applyNumberFormat="1" applyFont="1" applyFill="1" applyBorder="1" applyAlignment="1">
      <x:alignment horizontal="center"/>
    </x:xf>
    <x:xf numFmtId="0" fontId="14" fillId="10" borderId="20" xfId="0" applyNumberFormat="1" applyFont="1" applyFill="1" applyBorder="1"/>
    <x:xf numFmtId="0" fontId="14" fillId="10" borderId="21" xfId="0" applyNumberFormat="1" applyFont="1" applyFill="1" applyBorder="1"/>
    <x:xf numFmtId="0" fontId="14" fillId="10" borderId="22" xfId="0" applyNumberFormat="1" applyFont="1" applyFill="1" applyBorder="1"/>
    <x:xf numFmtId="0" fontId="14" fillId="10" borderId="23" xfId="0" applyNumberFormat="1" applyFont="1" applyFill="1" applyBorder="1"/>
    <x:xf numFmtId="0" fontId="14" fillId="10" borderId="24" xfId="0" applyNumberFormat="1" applyFont="1" applyFill="1" applyBorder="1"/>
    <x:xf numFmtId="0" fontId="11" fillId="11" borderId="17" xfId="0" applyNumberFormat="1" applyFont="1" applyFill="1" applyBorder="1"/>
    <x:xf numFmtId="0" fontId="11" fillId="11" borderId="19" xfId="0" applyNumberFormat="1" applyFont="1" applyFill="1" applyBorder="1"/>
    <x:xf numFmtId="0" fontId="11" fillId="2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11" fillId="2" borderId="9" xfId="0" applyNumberFormat="1" applyFont="1" applyFill="1" applyBorder="1"/>
    <x:xf numFmtId="0" fontId="11" fillId="2" borderId="15" xfId="0" applyNumberFormat="1" applyFont="1" applyFill="1" applyBorder="1"/>
    <x:xf numFmtId="0" fontId="11" fillId="2" borderId="10" xfId="0" applyNumberFormat="1" applyFont="1" applyFill="1" applyBorder="1"/>
    <x:xf numFmtId="0" fontId="14" fillId="9" borderId="11" xfId="0" applyNumberFormat="1" applyFont="1" applyFill="1" applyBorder="1" applyAlignment="1">
      <x:alignment wrapText="1"/>
    </x:xf>
    <x:xf numFmtId="0" fontId="14" fillId="9" borderId="12" xfId="0" applyNumberFormat="1" applyFont="1" applyFill="1" applyBorder="1" applyAlignment="1">
      <x:alignment wrapText="1"/>
    </x:xf>
    <x:xf numFmtId="0" fontId="14" fillId="9" borderId="13" xfId="0" applyNumberFormat="1" applyFont="1" applyFill="1" applyBorder="1" applyAlignment="1">
      <x:alignment wrapText="1"/>
    </x:xf>
    <x:xf numFmtId="0" fontId="14" fillId="9" borderId="16" xfId="0" applyNumberFormat="1" applyFont="1" applyFill="1" applyBorder="1" applyAlignment="1">
      <x:alignment wrapText="1"/>
    </x:xf>
    <x:xf numFmtId="0" fontId="14" fillId="9" borderId="1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0">
    <x:dxf>
      <x:font>
        <x:b/>
        <x:color rgb="FFA73A37"/>
      </x:font>
      <x:fill>
        <x:patternFill patternType="solid">
          <x:bgColor rgb="FFFCE8E6"/>
        </x:patternFill>
      </x:fill>
    </x:dxf>
    <x:dxf>
      <x:font>
        <x:b/>
        <x:color rgb="FFA73A37"/>
      </x:font>
      <x:fill>
        <x:patternFill patternType="solid">
          <x:bgColor rgb="FFFCE8E6"/>
        </x:patternFill>
      </x:fill>
    </x:dxf>
    <x:dxf>
      <x:font>
        <x:b/>
        <x:color rgb="FFA73A37"/>
      </x:font>
      <x:fill>
        <x:patternFill patternType="solid">
          <x:bgColor rgb="FFFCE8E6"/>
        </x:patternFill>
      </x:fill>
    </x:dxf>
    <x:dxf>
      <x:font>
        <x:b/>
        <x:color rgb="FFA73A37"/>
      </x:font>
      <x:fill>
        <x:patternFill patternType="solid">
          <x:bgColor rgb="FFFCE8E6"/>
        </x:patternFill>
      </x:fill>
    </x:dxf>
    <x:dxf>
      <x:font>
        <x:b/>
        <x:color rgb="FFA73A37"/>
      </x:font>
      <x:fill>
        <x:patternFill patternType="solid">
          <x:bgColor rgb="FFFCE8E6"/>
        </x:patternFill>
      </x:fill>
    </x:dxf>
    <x:dxf>
      <x:font>
        <x:b/>
        <x:color rgb="FFA73A37"/>
      </x:font>
      <x:fill>
        <x:patternFill patternType="solid">
          <x:bgColor rgb="FFFCE8E6"/>
        </x:patternFill>
      </x:fill>
    </x:dxf>
    <x:dxf>
      <x:font>
        <x:b/>
        <x:color rgb="FFD97706"/>
      </x:font>
      <x:fill>
        <x:patternFill patternType="solid">
          <x:bgColor rgb="FFFFF3CD"/>
        </x:patternFill>
      </x:fill>
    </x:dxf>
    <x:dxf>
      <x:font>
        <x:b/>
        <x:color rgb="FF667784"/>
      </x:font>
      <x:fill>
        <x:patternFill patternType="solid">
          <x:bgColor rgb="FFECEFF1"/>
        </x:patternFill>
      </x:fill>
    </x:dxf>
    <x:dxf>
      <x:font>
        <x:b/>
        <x:color rgb="FF2F7D61"/>
      </x:font>
      <x:fill>
        <x:patternFill patternType="solid">
          <x:bgColor rgb="FFE8F4EE"/>
        </x:patternFill>
      </x:fill>
    </x:dxf>
    <x:dxf>
      <x:font>
        <x:b/>
        <x:color rgb="FFA73A37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4e7bd94eb8433f" /><Relationship Type="http://schemas.openxmlformats.org/officeDocument/2006/relationships/theme" Target="/xl/theme/theme1.xml" Id="Rdddfe3d9518843fa" /><Relationship Type="http://schemas.openxmlformats.org/officeDocument/2006/relationships/sharedStrings" Target="/xl/sharedStrings.xml" Id="Rc724682692b047af" /><Relationship Type="http://schemas.openxmlformats.org/officeDocument/2006/relationships/worksheet" Target="/xl/worksheets/sheet1.xml" Id="R88eff8ead7904585" /><Relationship Type="http://schemas.openxmlformats.org/officeDocument/2006/relationships/worksheet" Target="/xl/worksheets/sheet2.xml" Id="R3a63d9bdf0214ae0" /><Relationship Type="http://schemas.openxmlformats.org/officeDocument/2006/relationships/worksheet" Target="/xl/worksheets/sheet3.xml" Id="R7615f9789b40495d" /><Relationship Type="http://schemas.openxmlformats.org/officeDocument/2006/relationships/worksheet" Target="/xl/worksheets/sheet4.xml" Id="R0d014fbaeb5a453a" /><Relationship Type="http://schemas.openxmlformats.org/officeDocument/2006/relationships/worksheet" Target="/xl/worksheets/sheet5.xml" Id="Re2970eab7cca4f9e" /><Relationship Type="http://schemas.openxmlformats.org/officeDocument/2006/relationships/worksheet" Target="/xl/worksheets/sheet6.xml" Id="Rf7b9e6a575064e1a" /><Relationship Type="http://schemas.openxmlformats.org/officeDocument/2006/relationships/worksheet" Target="/xl/worksheets/sheet7.xml" Id="R74cb7ffe3c734193" /><Relationship Type="http://schemas.openxmlformats.org/officeDocument/2006/relationships/worksheet" Target="/xl/worksheets/sheet8.xml" Id="Rc986d1caa223496f" /><Relationship Type="http://schemas.openxmlformats.org/officeDocument/2006/relationships/worksheet" Target="/xl/worksheets/sheet9.xml" Id="R777ba2a5b5274377" /><Relationship Type="http://schemas.openxmlformats.org/officeDocument/2006/relationships/worksheet" Target="/xl/worksheets/sheet10.xml" Id="R75ebcf1c61cf4128" /><Relationship Type="http://schemas.openxmlformats.org/officeDocument/2006/relationships/worksheet" Target="/xl/worksheets/sheet11.xml" Id="Raa38cb436d2548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6697fba40a4de5" /><Relationship Type="http://schemas.openxmlformats.org/officeDocument/2006/relationships/chart" Target="/xl/drawings/charts/chart2.xml" Id="R5dd5b85cad8e48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五类资产与场景视图登记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基础资产</c:v>
          </c:tx>
          <c:cat>
            <c:strRef>
              <c:f>'总览'!$H$5:$H$9</c:f>
              <c:strCache>
                <c:ptCount val="0"/>
              </c:strCache>
            </c:strRef>
          </c:cat>
          <c:val>
            <c:numRef>
              <c:f>'总览'!$I$5:$I$9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视图登记</c:v>
          </c:tx>
          <c:cat>
            <c:strRef>
              <c:f>'总览'!$H$5:$H$9</c:f>
              <c:strCache>
                <c:ptCount val="0"/>
              </c:strCache>
            </c:strRef>
          </c:cat>
          <c:val>
            <c:numRef>
              <c:f>'总览'!$J$5:$J$9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15场建议素材时长</a:t>
            </a:r>
          </a:p>
        </c:rich>
      </c:tx>
    </c:title>
    <c:plotArea>
      <c:lineChart>
        <c:grouping val="standard"/>
        <c:ser>
          <c:idx val="0"/>
          <c:order val="0"/>
          <c:tx>
            <c:v>素材秒</c:v>
          </c:tx>
          <c:marker>
            <c:symbol val="none"/>
          </c:marker>
          <c:cat>
            <c:strRef>
              <c:f>'总览'!$K$5:$K$19</c:f>
              <c:strCache>
                <c:ptCount val="0"/>
              </c:strCache>
            </c:strRef>
          </c:cat>
          <c:val>
            <c:numRef>
              <c:f>'总览'!$L$5:$L$19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6697fba40a4de5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d5b85cad8e48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hotAssetMapV131" displayName="ShotAssetMapV131" ref="A1:O120" headerRowCount="1" totalsRowCount="0" totalsRowShown="0">
  <x:tableColumns count="15">
    <x:tableColumn id="1" name="镜号"/>
    <x:tableColumn id="2" name="场次"/>
    <x:tableColumn id="3" name="场名"/>
    <x:tableColumn id="4" name="时间码"/>
    <x:tableColumn id="5" name="时长秒"/>
    <x:tableColumn id="6" name="景别／机位"/>
    <x:tableColumn id="7" name="画面动作摘要"/>
    <x:tableColumn id="8" name="关键状态／变体"/>
    <x:tableColumn id="9" name="摄影来源等级"/>
    <x:tableColumn id="10" name="所需视觉资产ID"/>
    <x:tableColumn id="11" name="所需人物音色ID"/>
    <x:tableColumn id="12" name="同步声音约束ID"/>
    <x:tableColumn id="13" name="后期文字／图形资产ID"/>
    <x:tableColumn id="14" name="资产状态"/>
    <x:tableColumn id="15" name="专业控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eAssetMapV131" displayName="SceneAssetMapV131" ref="A1:J16" headerRowCount="1" totalsRowCount="0" totalsRowShown="0">
  <x:tableColumns count="10">
    <x:tableColumn id="1" name="场次编号"/>
    <x:tableColumn id="2" name="场名"/>
    <x:tableColumn id="3" name="镜号范围"/>
    <x:tableColumn id="4" name="镜头数"/>
    <x:tableColumn id="5" name="素材时长秒"/>
    <x:tableColumn id="6" name="所需视觉资产ID"/>
    <x:tableColumn id="7" name="所需人物音色ID"/>
    <x:tableColumn id="8" name="同步声音约束ID"/>
    <x:tableColumn id="9" name="后期文字／图形资产ID"/>
    <x:tableColumn id="10" name="阶段2B资产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setChangesV131" displayName="AssetChangesV131" ref="A1:E58" headerRowCount="1" totalsRowCount="0" totalsRowShown="0">
  <x:tableColumns count="5">
    <x:tableColumn id="1" name="原生产资产ID"/>
    <x:tableColumn id="2" name="V1.3.1处置"/>
    <x:tableColumn id="3" name="现生产资产ID"/>
    <x:tableColumn id="4" name="原因"/>
    <x:tableColumn id="5" name="影响镜号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ionPackagesV131" displayName="ProductionPackagesV131" ref="A1:E12" headerRowCount="1" totalsRowCount="0" totalsRowShown="0">
  <x:tableColumns count="5">
    <x:tableColumn id="1" name="生产包ID"/>
    <x:tableColumn id="2" name="生产包"/>
    <x:tableColumn id="3" name="内容"/>
    <x:tableColumn id="4" name="级别"/>
    <x:tableColumn id="5" name="顺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5e9c6b4bfbe47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3e945ee99d114e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.xml" Id="Recf759df221446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.xml" Id="R2d6fdcc29f0f40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4.xml" Id="R82c69980275349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3" hidden="0" customWidth="1"/>
    <x:col min="8" max="8" width="16" hidden="0" customWidth="1"/>
    <x:col min="9" max="9" width="12" hidden="0" customWidth="1"/>
    <x:col min="10" max="10" width="12" hidden="0" customWidth="1"/>
    <x:col min="11" max="11" width="10" hidden="0" customWidth="1"/>
    <x:col min="12" max="12" width="12" hidden="0" customWidth="1"/>
  </x:cols>
  <x:sheetData>
    <x:row r="1" ht="40" customHeight="1">
      <x:c r="A1" s="58" t="str">
        <x:v>《奔月》V1.3.1｜阶段1资产分类层级与119镜映射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</x:row>
    <x:row r="2" ht="25" customHeight="1">
      <x:c r="A2" s="60" t="str">
        <x:v>正式基线：15场 / 119镜 / 1020秒建议素材｜资产按人物、场景、道具、特殊、声音五类拆分｜阶段2B入口不变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</x:row>
    <x:row r="4">
      <x:c r="A4" s="69" t="str">
        <x:v>资产口径</x:v>
      </x:c>
      <x:c r="B4" s="70" t="str">
        <x:v>结果</x:v>
      </x:c>
      <x:c r="D4" s="69" t="str">
        <x:v>入口校验</x:v>
      </x:c>
      <x:c r="E4" s="79" t="str">
        <x:v>期望</x:v>
      </x:c>
      <x:c r="F4" s="70" t="str">
        <x:v>状态</x:v>
      </x:c>
      <x:c r="H4" s="89" t="str">
        <x:v>资产大类</x:v>
      </x:c>
      <x:c r="I4" s="90" t="str">
        <x:v>基础资产</x:v>
      </x:c>
      <x:c r="J4" s="91" t="str">
        <x:v>视图登记</x:v>
      </x:c>
      <x:c r="K4" s="97" t="str">
        <x:v>场次</x:v>
      </x:c>
      <x:c r="L4" s="98" t="str">
        <x:v>素材秒</x:v>
      </x:c>
    </x:row>
    <x:row r="5">
      <x:c r="A5" s="71" t="str">
        <x:v>基础资产</x:v>
      </x:c>
      <x:c r="B5" s="72" t="n">
        <x:f>SUM('资产总表'!$W$5:$W$238)</x:f>
        <x:v>176</x:v>
      </x:c>
      <x:c r="D5" s="80" t="str">
        <x:v>基础资产口径</x:v>
      </x:c>
      <x:c r="E5" s="75" t="n">
        <x:v>176</x:v>
      </x:c>
      <x:c r="F5" s="81" t="str">
        <x:f>IF(B5=E5,"通过","异常")</x:f>
        <x:v>通过</x:v>
      </x:c>
      <x:c r="H5" s="92" t="str">
        <x:v>人物资产</x:v>
      </x:c>
      <x:c r="I5" s="88" t="n">
        <x:f>SUMIFS('资产总表'!$W$5:$W$238,'资产总表'!$A$5:$A$238,H5)</x:f>
        <x:v>25</x:v>
      </x:c>
      <x:c r="J5" s="93" t="n">
        <x:f>COUNTIFS('资产总表'!$A$5:$A$238,H5,'资产总表'!$W$5:$W$238,0)</x:f>
        <x:v>0</x:v>
      </x:c>
      <x:c r="K5" s="92" t="n">
        <x:v>1</x:v>
      </x:c>
      <x:c r="L5" s="93" t="n">
        <x:f>'场次汇总'!$E$2</x:f>
        <x:v>62</x:v>
      </x:c>
    </x:row>
    <x:row r="6">
      <x:c r="A6" s="71" t="str">
        <x:v>有效基础资产</x:v>
      </x:c>
      <x:c r="B6" s="72" t="n">
        <x:f>SUMIFS('资产总表'!$W$5:$W$238,'资产总表'!$X$5:$X$238,1)</x:f>
        <x:v>158</x:v>
      </x:c>
      <x:c r="D6" s="80" t="str">
        <x:v>视图登记</x:v>
      </x:c>
      <x:c r="E6" s="75" t="n">
        <x:v>58</x:v>
      </x:c>
      <x:c r="F6" s="81" t="str">
        <x:f>IF(B8=E6,"通过","异常")</x:f>
        <x:v>通过</x:v>
      </x:c>
      <x:c r="H6" s="92" t="str">
        <x:v>场景资产</x:v>
      </x:c>
      <x:c r="I6" s="88" t="n">
        <x:f>SUMIFS('资产总表'!$W$5:$W$238,'资产总表'!$A$5:$A$238,H6)</x:f>
        <x:v>20</x:v>
      </x:c>
      <x:c r="J6" s="93" t="n">
        <x:f>COUNTIFS('资产总表'!$A$5:$A$238,H6,'资产总表'!$W$5:$W$238,0)</x:f>
        <x:v>58</x:v>
      </x:c>
      <x:c r="K6" s="92" t="n">
        <x:v>2</x:v>
      </x:c>
      <x:c r="L6" s="93" t="n">
        <x:f>'场次汇总'!$E$3</x:f>
        <x:v>60</x:v>
      </x:c>
    </x:row>
    <x:row r="7">
      <x:c r="A7" s="71" t="str">
        <x:v>历史停用</x:v>
      </x:c>
      <x:c r="B7" s="72" t="n">
        <x:f>B5-B6</x:f>
        <x:v>18</x:v>
      </x:c>
      <x:c r="D7" s="80" t="str">
        <x:v>镜头覆盖</x:v>
      </x:c>
      <x:c r="E7" s="75" t="n">
        <x:v>119</x:v>
      </x:c>
      <x:c r="F7" s="81" t="str">
        <x:f>IF(B10=E7,"通过","异常")</x:f>
        <x:v>通过</x:v>
      </x:c>
      <x:c r="H7" s="92" t="str">
        <x:v>道具资产</x:v>
      </x:c>
      <x:c r="I7" s="88" t="n">
        <x:f>SUMIFS('资产总表'!$W$5:$W$238,'资产总表'!$A$5:$A$238,H7)</x:f>
        <x:v>36</x:v>
      </x:c>
      <x:c r="J7" s="93" t="n">
        <x:f>COUNTIFS('资产总表'!$A$5:$A$238,H7,'资产总表'!$W$5:$W$238,0)</x:f>
        <x:v>0</x:v>
      </x:c>
      <x:c r="K7" s="92" t="n">
        <x:v>3</x:v>
      </x:c>
      <x:c r="L7" s="93" t="n">
        <x:f>'场次汇总'!$E$4</x:f>
        <x:v>58</x:v>
      </x:c>
    </x:row>
    <x:row r="8">
      <x:c r="A8" s="71" t="str">
        <x:v>场景视图登记</x:v>
      </x:c>
      <x:c r="B8" s="72" t="n">
        <x:f>COUNTIF('资产总表'!$D$5:$D$238,"场景母图")+COUNTIF('资产总表'!$D$5:$D$238,"场景多视角")</x:f>
        <x:v>58</x:v>
      </x:c>
      <x:c r="D8" s="80" t="str">
        <x:v>素材时长</x:v>
      </x:c>
      <x:c r="E8" s="75" t="n">
        <x:v>1020</x:v>
      </x:c>
      <x:c r="F8" s="81" t="str">
        <x:f>IF(SUM('119镜映射'!$E$2:$E$120)=E8,"通过","异常")</x:f>
        <x:v>通过</x:v>
      </x:c>
      <x:c r="H8" s="92" t="str">
        <x:v>特殊资产</x:v>
      </x:c>
      <x:c r="I8" s="88" t="n">
        <x:f>SUMIFS('资产总表'!$W$5:$W$238,'资产总表'!$A$5:$A$238,H8)</x:f>
        <x:v>65</x:v>
      </x:c>
      <x:c r="J8" s="93" t="n">
        <x:f>COUNTIFS('资产总表'!$A$5:$A$238,H8,'资产总表'!$W$5:$W$238,0)</x:f>
        <x:v>0</x:v>
      </x:c>
      <x:c r="K8" s="92" t="n">
        <x:v>4</x:v>
      </x:c>
      <x:c r="L8" s="93" t="n">
        <x:f>'场次汇总'!$E$5</x:f>
        <x:v>12</x:v>
      </x:c>
    </x:row>
    <x:row r="9">
      <x:c r="A9" s="71" t="str">
        <x:v>登记项总数</x:v>
      </x:c>
      <x:c r="B9" s="72" t="n">
        <x:f>COUNTA('资产总表'!$F$5:$F$238)</x:f>
        <x:v>234</x:v>
      </x:c>
      <x:c r="D9" s="80" t="str">
        <x:v>场次覆盖</x:v>
      </x:c>
      <x:c r="E9" s="75" t="n">
        <x:v>15</x:v>
      </x:c>
      <x:c r="F9" s="81" t="str">
        <x:f>IF(COUNTA('场次汇总'!$A$2:$A$16)=E9,"通过","异常")</x:f>
        <x:v>通过</x:v>
      </x:c>
      <x:c r="H9" s="94" t="str">
        <x:v>声音资产</x:v>
      </x:c>
      <x:c r="I9" s="95" t="n">
        <x:f>SUMIFS('资产总表'!$W$5:$W$238,'资产总表'!$A$5:$A$238,H9)</x:f>
        <x:v>30</x:v>
      </x:c>
      <x:c r="J9" s="96" t="n">
        <x:f>COUNTIFS('资产总表'!$A$5:$A$238,H9,'资产总表'!$W$5:$W$238,0)</x:f>
        <x:v>0</x:v>
      </x:c>
      <x:c r="K9" s="92" t="n">
        <x:v>5</x:v>
      </x:c>
      <x:c r="L9" s="93" t="n">
        <x:f>'场次汇总'!$E$6</x:f>
        <x:v>62</x:v>
      </x:c>
    </x:row>
    <x:row r="10">
      <x:c r="A10" s="73" t="str">
        <x:v>映射镜头</x:v>
      </x:c>
      <x:c r="B10" s="74" t="n">
        <x:f>COUNTA('119镜映射'!$A$2:$A$120)</x:f>
        <x:v>119</x:v>
      </x:c>
      <x:c r="D10" s="82" t="str">
        <x:v>缺失／停用调用</x:v>
      </x:c>
      <x:c r="E10" s="83" t="n">
        <x:v>0</x:v>
      </x:c>
      <x:c r="F10" s="84" t="str">
        <x:v>通过</x:v>
      </x:c>
      <x:c r="K10" s="92" t="n">
        <x:v>6</x:v>
      </x:c>
      <x:c r="L10" s="93" t="n">
        <x:f>'场次汇总'!$E$7</x:f>
        <x:v>90</x:v>
      </x:c>
    </x:row>
    <x:row r="11">
      <x:c r="K11" s="92" t="n">
        <x:v>7</x:v>
      </x:c>
      <x:c r="L11" s="93" t="n">
        <x:f>'场次汇总'!$E$8</x:f>
        <x:v>65</x:v>
      </x:c>
    </x:row>
    <x:row r="12">
      <x:c r="K12" s="92" t="n">
        <x:v>8</x:v>
      </x:c>
      <x:c r="L12" s="93" t="n">
        <x:f>'场次汇总'!$E$9</x:f>
        <x:v>82</x:v>
      </x:c>
    </x:row>
    <x:row r="13">
      <x:c r="K13" s="92" t="n">
        <x:v>9</x:v>
      </x:c>
      <x:c r="L13" s="93" t="n">
        <x:f>'场次汇总'!$E$10</x:f>
        <x:v>65</x:v>
      </x:c>
    </x:row>
    <x:row r="14">
      <x:c r="K14" s="92" t="n">
        <x:v>10</x:v>
      </x:c>
      <x:c r="L14" s="93" t="n">
        <x:f>'场次汇总'!$E$11</x:f>
        <x:v>70</x:v>
      </x:c>
    </x:row>
    <x:row r="15">
      <x:c r="K15" s="92" t="n">
        <x:v>11</x:v>
      </x:c>
      <x:c r="L15" s="93" t="n">
        <x:f>'场次汇总'!$E$12</x:f>
        <x:v>85</x:v>
      </x:c>
    </x:row>
    <x:row r="16">
      <x:c r="K16" s="92" t="n">
        <x:v>12</x:v>
      </x:c>
      <x:c r="L16" s="93" t="n">
        <x:f>'场次汇总'!$E$13</x:f>
        <x:v>30</x:v>
      </x:c>
    </x:row>
    <x:row r="17">
      <x:c r="K17" s="92" t="n">
        <x:v>13</x:v>
      </x:c>
      <x:c r="L17" s="93" t="n">
        <x:f>'场次汇总'!$E$14</x:f>
        <x:v>60</x:v>
      </x:c>
    </x:row>
    <x:row r="18">
      <x:c r="K18" s="92" t="n">
        <x:v>14</x:v>
      </x:c>
      <x:c r="L18" s="93" t="n">
        <x:f>'场次汇总'!$E$15</x:f>
        <x:v>105</x:v>
      </x:c>
    </x:row>
    <x:row r="19">
      <x:c r="K19" s="94" t="n">
        <x:v>15</x:v>
      </x:c>
      <x:c r="L19" s="96" t="n">
        <x:f>'场次汇总'!$E$16</x:f>
        <x:v>114</x:v>
      </x:c>
    </x:row>
    <x:row r="31">
      <x:c r="A31" s="101" t="str">
        <x:v>阶段2B首批</x:v>
      </x:c>
      <x:c r="B31" s="102" t="str">
        <x:v>生产内容</x:v>
      </x:c>
      <x:c r="C31" s="102" t="str">
        <x:v>状态</x:v>
      </x:c>
      <x:c r="D31" s="102" t="str"/>
      <x:c r="E31" s="102" t="str"/>
      <x:c r="F31" s="103" t="str"/>
    </x:row>
    <x:row r="32">
      <x:c r="A32" s="104" t="str">
        <x:v>P13-02</x:v>
      </x:c>
      <x:c r="B32" s="100" t="str">
        <x:v>梦舟四状态与空间连续</x:v>
      </x:c>
      <x:c r="C32" s="100" t="str">
        <x:v>最高优先</x:v>
      </x:c>
      <x:c r="D32" s="100" t="str"/>
      <x:c r="E32" s="100" t="str"/>
      <x:c r="F32" s="105" t="str"/>
    </x:row>
    <x:row r="33">
      <x:c r="A33" s="104" t="str">
        <x:v>P13-03</x:v>
      </x:c>
      <x:c r="B33" s="100" t="str">
        <x:v>揽月构型与单人出舱动作链</x:v>
      </x:c>
      <x:c r="C33" s="100" t="str">
        <x:v>最高优先</x:v>
      </x:c>
      <x:c r="D33" s="100" t="str"/>
      <x:c r="E33" s="100" t="str"/>
      <x:c r="F33" s="105" t="str"/>
    </x:row>
    <x:row r="34">
      <x:c r="A34" s="104" t="str">
        <x:v>P13-04</x:v>
      </x:c>
      <x:c r="B34" s="100" t="str">
        <x:v>任务相机与遥测视觉重建</x:v>
      </x:c>
      <x:c r="C34" s="100" t="str">
        <x:v>最高优先</x:v>
      </x:c>
      <x:c r="D34" s="100" t="str"/>
      <x:c r="E34" s="100" t="str"/>
      <x:c r="F34" s="105" t="str"/>
    </x:row>
    <x:row r="35">
      <x:c r="A35" s="104" t="str">
        <x:v>P13-05</x:v>
      </x:c>
      <x:c r="B35" s="100" t="str">
        <x:v>月面相机、宇航服相机与月球车相机</x:v>
      </x:c>
      <x:c r="C35" s="100" t="str">
        <x:v>最高优先</x:v>
      </x:c>
      <x:c r="D35" s="100" t="str"/>
      <x:c r="E35" s="100" t="str"/>
      <x:c r="F35" s="105" t="str"/>
    </x:row>
    <x:row r="36">
      <x:c r="A36" s="106" t="str">
        <x:v>原则</x:v>
      </x:c>
      <x:c r="B36" s="107" t="str">
        <x:v>所见即所得；先母图后多视角；无配乐；月面外部静音</x:v>
      </x:c>
      <x:c r="C36" s="107" t="str">
        <x:v>锁定</x:v>
      </x:c>
      <x:c r="D36" s="107" t="str"/>
      <x:c r="E36" s="107" t="str"/>
      <x:c r="F36" s="108" t="str"/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45e9c6b4bfbe473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7" hidden="0" customWidth="1"/>
    <x:col min="4" max="4" width="18" hidden="0" customWidth="1"/>
    <x:col min="5" max="5" width="32" hidden="0" customWidth="1"/>
    <x:col min="6" max="6" width="44" hidden="0" customWidth="1"/>
    <x:col min="7" max="7" width="44" hidden="0" customWidth="1"/>
    <x:col min="8" max="8" width="18" hidden="0" customWidth="1"/>
    <x:col min="9" max="9" width="12" hidden="0" customWidth="1"/>
    <x:col min="10" max="10" width="9" hidden="0" customWidth="1"/>
    <x:col min="11" max="11" width="24" hidden="0" customWidth="1"/>
    <x:col min="12" max="12" width="27" hidden="0" customWidth="1"/>
    <x:col min="13" max="13" width="42" hidden="0" customWidth="1"/>
    <x:col min="14" max="14" width="44" hidden="0" customWidth="1"/>
    <x:col min="15" max="15" width="36" hidden="0" customWidth="1"/>
    <x:col min="16" max="16" width="30" hidden="0" customWidth="1"/>
    <x:col min="17" max="17" width="28" hidden="0" customWidth="1"/>
    <x:col min="18" max="18" width="44" hidden="0" customWidth="1"/>
    <x:col min="19" max="19" width="24" hidden="0" customWidth="1"/>
    <x:col min="20" max="20" width="31" hidden="0" customWidth="1"/>
    <x:col min="21" max="21" width="25" hidden="0" customWidth="1"/>
    <x:col min="22" max="22" width="38" hidden="0" customWidth="1"/>
    <x:col min="23" max="23" width="10" hidden="0" customWidth="1"/>
    <x:col min="24" max="24" width="10" hidden="0" customWidth="1"/>
  </x:cols>
  <x:sheetData>
    <x:row r="1" ht="38" customHeight="1">
      <x:c r="A1" s="3" t="str">
        <x:v>《奔月》V1.3.1｜资产总表（分类层级版）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30" customHeight="1">
      <x:c r="A2" s="7" t="str">
        <x:v>正式基础资产176项；场景母图／多视角登记58项；登记项共234项。视图登记不改变176项基础资产口径。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</x:row>
    <x:row r="4" ht="34" customHeight="1">
      <x:c r="A4" s="18" t="str">
        <x:v>资产大类</x:v>
      </x:c>
      <x:c r="B4" s="19" t="str">
        <x:v>分类序号</x:v>
      </x:c>
      <x:c r="C4" s="19" t="str">
        <x:v>层级</x:v>
      </x:c>
      <x:c r="D4" s="19" t="str">
        <x:v>登记项类型</x:v>
      </x:c>
      <x:c r="E4" s="19" t="str">
        <x:v>显示名称</x:v>
      </x:c>
      <x:c r="F4" s="19" t="str">
        <x:v>生产资产ID</x:v>
      </x:c>
      <x:c r="G4" s="19" t="str">
        <x:v>父资产ID</x:v>
      </x:c>
      <x:c r="H4" s="19" t="str">
        <x:v>视图代码</x:v>
      </x:c>
      <x:c r="I4" s="19" t="str">
        <x:v>资产类型</x:v>
      </x:c>
      <x:c r="J4" s="19" t="str">
        <x:v>资产级别</x:v>
      </x:c>
      <x:c r="K4" s="19" t="str">
        <x:v>剧本出处</x:v>
      </x:c>
      <x:c r="L4" s="19" t="str">
        <x:v>关联场次或段落</x:v>
      </x:c>
      <x:c r="M4" s="19" t="str">
        <x:v>基础描述</x:v>
      </x:c>
      <x:c r="N4" s="19" t="str">
        <x:v>补全设计信息</x:v>
      </x:c>
      <x:c r="O4" s="19" t="str">
        <x:v>状态变体</x:v>
      </x:c>
      <x:c r="P4" s="19" t="str">
        <x:v>材质结构或声音特点</x:v>
      </x:c>
      <x:c r="Q4" s="19" t="str">
        <x:v>光影或环境要求</x:v>
      </x:c>
      <x:c r="R4" s="19" t="str">
        <x:v>使用或生成需求</x:v>
      </x:c>
      <x:c r="S4" s="19" t="str">
        <x:v>可复用范围</x:v>
      </x:c>
      <x:c r="T4" s="19" t="str">
        <x:v>信息来源</x:v>
      </x:c>
      <x:c r="U4" s="19" t="str">
        <x:v>确认状态</x:v>
      </x:c>
      <x:c r="V4" s="19" t="str">
        <x:v>阶段2处理建议</x:v>
      </x:c>
      <x:c r="W4" s="19" t="str">
        <x:v>基础资产标记</x:v>
      </x:c>
      <x:c r="X4" s="20" t="str">
        <x:v>有效标记</x:v>
      </x:c>
    </x:row>
    <x:row r="5" ht="44" customHeight="1">
      <x:c r="A5" s="50" t="str">
        <x:v>人物资产</x:v>
      </x:c>
      <x:c r="B5" s="50" t="n">
        <x:v>1</x:v>
      </x:c>
      <x:c r="C5" s="50" t="n">
        <x:v>1</x:v>
      </x:c>
      <x:c r="D5" s="50" t="str">
        <x:v>人物母资产</x:v>
      </x:c>
      <x:c r="E5" s="36" t="str">
        <x:v>杨凛</x:v>
      </x:c>
      <x:c r="F5" s="36" t="str">
        <x:v>BY-CHR-P0-001-杨凛</x:v>
      </x:c>
      <x:c r="G5" s="36" t="str"/>
      <x:c r="H5" s="50" t="str"/>
      <x:c r="I5" s="50" t="str">
        <x:v>CHR</x:v>
      </x:c>
      <x:c r="J5" s="50" t="str">
        <x:v>P0</x:v>
      </x:c>
      <x:c r="K5" s="36" t="str">
        <x:v>V1.2逐镜映射见data/阶段1_114镜资产调用映射_V1.2.csv</x:v>
      </x:c>
      <x:c r="L5" s="36" t="str">
        <x:v>场1,2,3,4,5,6,7,8,9,10,12,13,16；镜005,009,015,016,023,029,032,036,040,043,044,046,047,048,049,051,052,054,057,059,060,064,066,067,069,070,071,073,082,086,090,094,112</x:v>
      </x:c>
      <x:c r="M5" s="36" t="str">
        <x:v>乘组指令长，首次出舱与月面任务核心人物</x:v>
      </x:c>
      <x:c r="N5" s="36" t="str">
        <x:v>建议38-45岁，精干体型，决策型气质，不绑定现实航天员脸</x:v>
      </x:c>
      <x:c r="O5" s="36" t="str">
        <x:v>舱内飞行;望宇登月服;月尘状态</x:v>
      </x:c>
      <x:c r="P5" s="36" t="str">
        <x:v>稳定骨相、低幅度表情、指令感</x:v>
      </x:c>
      <x:c r="Q5" s="36" t="str">
        <x:v>继承各场实际光源</x:v>
      </x:c>
      <x:c r="R5" s="36" t="str">
        <x:v>剧照验证图、基础多视图、服装继承</x:v>
      </x:c>
      <x:c r="S5" s="36" t="str">
        <x:v>全片</x:v>
      </x:c>
      <x:c r="T5" s="36" t="str">
        <x:v>剧本明确;创作者建议</x:v>
      </x:c>
      <x:c r="U5" s="36" t="str">
        <x:v>已确认</x:v>
      </x:c>
      <x:c r="V5" s="36" t="str">
        <x:v>阶段2A首批人物测试</x:v>
      </x:c>
      <x:c r="W5" s="50" t="n">
        <x:f>IF(OR(D5="场景母图",D5="场景多视角"),0,1)</x:f>
        <x:v>1</x:v>
      </x:c>
      <x:c r="X5" s="50" t="n">
        <x:f>IF(LEFT(U5,2)="历史",0,1)</x:f>
        <x:v>1</x:v>
      </x:c>
    </x:row>
    <x:row r="6" ht="40" customHeight="1">
      <x:c r="A6" s="51" t="str">
        <x:v>人物资产</x:v>
      </x:c>
      <x:c r="B6" s="51" t="n">
        <x:v>2</x:v>
      </x:c>
      <x:c r="C6" s="51" t="n">
        <x:v>2</x:v>
      </x:c>
      <x:c r="D6" s="51" t="str">
        <x:v>服装子资产</x:v>
      </x:c>
      <x:c r="E6" s="37" t="str">
        <x:v>↳ 杨凛舱内飞行服</x:v>
      </x:c>
      <x:c r="F6" s="37" t="str">
        <x:v>BY-CST-P0-001-杨凛舱内飞行服</x:v>
      </x:c>
      <x:c r="G6" s="37" t="str">
        <x:v>BY-CHR-P0-001-杨凛</x:v>
      </x:c>
      <x:c r="H6" s="51" t="str"/>
      <x:c r="I6" s="51" t="str">
        <x:v>CST</x:v>
      </x:c>
      <x:c r="J6" s="51" t="str">
        <x:v>P0</x:v>
      </x:c>
      <x:c r="K6" s="37" t="str">
        <x:v>V1.2逐镜映射见data/阶段1_114镜资产调用映射_V1.2.csv</x:v>
      </x:c>
      <x:c r="L6" s="37" t="str">
        <x:v>场1,2,3,4,5,6,7,12,13,16；镜005,009,015,016,023,029,032,036,040,043,082,086,090,094,112</x:v>
      </x:c>
      <x:c r="M6" s="37" t="str">
        <x:v>未来中国载人舱内飞行服</x:v>
      </x:c>
      <x:c r="N6" s="37" t="str">
        <x:v>适配梦舟与揽月座椅、约束带和操作区</x:v>
      </x:c>
      <x:c r="O6" s="37" t="str">
        <x:v>头盔开启;头盔关闭;座椅约束</x:v>
      </x:c>
      <x:c r="P6" s="37" t="str">
        <x:v>功能织物、接口、低反光结构</x:v>
      </x:c>
      <x:c r="Q6" s="37" t="str">
        <x:v>舱内实用光</x:v>
      </x:c>
      <x:c r="R6" s="37" t="str">
        <x:v>人物服装基础资产</x:v>
      </x:c>
      <x:c r="S6" s="37" t="str">
        <x:v>全片舱内</x:v>
      </x:c>
      <x:c r="T6" s="37" t="str">
        <x:v>剧本明确;创作者建议</x:v>
      </x:c>
      <x:c r="U6" s="37" t="str">
        <x:v>已确认</x:v>
      </x:c>
      <x:c r="V6" s="37" t="str">
        <x:v>随杨凛基础人物制作</x:v>
      </x:c>
      <x:c r="W6" s="51" t="n">
        <x:f>IF(OR(D6="场景母图",D6="场景多视角"),0,1)</x:f>
        <x:v>1</x:v>
      </x:c>
      <x:c r="X6" s="51" t="n">
        <x:f>IF(LEFT(U6,2)="历史",0,1)</x:f>
        <x:v>1</x:v>
      </x:c>
    </x:row>
    <x:row r="7" ht="40" customHeight="1">
      <x:c r="A7" s="51" t="str">
        <x:v>人物资产</x:v>
      </x:c>
      <x:c r="B7" s="51" t="n">
        <x:v>3</x:v>
      </x:c>
      <x:c r="C7" s="51" t="n">
        <x:v>2</x:v>
      </x:c>
      <x:c r="D7" s="51" t="str">
        <x:v>服装子资产</x:v>
      </x:c>
      <x:c r="E7" s="37" t="str">
        <x:v>↳ 杨凛望宇登月服</x:v>
      </x:c>
      <x:c r="F7" s="37" t="str">
        <x:v>BY-CST-P0-004-杨凛望宇登月服</x:v>
      </x:c>
      <x:c r="G7" s="37" t="str">
        <x:v>BY-CHR-P0-001-杨凛</x:v>
      </x:c>
      <x:c r="H7" s="51" t="str"/>
      <x:c r="I7" s="51" t="str">
        <x:v>CST</x:v>
      </x:c>
      <x:c r="J7" s="51" t="str">
        <x:v>P0</x:v>
      </x:c>
      <x:c r="K7" s="37" t="str">
        <x:v>V1.2逐镜映射见data/阶段1_114镜资产调用映射_V1.2.csv</x:v>
      </x:c>
      <x:c r="L7" s="37" t="str">
        <x:v>场7,8,9,10；镜044,046,047,048,049,051,052,054,057,059,060,064,066,067,069,070,071,073</x:v>
      </x:c>
      <x:c r="M7" s="37" t="str">
        <x:v>杨凛月面活动登月服</x:v>
      </x:c>
      <x:c r="N7" s="37" t="str">
        <x:v>继承公开望宇方向并按功能补全，保持杨凛体型与岗位标识</x:v>
      </x:c>
      <x:c r="O7" s="37" t="str">
        <x:v>清洁基础;轻度月尘</x:v>
      </x:c>
      <x:c r="P7" s="37" t="str">
        <x:v>多层功能材料、头盔面窗、生命保障结构</x:v>
      </x:c>
      <x:c r="Q7" s="37" t="str">
        <x:v>月面固定太阳光</x:v>
      </x:c>
      <x:c r="R7" s="37" t="str">
        <x:v>基础多视图、动作关节与舷梯尺度测试</x:v>
      </x:c>
      <x:c r="S7" s="37" t="str">
        <x:v>06-10</x:v>
      </x:c>
      <x:c r="T7" s="37" t="str">
        <x:v>项目锁定;公开资料;创作者建议</x:v>
      </x:c>
      <x:c r="U7" s="37" t="str">
        <x:v>已确认</x:v>
      </x:c>
      <x:c r="V7" s="37" t="str">
        <x:v>月面人物状态包</x:v>
      </x:c>
      <x:c r="W7" s="51" t="n">
        <x:f>IF(OR(D7="场景母图",D7="场景多视角"),0,1)</x:f>
        <x:v>1</x:v>
      </x:c>
      <x:c r="X7" s="51" t="n">
        <x:f>IF(LEFT(U7,2)="历史",0,1)</x:f>
        <x:v>1</x:v>
      </x:c>
    </x:row>
    <x:row r="8" ht="40" customHeight="1">
      <x:c r="A8" s="51" t="str">
        <x:v>人物资产</x:v>
      </x:c>
      <x:c r="B8" s="51" t="n">
        <x:v>4</x:v>
      </x:c>
      <x:c r="C8" s="51" t="n">
        <x:v>2</x:v>
      </x:c>
      <x:c r="D8" s="51" t="str">
        <x:v>服装子资产</x:v>
      </x:c>
      <x:c r="E8" s="37" t="str">
        <x:v>↳ 杨凛登月服轻度月尘状态</x:v>
      </x:c>
      <x:c r="F8" s="37" t="str">
        <x:v>BY-CST-P1-001-杨凛登月服轻度月尘状态</x:v>
      </x:c>
      <x:c r="G8" s="37" t="str">
        <x:v>BY-CHR-P0-001-杨凛</x:v>
      </x:c>
      <x:c r="H8" s="51" t="str"/>
      <x:c r="I8" s="51" t="str">
        <x:v>CST</x:v>
      </x:c>
      <x:c r="J8" s="51" t="str">
        <x:v>P1</x:v>
      </x:c>
      <x:c r="K8" s="37" t="str">
        <x:v>V1.2逐镜映射见data/阶段1_114镜资产调用映射_V1.2.csv</x:v>
      </x:c>
      <x:c r="L8" s="37" t="str">
        <x:v>场13；镜090,091,094</x:v>
      </x:c>
      <x:c r="M8" s="37" t="str">
        <x:v>EVA后真实月尘附着</x:v>
      </x:c>
      <x:c r="N8" s="37" t="str">
        <x:v>靴底、小腿、手套和局部关节合理附着</x:v>
      </x:c>
      <x:c r="O8" s="37" t="str">
        <x:v>轻度月尘</x:v>
      </x:c>
      <x:c r="P8" s="37" t="str">
        <x:v>干燥细颗粒、无湿泥感</x:v>
      </x:c>
      <x:c r="Q8" s="37" t="str">
        <x:v>继承月面太阳光</x:v>
      </x:c>
      <x:c r="R8" s="37" t="str">
        <x:v>基于确认登月服制作状态变体</x:v>
      </x:c>
      <x:c r="S8" s="37" t="str">
        <x:v>09-10</x:v>
      </x:c>
      <x:c r="T8" s="37" t="str">
        <x:v>剧本明确;合理推断</x:v>
      </x:c>
      <x:c r="U8" s="37" t="str">
        <x:v>已确认采用</x:v>
      </x:c>
      <x:c r="V8" s="37" t="str">
        <x:v>基础登月服确认后制作</x:v>
      </x:c>
      <x:c r="W8" s="51" t="n">
        <x:f>IF(OR(D8="场景母图",D8="场景多视角"),0,1)</x:f>
        <x:v>1</x:v>
      </x:c>
      <x:c r="X8" s="51" t="n">
        <x:f>IF(LEFT(U8,2)="历史",0,1)</x:f>
        <x:v>1</x:v>
      </x:c>
    </x:row>
    <x:row r="9" ht="44" customHeight="1">
      <x:c r="A9" s="50" t="str">
        <x:v>人物资产</x:v>
      </x:c>
      <x:c r="B9" s="50" t="n">
        <x:v>5</x:v>
      </x:c>
      <x:c r="C9" s="50" t="n">
        <x:v>1</x:v>
      </x:c>
      <x:c r="D9" s="50" t="str">
        <x:v>人物母资产</x:v>
      </x:c>
      <x:c r="E9" s="36" t="str">
        <x:v>陈砚</x:v>
      </x:c>
      <x:c r="F9" s="36" t="str">
        <x:v>BY-CHR-P0-002-陈砚</x:v>
      </x:c>
      <x:c r="G9" s="36" t="str"/>
      <x:c r="H9" s="50" t="str"/>
      <x:c r="I9" s="50" t="str">
        <x:v>CHR</x:v>
      </x:c>
      <x:c r="J9" s="50" t="str">
        <x:v>P0</x:v>
      </x:c>
      <x:c r="K9" s="36" t="str">
        <x:v>V1.2逐镜映射见data/阶段1_114镜资产调用映射_V1.2.csv</x:v>
      </x:c>
      <x:c r="L9" s="36" t="str">
        <x:v>场1,2,3,4,5,6,7,8,9,10,12,13；镜005,009,014,015,016,023,029,036,040,043,044,046,048,052,054,057,059,060,062,064,066,067,068,069,070,071,073,082,090</x:v>
      </x:c>
      <x:c r="M9" s="36" t="str">
        <x:v>月面任务工程师，负责装备、采样与科学任务</x:v>
      </x:c>
      <x:c r="N9" s="36" t="str">
        <x:v>建议32-40岁，精干灵活，操作型气质，不绑定现实航天员脸</x:v>
      </x:c>
      <x:c r="O9" s="36" t="str">
        <x:v>舱内飞行;望宇登月服;月尘状态</x:v>
      </x:c>
      <x:c r="P9" s="36" t="str">
        <x:v>敏锐眼神、手部操作明确</x:v>
      </x:c>
      <x:c r="Q9" s="36" t="str">
        <x:v>继承各场实际光源</x:v>
      </x:c>
      <x:c r="R9" s="36" t="str">
        <x:v>剧照验证图、基础多视图、服装继承</x:v>
      </x:c>
      <x:c r="S9" s="36" t="str">
        <x:v>全片</x:v>
      </x:c>
      <x:c r="T9" s="36" t="str">
        <x:v>剧本明确;创作者建议</x:v>
      </x:c>
      <x:c r="U9" s="36" t="str">
        <x:v>已确认</x:v>
      </x:c>
      <x:c r="V9" s="36" t="str">
        <x:v>阶段2A／2B首批</x:v>
      </x:c>
      <x:c r="W9" s="50" t="n">
        <x:f>IF(OR(D9="场景母图",D9="场景多视角"),0,1)</x:f>
        <x:v>1</x:v>
      </x:c>
      <x:c r="X9" s="50" t="n">
        <x:f>IF(LEFT(U9,2)="历史",0,1)</x:f>
        <x:v>1</x:v>
      </x:c>
    </x:row>
    <x:row r="10" ht="40" customHeight="1">
      <x:c r="A10" s="51" t="str">
        <x:v>人物资产</x:v>
      </x:c>
      <x:c r="B10" s="51" t="n">
        <x:v>6</x:v>
      </x:c>
      <x:c r="C10" s="51" t="n">
        <x:v>2</x:v>
      </x:c>
      <x:c r="D10" s="51" t="str">
        <x:v>服装子资产</x:v>
      </x:c>
      <x:c r="E10" s="37" t="str">
        <x:v>↳ 陈砚舱内飞行服</x:v>
      </x:c>
      <x:c r="F10" s="37" t="str">
        <x:v>BY-CST-P0-002-陈砚舱内飞行服</x:v>
      </x:c>
      <x:c r="G10" s="37" t="str">
        <x:v>BY-CHR-P0-002-陈砚</x:v>
      </x:c>
      <x:c r="H10" s="51" t="str"/>
      <x:c r="I10" s="51" t="str">
        <x:v>CST</x:v>
      </x:c>
      <x:c r="J10" s="51" t="str">
        <x:v>P0</x:v>
      </x:c>
      <x:c r="K10" s="37" t="str">
        <x:v>V1.2逐镜映射见data/阶段1_114镜资产调用映射_V1.2.csv</x:v>
      </x:c>
      <x:c r="L10" s="37" t="str">
        <x:v>场1,2,3,4,5,6,7,12,13；镜005,009,014,015,016,023,029,036,040,043,082,090</x:v>
      </x:c>
      <x:c r="M10" s="37" t="str">
        <x:v>与杨凛同体系的舱内飞行服</x:v>
      </x:c>
      <x:c r="N10" s="37" t="str">
        <x:v>尺寸和岗位细节可区分</x:v>
      </x:c>
      <x:c r="O10" s="37" t="str">
        <x:v>头盔开启;头盔关闭;座椅约束</x:v>
      </x:c>
      <x:c r="P10" s="37" t="str">
        <x:v>功能织物、接口、低反光结构</x:v>
      </x:c>
      <x:c r="Q10" s="37" t="str">
        <x:v>舱内实用光</x:v>
      </x:c>
      <x:c r="R10" s="37" t="str">
        <x:v>人物服装基础资产</x:v>
      </x:c>
      <x:c r="S10" s="37" t="str">
        <x:v>全片舱内</x:v>
      </x:c>
      <x:c r="T10" s="37" t="str">
        <x:v>剧本明确;创作者建议</x:v>
      </x:c>
      <x:c r="U10" s="37" t="str">
        <x:v>已确认</x:v>
      </x:c>
      <x:c r="V10" s="37" t="str">
        <x:v>随陈砚基础人物制作</x:v>
      </x:c>
      <x:c r="W10" s="51" t="n">
        <x:f>IF(OR(D10="场景母图",D10="场景多视角"),0,1)</x:f>
        <x:v>1</x:v>
      </x:c>
      <x:c r="X10" s="51" t="n">
        <x:f>IF(LEFT(U10,2)="历史",0,1)</x:f>
        <x:v>1</x:v>
      </x:c>
    </x:row>
    <x:row r="11" ht="40" customHeight="1">
      <x:c r="A11" s="51" t="str">
        <x:v>人物资产</x:v>
      </x:c>
      <x:c r="B11" s="51" t="n">
        <x:v>7</x:v>
      </x:c>
      <x:c r="C11" s="51" t="n">
        <x:v>2</x:v>
      </x:c>
      <x:c r="D11" s="51" t="str">
        <x:v>服装子资产</x:v>
      </x:c>
      <x:c r="E11" s="37" t="str">
        <x:v>↳ 陈砚望宇登月服</x:v>
      </x:c>
      <x:c r="F11" s="37" t="str">
        <x:v>BY-CST-P0-005-陈砚望宇登月服</x:v>
      </x:c>
      <x:c r="G11" s="37" t="str">
        <x:v>BY-CHR-P0-002-陈砚</x:v>
      </x:c>
      <x:c r="H11" s="51" t="str"/>
      <x:c r="I11" s="51" t="str">
        <x:v>CST</x:v>
      </x:c>
      <x:c r="J11" s="51" t="str">
        <x:v>P0</x:v>
      </x:c>
      <x:c r="K11" s="37" t="str">
        <x:v>V1.2逐镜映射见data/阶段1_114镜资产调用映射_V1.2.csv</x:v>
      </x:c>
      <x:c r="L11" s="37" t="str">
        <x:v>场7,8,9,10；镜044,046,048,052,054,057,059,060,062,064,066,067,068,069,070,071,073</x:v>
      </x:c>
      <x:c r="M11" s="37" t="str">
        <x:v>陈砚月面活动登月服</x:v>
      </x:c>
      <x:c r="N11" s="37" t="str">
        <x:v>与杨凛同体系，建立可识别岗位差异</x:v>
      </x:c>
      <x:c r="O11" s="37" t="str">
        <x:v>清洁基础;轻度月尘</x:v>
      </x:c>
      <x:c r="P11" s="37" t="str">
        <x:v>多层功能材料、头盔面窗、生命保障结构</x:v>
      </x:c>
      <x:c r="Q11" s="37" t="str">
        <x:v>月面固定太阳光</x:v>
      </x:c>
      <x:c r="R11" s="37" t="str">
        <x:v>基础多视图、工具操作与月球车乘坐测试</x:v>
      </x:c>
      <x:c r="S11" s="37" t="str">
        <x:v>06-10</x:v>
      </x:c>
      <x:c r="T11" s="37" t="str">
        <x:v>项目锁定;公开资料;创作者建议</x:v>
      </x:c>
      <x:c r="U11" s="37" t="str">
        <x:v>已确认</x:v>
      </x:c>
      <x:c r="V11" s="37" t="str">
        <x:v>月面人物状态包</x:v>
      </x:c>
      <x:c r="W11" s="51" t="n">
        <x:f>IF(OR(D11="场景母图",D11="场景多视角"),0,1)</x:f>
        <x:v>1</x:v>
      </x:c>
      <x:c r="X11" s="51" t="n">
        <x:f>IF(LEFT(U11,2)="历史",0,1)</x:f>
        <x:v>1</x:v>
      </x:c>
    </x:row>
    <x:row r="12" ht="40" customHeight="1">
      <x:c r="A12" s="51" t="str">
        <x:v>人物资产</x:v>
      </x:c>
      <x:c r="B12" s="51" t="n">
        <x:v>8</x:v>
      </x:c>
      <x:c r="C12" s="51" t="n">
        <x:v>2</x:v>
      </x:c>
      <x:c r="D12" s="51" t="str">
        <x:v>服装子资产</x:v>
      </x:c>
      <x:c r="E12" s="37" t="str">
        <x:v>↳ 陈砚登月服轻度月尘状态</x:v>
      </x:c>
      <x:c r="F12" s="37" t="str">
        <x:v>BY-CST-P1-002-陈砚登月服轻度月尘状态</x:v>
      </x:c>
      <x:c r="G12" s="37" t="str">
        <x:v>BY-CHR-P0-002-陈砚</x:v>
      </x:c>
      <x:c r="H12" s="51" t="str"/>
      <x:c r="I12" s="51" t="str">
        <x:v>CST</x:v>
      </x:c>
      <x:c r="J12" s="51" t="str">
        <x:v>P1</x:v>
      </x:c>
      <x:c r="K12" s="37" t="str">
        <x:v>V1.2逐镜映射见data/阶段1_114镜资产调用映射_V1.2.csv</x:v>
      </x:c>
      <x:c r="L12" s="37" t="str">
        <x:v>场13；镜090,091,094</x:v>
      </x:c>
      <x:c r="M12" s="37" t="str">
        <x:v>EVA后月尘附着，工具接触区更明显</x:v>
      </x:c>
      <x:c r="N12" s="37" t="str">
        <x:v>保持所有接口和人物体型</x:v>
      </x:c>
      <x:c r="O12" s="37" t="str">
        <x:v>轻度月尘</x:v>
      </x:c>
      <x:c r="P12" s="37" t="str">
        <x:v>干燥细颗粒、无湿泥感</x:v>
      </x:c>
      <x:c r="Q12" s="37" t="str">
        <x:v>继承月面太阳光</x:v>
      </x:c>
      <x:c r="R12" s="37" t="str">
        <x:v>基于确认登月服制作状态变体</x:v>
      </x:c>
      <x:c r="S12" s="37" t="str">
        <x:v>09-10</x:v>
      </x:c>
      <x:c r="T12" s="37" t="str">
        <x:v>剧本明确;合理推断</x:v>
      </x:c>
      <x:c r="U12" s="37" t="str">
        <x:v>已确认采用</x:v>
      </x:c>
      <x:c r="V12" s="37" t="str">
        <x:v>基础登月服确认后制作</x:v>
      </x:c>
      <x:c r="W12" s="51" t="n">
        <x:f>IF(OR(D12="场景母图",D12="场景多视角"),0,1)</x:f>
        <x:v>1</x:v>
      </x:c>
      <x:c r="X12" s="51" t="n">
        <x:f>IF(LEFT(U12,2)="历史",0,1)</x:f>
        <x:v>1</x:v>
      </x:c>
    </x:row>
    <x:row r="13" ht="44" customHeight="1">
      <x:c r="A13" s="50" t="str">
        <x:v>人物资产</x:v>
      </x:c>
      <x:c r="B13" s="50" t="n">
        <x:v>9</x:v>
      </x:c>
      <x:c r="C13" s="50" t="n">
        <x:v>1</x:v>
      </x:c>
      <x:c r="D13" s="50" t="str">
        <x:v>人物母资产</x:v>
      </x:c>
      <x:c r="E13" s="36" t="str">
        <x:v>刘定槎</x:v>
      </x:c>
      <x:c r="F13" s="36" t="str">
        <x:v>BY-CHR-P0-003-刘定槎</x:v>
      </x:c>
      <x:c r="G13" s="36" t="str"/>
      <x:c r="H13" s="50" t="str"/>
      <x:c r="I13" s="50" t="str">
        <x:v>CHR</x:v>
      </x:c>
      <x:c r="J13" s="50" t="str">
        <x:v>P0</x:v>
      </x:c>
      <x:c r="K13" s="36" t="str">
        <x:v>V1.2逐镜映射见data/阶段1_114镜资产调用映射_V1.2.csv</x:v>
      </x:c>
      <x:c r="L13" s="36" t="str">
        <x:v>场1,2,3,9,11,12,13,14,15；镜004,007,013,015,016,018,063,079,081,086,090,094,100,101,103,106</x:v>
      </x:c>
      <x:c r="M13" s="36" t="str">
        <x:v>梦舟飞行工程师，留轨与返程视觉锚点</x:v>
      </x:c>
      <x:c r="N13" s="36" t="str">
        <x:v>建议35-43岁，克制内收，不表现被动留守</x:v>
      </x:c>
      <x:c r="O13" s="36" t="str">
        <x:v>发射;独处巡航;对接;返程</x:v>
      </x:c>
      <x:c r="P13" s="36" t="str">
        <x:v>中低温润、耐心稳定的视觉气质</x:v>
      </x:c>
      <x:c r="Q13" s="36" t="str">
        <x:v>梦舟舱内任务光</x:v>
      </x:c>
      <x:c r="R13" s="36" t="str">
        <x:v>剧照验证图、基础多视图、空座椅关系图</x:v>
      </x:c>
      <x:c r="S13" s="36" t="str">
        <x:v>全片</x:v>
      </x:c>
      <x:c r="T13" s="36" t="str">
        <x:v>剧本明确;创作者建议</x:v>
      </x:c>
      <x:c r="U13" s="36" t="str">
        <x:v>已确认</x:v>
      </x:c>
      <x:c r="V13" s="36" t="str">
        <x:v>阶段2A／2B首批</x:v>
      </x:c>
      <x:c r="W13" s="50" t="n">
        <x:f>IF(OR(D13="场景母图",D13="场景多视角"),0,1)</x:f>
        <x:v>1</x:v>
      </x:c>
      <x:c r="X13" s="50" t="n">
        <x:f>IF(LEFT(U13,2)="历史",0,1)</x:f>
        <x:v>1</x:v>
      </x:c>
    </x:row>
    <x:row r="14" ht="40" customHeight="1">
      <x:c r="A14" s="51" t="str">
        <x:v>人物资产</x:v>
      </x:c>
      <x:c r="B14" s="51" t="n">
        <x:v>10</x:v>
      </x:c>
      <x:c r="C14" s="51" t="n">
        <x:v>2</x:v>
      </x:c>
      <x:c r="D14" s="51" t="str">
        <x:v>服装子资产</x:v>
      </x:c>
      <x:c r="E14" s="37" t="str">
        <x:v>↳ 刘定槎舱内飞行服</x:v>
      </x:c>
      <x:c r="F14" s="37" t="str">
        <x:v>BY-CST-P0-003-刘定槎舱内飞行服</x:v>
      </x:c>
      <x:c r="G14" s="37" t="str">
        <x:v>BY-CHR-P0-003-刘定槎</x:v>
      </x:c>
      <x:c r="H14" s="51" t="str"/>
      <x:c r="I14" s="51" t="str">
        <x:v>CST</x:v>
      </x:c>
      <x:c r="J14" s="51" t="str">
        <x:v>P0</x:v>
      </x:c>
      <x:c r="K14" s="37" t="str">
        <x:v>V1.2逐镜映射见data/阶段1_114镜资产调用映射_V1.2.csv</x:v>
      </x:c>
      <x:c r="L14" s="37" t="str">
        <x:v>场1,2,3,9,11,12,13,14,15；镜004,007,013,015,016,018,063,079,081,086,090,094,100,101,103,106</x:v>
      </x:c>
      <x:c r="M14" s="37" t="str">
        <x:v>梦舟舱内飞行服</x:v>
      </x:c>
      <x:c r="N14" s="37" t="str">
        <x:v>适配独处巡航、交会与返程</x:v>
      </x:c>
      <x:c r="O14" s="37" t="str">
        <x:v>发射;巡航;对接;返程</x:v>
      </x:c>
      <x:c r="P14" s="37" t="str">
        <x:v>功能织物、接口、低反光结构</x:v>
      </x:c>
      <x:c r="Q14" s="37" t="str">
        <x:v>梦舟舱内任务光</x:v>
      </x:c>
      <x:c r="R14" s="37" t="str">
        <x:v>人物服装基础资产</x:v>
      </x:c>
      <x:c r="S14" s="37" t="str">
        <x:v>全片梦舟舱内</x:v>
      </x:c>
      <x:c r="T14" s="37" t="str">
        <x:v>剧本明确;创作者建议</x:v>
      </x:c>
      <x:c r="U14" s="37" t="str">
        <x:v>已确认</x:v>
      </x:c>
      <x:c r="V14" s="37" t="str">
        <x:v>随刘定槎基础人物制作</x:v>
      </x:c>
      <x:c r="W14" s="51" t="n">
        <x:f>IF(OR(D14="场景母图",D14="场景多视角"),0,1)</x:f>
        <x:v>1</x:v>
      </x:c>
      <x:c r="X14" s="51" t="n">
        <x:f>IF(LEFT(U14,2)="历史",0,1)</x:f>
        <x:v>1</x:v>
      </x:c>
    </x:row>
    <x:row r="15" ht="44" customHeight="1">
      <x:c r="A15" s="52" t="str">
        <x:v>人物资产</x:v>
      </x:c>
      <x:c r="B15" s="52" t="n">
        <x:v>11</x:v>
      </x:c>
      <x:c r="C15" s="52" t="n">
        <x:v>1</x:v>
      </x:c>
      <x:c r="D15" s="52" t="str">
        <x:v>人物母资产</x:v>
      </x:c>
      <x:c r="E15" s="41" t="str">
        <x:v>周明远</x:v>
      </x:c>
      <x:c r="F15" s="41" t="str">
        <x:v>BY-CHR-P1-001-周明远</x:v>
      </x:c>
      <x:c r="G15" s="41" t="str"/>
      <x:c r="H15" s="52" t="str"/>
      <x:c r="I15" s="52" t="str">
        <x:v>CHR</x:v>
      </x:c>
      <x:c r="J15" s="52" t="str">
        <x:v>P1</x:v>
      </x:c>
      <x:c r="K15" s="41" t="str">
        <x:v>主要人物与岗位；01-02场</x:v>
      </x:c>
      <x:c r="L15" s="41" t="str">
        <x:v>历史V1.1</x:v>
      </x:c>
      <x:c r="M15" s="41" t="str">
        <x:v>未来特别报道新闻主播</x:v>
      </x:c>
      <x:c r="N15" s="41" t="str">
        <x:v>建议38-48岁，权威克制，不绑定现实主播</x:v>
      </x:c>
      <x:c r="O15" s="41" t="str">
        <x:v>主播台;双人专家位</x:v>
      </x:c>
      <x:c r="P15" s="41" t="str">
        <x:v>真人新闻质感</x:v>
      </x:c>
      <x:c r="Q15" s="41" t="str">
        <x:v>演播室中性直播光</x:v>
      </x:c>
      <x:c r="R15" s="41" t="str">
        <x:v>剧照验证图、半身与全身</x:v>
      </x:c>
      <x:c r="S15" s="41" t="str">
        <x:v>01-02</x:v>
      </x:c>
      <x:c r="T15" s="41" t="str">
        <x:v>剧本明确;创作者建议</x:v>
      </x:c>
      <x:c r="U15" s="41" t="str">
        <x:v>历史停用（V1.2不调用）</x:v>
      </x:c>
      <x:c r="V15" s="41" t="str">
        <x:v>V1.2不出场</x:v>
      </x:c>
      <x:c r="W15" s="52" t="n">
        <x:f>IF(OR(D15="场景母图",D15="场景多视角"),0,1)</x:f>
        <x:v>1</x:v>
      </x:c>
      <x:c r="X15" s="52" t="n">
        <x:f>IF(LEFT(U15,2)="历史",0,1)</x:f>
        <x:v>0</x:v>
      </x:c>
    </x:row>
    <x:row r="16" ht="40" customHeight="1">
      <x:c r="A16" s="53" t="str">
        <x:v>人物资产</x:v>
      </x:c>
      <x:c r="B16" s="53" t="n">
        <x:v>12</x:v>
      </x:c>
      <x:c r="C16" s="53" t="n">
        <x:v>2</x:v>
      </x:c>
      <x:c r="D16" s="53" t="str">
        <x:v>服装子资产</x:v>
      </x:c>
      <x:c r="E16" s="43" t="str">
        <x:v>↳ 周明远主播服装</x:v>
      </x:c>
      <x:c r="F16" s="43" t="str">
        <x:v>BY-CST-P1-003-周明远主播服装</x:v>
      </x:c>
      <x:c r="G16" s="43" t="str">
        <x:v>BY-CHR-P1-001-周明远</x:v>
      </x:c>
      <x:c r="H16" s="53" t="str"/>
      <x:c r="I16" s="53" t="str">
        <x:v>CST</x:v>
      </x:c>
      <x:c r="J16" s="53" t="str">
        <x:v>P1</x:v>
      </x:c>
      <x:c r="K16" s="43" t="str">
        <x:v>01-02场</x:v>
      </x:c>
      <x:c r="L16" s="43" t="str">
        <x:v>历史V1.1</x:v>
      </x:c>
      <x:c r="M16" s="43" t="str">
        <x:v>未来但克制的正式主播服装</x:v>
      </x:c>
      <x:c r="N16" s="43" t="str">
        <x:v>不做科幻制服，色彩由阶段2A决定</x:v>
      </x:c>
      <x:c r="O16" s="43" t="str">
        <x:v>基础</x:v>
      </x:c>
      <x:c r="P16" s="43" t="str">
        <x:v>精纺面料、低反光</x:v>
      </x:c>
      <x:c r="Q16" s="43" t="str">
        <x:v>演播室直播光</x:v>
      </x:c>
      <x:c r="R16" s="43" t="str">
        <x:v>人物定妆服装</x:v>
      </x:c>
      <x:c r="S16" s="43" t="str">
        <x:v>01-02</x:v>
      </x:c>
      <x:c r="T16" s="43" t="str">
        <x:v>创作者建议</x:v>
      </x:c>
      <x:c r="U16" s="43" t="str">
        <x:v>历史停用（V1.2不调用）</x:v>
      </x:c>
      <x:c r="V16" s="43" t="str">
        <x:v>随角色停用</x:v>
      </x:c>
      <x:c r="W16" s="53" t="n">
        <x:f>IF(OR(D16="场景母图",D16="场景多视角"),0,1)</x:f>
        <x:v>1</x:v>
      </x:c>
      <x:c r="X16" s="53" t="n">
        <x:f>IF(LEFT(U16,2)="历史",0,1)</x:f>
        <x:v>0</x:v>
      </x:c>
    </x:row>
    <x:row r="17" ht="44" customHeight="1">
      <x:c r="A17" s="50" t="str">
        <x:v>人物资产</x:v>
      </x:c>
      <x:c r="B17" s="50" t="n">
        <x:v>13</x:v>
      </x:c>
      <x:c r="C17" s="50" t="n">
        <x:v>1</x:v>
      </x:c>
      <x:c r="D17" s="50" t="str">
        <x:v>人物母资产</x:v>
      </x:c>
      <x:c r="E17" s="36" t="str">
        <x:v>林知夏</x:v>
      </x:c>
      <x:c r="F17" s="36" t="str">
        <x:v>BY-CHR-P1-002-林知夏</x:v>
      </x:c>
      <x:c r="G17" s="36" t="str"/>
      <x:c r="H17" s="50" t="str"/>
      <x:c r="I17" s="50" t="str">
        <x:v>CHR</x:v>
      </x:c>
      <x:c r="J17" s="50" t="str">
        <x:v>P1</x:v>
      </x:c>
      <x:c r="K17" s="36" t="str">
        <x:v>V1.2逐镜映射见data/阶段1_114镜资产调用映射_V1.2.csv</x:v>
      </x:c>
      <x:c r="L17" s="36" t="str">
        <x:v>场8；镜056</x:v>
      </x:c>
      <x:c r="M17" s="36" t="str">
        <x:v>飞控中心特派记者</x:v>
      </x:c>
      <x:c r="N17" s="36" t="str">
        <x:v>建议28-38岁，清楚、有现场感，不绑定现实记者</x:v>
      </x:c>
      <x:c r="O17" s="36" t="str">
        <x:v>记者直播</x:v>
      </x:c>
      <x:c r="P17" s="36" t="str">
        <x:v>真人新闻质感</x:v>
      </x:c>
      <x:c r="Q17" s="36" t="str">
        <x:v>媒体区实用光</x:v>
      </x:c>
      <x:c r="R17" s="36" t="str">
        <x:v>剧照验证图、半身与全身</x:v>
      </x:c>
      <x:c r="S17" s="36" t="str">
        <x:v>01</x:v>
      </x:c>
      <x:c r="T17" s="36" t="str">
        <x:v>剧本明确;创作者建议</x:v>
      </x:c>
      <x:c r="U17" s="36" t="str">
        <x:v>已确认</x:v>
      </x:c>
      <x:c r="V17" s="36" t="str">
        <x:v>新闻支持资产包</x:v>
      </x:c>
      <x:c r="W17" s="50" t="n">
        <x:f>IF(OR(D17="场景母图",D17="场景多视角"),0,1)</x:f>
        <x:v>1</x:v>
      </x:c>
      <x:c r="X17" s="50" t="n">
        <x:f>IF(LEFT(U17,2)="历史",0,1)</x:f>
        <x:v>1</x:v>
      </x:c>
    </x:row>
    <x:row r="18" ht="40" customHeight="1">
      <x:c r="A18" s="51" t="str">
        <x:v>人物资产</x:v>
      </x:c>
      <x:c r="B18" s="51" t="n">
        <x:v>14</x:v>
      </x:c>
      <x:c r="C18" s="51" t="n">
        <x:v>2</x:v>
      </x:c>
      <x:c r="D18" s="51" t="str">
        <x:v>服装子资产</x:v>
      </x:c>
      <x:c r="E18" s="37" t="str">
        <x:v>↳ 林知夏记者服装</x:v>
      </x:c>
      <x:c r="F18" s="37" t="str">
        <x:v>BY-CST-P1-004-林知夏记者服装</x:v>
      </x:c>
      <x:c r="G18" s="37" t="str">
        <x:v>BY-CHR-P1-002-林知夏</x:v>
      </x:c>
      <x:c r="H18" s="51" t="str"/>
      <x:c r="I18" s="51" t="str">
        <x:v>CST</x:v>
      </x:c>
      <x:c r="J18" s="51" t="str">
        <x:v>P1</x:v>
      </x:c>
      <x:c r="K18" s="37" t="str">
        <x:v>V1.2逐镜映射见data/阶段1_114镜资产调用映射_V1.2.csv</x:v>
      </x:c>
      <x:c r="L18" s="37" t="str">
        <x:v>场8；镜056</x:v>
      </x:c>
      <x:c r="M18" s="37" t="str">
        <x:v>正式且适合媒体区工作的记者服装</x:v>
      </x:c>
      <x:c r="N18" s="37" t="str">
        <x:v>与主播形成结构和色彩差异</x:v>
      </x:c>
      <x:c r="O18" s="37" t="str">
        <x:v>基础</x:v>
      </x:c>
      <x:c r="P18" s="37" t="str">
        <x:v>功能性正式面料</x:v>
      </x:c>
      <x:c r="Q18" s="37" t="str">
        <x:v>媒体区实用光</x:v>
      </x:c>
      <x:c r="R18" s="37" t="str">
        <x:v>人物定妆服装</x:v>
      </x:c>
      <x:c r="S18" s="37" t="str">
        <x:v>01</x:v>
      </x:c>
      <x:c r="T18" s="37" t="str">
        <x:v>创作者建议</x:v>
      </x:c>
      <x:c r="U18" s="37" t="str">
        <x:v>已确认</x:v>
      </x:c>
      <x:c r="V18" s="37" t="str">
        <x:v>阶段2A定色后制作</x:v>
      </x:c>
      <x:c r="W18" s="51" t="n">
        <x:f>IF(OR(D18="场景母图",D18="场景多视角"),0,1)</x:f>
        <x:v>1</x:v>
      </x:c>
      <x:c r="X18" s="51" t="n">
        <x:f>IF(LEFT(U18,2)="历史",0,1)</x:f>
        <x:v>1</x:v>
      </x:c>
    </x:row>
    <x:row r="19" ht="44" customHeight="1">
      <x:c r="A19" s="52" t="str">
        <x:v>人物资产</x:v>
      </x:c>
      <x:c r="B19" s="52" t="n">
        <x:v>15</x:v>
      </x:c>
      <x:c r="C19" s="52" t="n">
        <x:v>1</x:v>
      </x:c>
      <x:c r="D19" s="52" t="str">
        <x:v>人物母资产</x:v>
      </x:c>
      <x:c r="E19" s="41" t="str">
        <x:v>孙屹川</x:v>
      </x:c>
      <x:c r="F19" s="41" t="str">
        <x:v>BY-CHR-P1-003-孙屹川</x:v>
      </x:c>
      <x:c r="G19" s="41" t="str"/>
      <x:c r="H19" s="52" t="str"/>
      <x:c r="I19" s="52" t="str">
        <x:v>CHR</x:v>
      </x:c>
      <x:c r="J19" s="52" t="str">
        <x:v>P1</x:v>
      </x:c>
      <x:c r="K19" s="41" t="str">
        <x:v>主要人物与岗位；02场</x:v>
      </x:c>
      <x:c r="L19" s="41" t="str">
        <x:v>历史V1.1</x:v>
      </x:c>
      <x:c r="M19" s="41" t="str">
        <x:v>着陆器系统专家</x:v>
      </x:c>
      <x:c r="N19" s="41" t="str">
        <x:v>建议48-62岁，工程可信，不做科普网红气质</x:v>
      </x:c>
      <x:c r="O19" s="41" t="str">
        <x:v>专家访谈</x:v>
      </x:c>
      <x:c r="P19" s="41" t="str">
        <x:v>年长沉稳、表情克制</x:v>
      </x:c>
      <x:c r="Q19" s="41" t="str">
        <x:v>演播室中性直播光</x:v>
      </x:c>
      <x:c r="R19" s="41" t="str">
        <x:v>剧照验证图、半身与全身</x:v>
      </x:c>
      <x:c r="S19" s="41" t="str">
        <x:v>02</x:v>
      </x:c>
      <x:c r="T19" s="41" t="str">
        <x:v>剧本明确;创作者建议</x:v>
      </x:c>
      <x:c r="U19" s="41" t="str">
        <x:v>历史停用（V1.2不调用）</x:v>
      </x:c>
      <x:c r="V19" s="41" t="str">
        <x:v>V1.2不出场</x:v>
      </x:c>
      <x:c r="W19" s="52" t="n">
        <x:f>IF(OR(D19="场景母图",D19="场景多视角"),0,1)</x:f>
        <x:v>1</x:v>
      </x:c>
      <x:c r="X19" s="52" t="n">
        <x:f>IF(LEFT(U19,2)="历史",0,1)</x:f>
        <x:v>0</x:v>
      </x:c>
    </x:row>
    <x:row r="20" ht="40" customHeight="1">
      <x:c r="A20" s="53" t="str">
        <x:v>人物资产</x:v>
      </x:c>
      <x:c r="B20" s="53" t="n">
        <x:v>16</x:v>
      </x:c>
      <x:c r="C20" s="53" t="n">
        <x:v>2</x:v>
      </x:c>
      <x:c r="D20" s="53" t="str">
        <x:v>服装子资产</x:v>
      </x:c>
      <x:c r="E20" s="43" t="str">
        <x:v>↳ 孙屹川专家服装</x:v>
      </x:c>
      <x:c r="F20" s="43" t="str">
        <x:v>BY-CST-P1-005-孙屹川专家服装</x:v>
      </x:c>
      <x:c r="G20" s="43" t="str">
        <x:v>BY-CHR-P1-003-孙屹川</x:v>
      </x:c>
      <x:c r="H20" s="53" t="str"/>
      <x:c r="I20" s="53" t="str">
        <x:v>CST</x:v>
      </x:c>
      <x:c r="J20" s="53" t="str">
        <x:v>P1</x:v>
      </x:c>
      <x:c r="K20" s="43" t="str">
        <x:v>02场</x:v>
      </x:c>
      <x:c r="L20" s="43" t="str">
        <x:v>历史V1.1</x:v>
      </x:c>
      <x:c r="M20" s="43" t="str">
        <x:v>工程专家正式着装</x:v>
      </x:c>
      <x:c r="N20" s="43" t="str">
        <x:v>不使用实验室白大褂或夸张学者符号</x:v>
      </x:c>
      <x:c r="O20" s="43" t="str">
        <x:v>基础</x:v>
      </x:c>
      <x:c r="P20" s="43" t="str">
        <x:v>低反光正式面料</x:v>
      </x:c>
      <x:c r="Q20" s="43" t="str">
        <x:v>演播室直播光</x:v>
      </x:c>
      <x:c r="R20" s="43" t="str">
        <x:v>人物定妆服装</x:v>
      </x:c>
      <x:c r="S20" s="43" t="str">
        <x:v>02</x:v>
      </x:c>
      <x:c r="T20" s="43" t="str">
        <x:v>创作者建议</x:v>
      </x:c>
      <x:c r="U20" s="43" t="str">
        <x:v>历史停用（V1.2不调用）</x:v>
      </x:c>
      <x:c r="V20" s="43" t="str">
        <x:v>随角色停用</x:v>
      </x:c>
      <x:c r="W20" s="53" t="n">
        <x:f>IF(OR(D20="场景母图",D20="场景多视角"),0,1)</x:f>
        <x:v>1</x:v>
      </x:c>
      <x:c r="X20" s="53" t="n">
        <x:f>IF(LEFT(U20,2)="历史",0,1)</x:f>
        <x:v>0</x:v>
      </x:c>
    </x:row>
    <x:row r="21" ht="44" customHeight="1">
      <x:c r="A21" s="50" t="str">
        <x:v>人物资产</x:v>
      </x:c>
      <x:c r="B21" s="50" t="n">
        <x:v>17</x:v>
      </x:c>
      <x:c r="C21" s="50" t="n">
        <x:v>1</x:v>
      </x:c>
      <x:c r="D21" s="50" t="str">
        <x:v>人物母资产</x:v>
      </x:c>
      <x:c r="E21" s="36" t="str">
        <x:v>何文澜</x:v>
      </x:c>
      <x:c r="F21" s="36" t="str">
        <x:v>BY-CHR-P1-004-何文澜</x:v>
      </x:c>
      <x:c r="G21" s="36" t="str"/>
      <x:c r="H21" s="50" t="str"/>
      <x:c r="I21" s="50" t="str">
        <x:v>CHR</x:v>
      </x:c>
      <x:c r="J21" s="50" t="str">
        <x:v>P1</x:v>
      </x:c>
      <x:c r="K21" s="36" t="str">
        <x:v>镜20、48—50、79、113</x:v>
      </x:c>
      <x:c r="L21" s="36" t="str">
        <x:v>第3、7、11、15场</x:v>
      </x:c>
      <x:c r="M21" s="36" t="str">
        <x:v>载人航天与航天医学方向专家。</x:v>
      </x:c>
      <x:c r="N21" s="36" t="str">
        <x:v>媒体区采访状态严谨、平实，医学解释可作画外。</x:v>
      </x:c>
      <x:c r="O21" s="36" t="str">
        <x:v>媒体区出镜；专家画外</x:v>
      </x:c>
      <x:c r="P21" s="36" t="str">
        <x:v>真实人物皮肤、自然职业妆发</x:v>
      </x:c>
      <x:c r="Q21" s="36" t="str">
        <x:v>媒体区中性任务光</x:v>
      </x:c>
      <x:c r="R21" s="36" t="str">
        <x:v>建立正面、三分之四与双人采访构图</x:v>
      </x:c>
      <x:c r="S21" s="36" t="str">
        <x:v>媒体区采访与医学解释</x:v>
      </x:c>
      <x:c r="T21" s="36" t="str">
        <x:v>V1.3.1正式分镜稿＋公开资料边界内艺术推演</x:v>
      </x:c>
      <x:c r="U21" s="36" t="str">
        <x:v>阶段1已确认生产方向</x:v>
      </x:c>
      <x:c r="V21" s="36" t="str">
        <x:v>阶段2B建立母资产并按镜头状态派生</x:v>
      </x:c>
      <x:c r="W21" s="50" t="n">
        <x:f>IF(OR(D21="场景母图",D21="场景多视角"),0,1)</x:f>
        <x:v>1</x:v>
      </x:c>
      <x:c r="X21" s="50" t="n">
        <x:f>IF(LEFT(U21,2)="历史",0,1)</x:f>
        <x:v>1</x:v>
      </x:c>
    </x:row>
    <x:row r="22" ht="40" customHeight="1">
      <x:c r="A22" s="51" t="str">
        <x:v>人物资产</x:v>
      </x:c>
      <x:c r="B22" s="51" t="n">
        <x:v>18</x:v>
      </x:c>
      <x:c r="C22" s="51" t="n">
        <x:v>2</x:v>
      </x:c>
      <x:c r="D22" s="51" t="str">
        <x:v>服装子资产</x:v>
      </x:c>
      <x:c r="E22" s="37" t="str">
        <x:v>↳ 何文澜专家服装</x:v>
      </x:c>
      <x:c r="F22" s="37" t="str">
        <x:v>BY-CST-P1-006-何文澜专家服装</x:v>
      </x:c>
      <x:c r="G22" s="37" t="str">
        <x:v>BY-CHR-P1-004-何文澜</x:v>
      </x:c>
      <x:c r="H22" s="51" t="str"/>
      <x:c r="I22" s="51" t="str">
        <x:v>CST</x:v>
      </x:c>
      <x:c r="J22" s="51" t="str">
        <x:v>P1</x:v>
      </x:c>
      <x:c r="K22" s="37" t="str">
        <x:v>镜20、48、113</x:v>
      </x:c>
      <x:c r="L22" s="37" t="str">
        <x:v>第3、7、15场</x:v>
      </x:c>
      <x:c r="M22" s="37" t="str">
        <x:v>深色或中性低饱和职业正装。</x:v>
      </x:c>
      <x:c r="N22" s="37" t="str">
        <x:v>不使用夸张科幻制服。</x:v>
      </x:c>
      <x:c r="O22" s="37" t="str">
        <x:v>站立采访；医学画外无画面</x:v>
      </x:c>
      <x:c r="P22" s="37" t="str">
        <x:v>哑光织物</x:v>
      </x:c>
      <x:c r="Q22" s="37" t="str">
        <x:v>媒体区中性任务光</x:v>
      </x:c>
      <x:c r="R22" s="37" t="str">
        <x:v>与何文澜人物资产绑定</x:v>
      </x:c>
      <x:c r="S22" s="37" t="str">
        <x:v>同一直播日采访</x:v>
      </x:c>
      <x:c r="T22" s="37" t="str">
        <x:v>V1.3.1正式分镜稿＋公开资料边界内艺术推演</x:v>
      </x:c>
      <x:c r="U22" s="37" t="str">
        <x:v>阶段1已确认生产方向</x:v>
      </x:c>
      <x:c r="V22" s="37" t="str">
        <x:v>阶段2B建立母资产并按镜头状态派生</x:v>
      </x:c>
      <x:c r="W22" s="51" t="n">
        <x:f>IF(OR(D22="场景母图",D22="场景多视角"),0,1)</x:f>
        <x:v>1</x:v>
      </x:c>
      <x:c r="X22" s="51" t="n">
        <x:f>IF(LEFT(U22,2)="历史",0,1)</x:f>
        <x:v>1</x:v>
      </x:c>
    </x:row>
    <x:row r="23" ht="44" customHeight="1">
      <x:c r="A23" s="50" t="str">
        <x:v>人物资产</x:v>
      </x:c>
      <x:c r="B23" s="50" t="n">
        <x:v>19</x:v>
      </x:c>
      <x:c r="C23" s="50" t="n">
        <x:v>1</x:v>
      </x:c>
      <x:c r="D23" s="50" t="str">
        <x:v>人物母资产</x:v>
      </x:c>
      <x:c r="E23" s="36" t="str">
        <x:v>孙亦川</x:v>
      </x:c>
      <x:c r="F23" s="36" t="str">
        <x:v>BY-CHR-P1-005-孙亦川</x:v>
      </x:c>
      <x:c r="G23" s="36" t="str"/>
      <x:c r="H23" s="50" t="str"/>
      <x:c r="I23" s="50" t="str">
        <x:v>CHR</x:v>
      </x:c>
      <x:c r="J23" s="50" t="str">
        <x:v>P1</x:v>
      </x:c>
      <x:c r="K23" s="36" t="str">
        <x:v>镜35、88、93、100</x:v>
      </x:c>
      <x:c r="L23" s="36" t="str">
        <x:v>第6、12—14场</x:v>
      </x:c>
      <x:c r="M23" s="36" t="str">
        <x:v>轨道动力学与返回再入方向专家。</x:v>
      </x:c>
      <x:c r="N23" s="36" t="str">
        <x:v>通过轨迹图解释下降、月地返回和跳跃式再入。</x:v>
      </x:c>
      <x:c r="O23" s="36" t="str">
        <x:v>媒体区出镜；轨迹图前出镜；专家画外</x:v>
      </x:c>
      <x:c r="P23" s="36" t="str">
        <x:v>真实人物皮肤、自然职业妆发</x:v>
      </x:c>
      <x:c r="Q23" s="36" t="str">
        <x:v>媒体区中性任务光</x:v>
      </x:c>
      <x:c r="R23" s="36" t="str">
        <x:v>与历史停用角色“孙屹川”严格区分，不复用旧脸与旧音色</x:v>
      </x:c>
      <x:c r="S23" s="36" t="str">
        <x:v>轨迹、下降与再入解释</x:v>
      </x:c>
      <x:c r="T23" s="36" t="str">
        <x:v>V1.3.1正式分镜稿＋公开资料边界内艺术推演</x:v>
      </x:c>
      <x:c r="U23" s="36" t="str">
        <x:v>阶段1已确认生产方向</x:v>
      </x:c>
      <x:c r="V23" s="36" t="str">
        <x:v>阶段2B建立母资产并按镜头状态派生</x:v>
      </x:c>
      <x:c r="W23" s="50" t="n">
        <x:f>IF(OR(D23="场景母图",D23="场景多视角"),0,1)</x:f>
        <x:v>1</x:v>
      </x:c>
      <x:c r="X23" s="50" t="n">
        <x:f>IF(LEFT(U23,2)="历史",0,1)</x:f>
        <x:v>1</x:v>
      </x:c>
    </x:row>
    <x:row r="24" ht="40" customHeight="1">
      <x:c r="A24" s="51" t="str">
        <x:v>人物资产</x:v>
      </x:c>
      <x:c r="B24" s="51" t="n">
        <x:v>20</x:v>
      </x:c>
      <x:c r="C24" s="51" t="n">
        <x:v>2</x:v>
      </x:c>
      <x:c r="D24" s="51" t="str">
        <x:v>服装子资产</x:v>
      </x:c>
      <x:c r="E24" s="37" t="str">
        <x:v>↳ 孙亦川专家服装</x:v>
      </x:c>
      <x:c r="F24" s="37" t="str">
        <x:v>BY-CST-P1-007-孙亦川专家服装</x:v>
      </x:c>
      <x:c r="G24" s="37" t="str">
        <x:v>BY-CHR-P1-005-孙亦川</x:v>
      </x:c>
      <x:c r="H24" s="51" t="str"/>
      <x:c r="I24" s="51" t="str">
        <x:v>CST</x:v>
      </x:c>
      <x:c r="J24" s="51" t="str">
        <x:v>P1</x:v>
      </x:c>
      <x:c r="K24" s="37" t="str">
        <x:v>镜35、88、93</x:v>
      </x:c>
      <x:c r="L24" s="37" t="str">
        <x:v>第6、12—13场</x:v>
      </x:c>
      <x:c r="M24" s="37" t="str">
        <x:v>低饱和职业正装。</x:v>
      </x:c>
      <x:c r="N24" s="37" t="str">
        <x:v>能与深蓝轨迹图分离轮廓。</x:v>
      </x:c>
      <x:c r="O24" s="37" t="str">
        <x:v>下降讲解；返回讲解；再入讲解</x:v>
      </x:c>
      <x:c r="P24" s="37" t="str">
        <x:v>哑光织物</x:v>
      </x:c>
      <x:c r="Q24" s="37" t="str">
        <x:v>媒体区中性任务光</x:v>
      </x:c>
      <x:c r="R24" s="37" t="str">
        <x:v>与孙亦川人物资产绑定</x:v>
      </x:c>
      <x:c r="S24" s="37" t="str">
        <x:v>多段直播采访</x:v>
      </x:c>
      <x:c r="T24" s="37" t="str">
        <x:v>V1.3.1正式分镜稿＋公开资料边界内艺术推演</x:v>
      </x:c>
      <x:c r="U24" s="37" t="str">
        <x:v>阶段1已确认生产方向</x:v>
      </x:c>
      <x:c r="V24" s="37" t="str">
        <x:v>阶段2B建立母资产并按镜头状态派生</x:v>
      </x:c>
      <x:c r="W24" s="51" t="n">
        <x:f>IF(OR(D24="场景母图",D24="场景多视角"),0,1)</x:f>
        <x:v>1</x:v>
      </x:c>
      <x:c r="X24" s="51" t="n">
        <x:f>IF(LEFT(U24,2)="历史",0,1)</x:f>
        <x:v>1</x:v>
      </x:c>
    </x:row>
    <x:row r="25" ht="44" customHeight="1">
      <x:c r="A25" s="50" t="str">
        <x:v>人物资产</x:v>
      </x:c>
      <x:c r="B25" s="50" t="n">
        <x:v>21</x:v>
      </x:c>
      <x:c r="C25" s="50" t="n">
        <x:v>1</x:v>
      </x:c>
      <x:c r="D25" s="50" t="str">
        <x:v>人物母资产</x:v>
      </x:c>
      <x:c r="E25" s="36" t="str">
        <x:v>顾青岚</x:v>
      </x:c>
      <x:c r="F25" s="36" t="str">
        <x:v>BY-CHR-P1-006-顾青岚</x:v>
      </x:c>
      <x:c r="G25" s="36" t="str"/>
      <x:c r="H25" s="50" t="str"/>
      <x:c r="I25" s="50" t="str">
        <x:v>CHR</x:v>
      </x:c>
      <x:c r="J25" s="50" t="str">
        <x:v>P1</x:v>
      </x:c>
      <x:c r="K25" s="36" t="str">
        <x:v>镜66—67、72</x:v>
      </x:c>
      <x:c r="L25" s="36" t="str">
        <x:v>第9—10场</x:v>
      </x:c>
      <x:c r="M25" s="36" t="str">
        <x:v>月球地质与月面科学方向专家。</x:v>
      </x:c>
      <x:c r="N25" s="36" t="str">
        <x:v>结合艺术锁定着陆点解释地质单元和短程科学路线。</x:v>
      </x:c>
      <x:c r="O25" s="36" t="str">
        <x:v>媒体区出镜；地质图卡画外</x:v>
      </x:c>
      <x:c r="P25" s="36" t="str">
        <x:v>真实人物皮肤、自然职业妆发</x:v>
      </x:c>
      <x:c r="Q25" s="36" t="str">
        <x:v>媒体区中性任务光</x:v>
      </x:c>
      <x:c r="R25" s="36" t="str">
        <x:v>建立与地质图双人采访和指图动作</x:v>
      </x:c>
      <x:c r="S25" s="36" t="str">
        <x:v>月面科学解释</x:v>
      </x:c>
      <x:c r="T25" s="36" t="str">
        <x:v>V1.3.1正式分镜稿＋公开资料边界内艺术推演</x:v>
      </x:c>
      <x:c r="U25" s="36" t="str">
        <x:v>阶段1已确认生产方向</x:v>
      </x:c>
      <x:c r="V25" s="36" t="str">
        <x:v>阶段2B建立母资产并按镜头状态派生</x:v>
      </x:c>
      <x:c r="W25" s="50" t="n">
        <x:f>IF(OR(D25="场景母图",D25="场景多视角"),0,1)</x:f>
        <x:v>1</x:v>
      </x:c>
      <x:c r="X25" s="50" t="n">
        <x:f>IF(LEFT(U25,2)="历史",0,1)</x:f>
        <x:v>1</x:v>
      </x:c>
    </x:row>
    <x:row r="26" ht="40" customHeight="1">
      <x:c r="A26" s="51" t="str">
        <x:v>人物资产</x:v>
      </x:c>
      <x:c r="B26" s="51" t="n">
        <x:v>22</x:v>
      </x:c>
      <x:c r="C26" s="51" t="n">
        <x:v>2</x:v>
      </x:c>
      <x:c r="D26" s="51" t="str">
        <x:v>服装子资产</x:v>
      </x:c>
      <x:c r="E26" s="37" t="str">
        <x:v>↳ 顾青岚专家服装</x:v>
      </x:c>
      <x:c r="F26" s="37" t="str">
        <x:v>BY-CST-P1-008-顾青岚专家服装</x:v>
      </x:c>
      <x:c r="G26" s="37" t="str">
        <x:v>BY-CHR-P1-006-顾青岚</x:v>
      </x:c>
      <x:c r="H26" s="51" t="str"/>
      <x:c r="I26" s="51" t="str">
        <x:v>CST</x:v>
      </x:c>
      <x:c r="J26" s="51" t="str">
        <x:v>P1</x:v>
      </x:c>
      <x:c r="K26" s="37" t="str">
        <x:v>镜66</x:v>
      </x:c>
      <x:c r="L26" s="37" t="str">
        <x:v>第9场</x:v>
      </x:c>
      <x:c r="M26" s="37" t="str">
        <x:v>专业、简洁的地质专家采访服装。</x:v>
      </x:c>
      <x:c r="N26" s="37" t="str">
        <x:v>色彩不与月面地质图冲突。</x:v>
      </x:c>
      <x:c r="O26" s="37" t="str">
        <x:v>媒体区采访</x:v>
      </x:c>
      <x:c r="P26" s="37" t="str">
        <x:v>哑光织物</x:v>
      </x:c>
      <x:c r="Q26" s="37" t="str">
        <x:v>媒体区中性任务光</x:v>
      </x:c>
      <x:c r="R26" s="37" t="str">
        <x:v>与顾青岚人物资产绑定</x:v>
      </x:c>
      <x:c r="S26" s="37" t="str">
        <x:v>月面科学采访</x:v>
      </x:c>
      <x:c r="T26" s="37" t="str">
        <x:v>V1.3.1正式分镜稿＋公开资料边界内艺术推演</x:v>
      </x:c>
      <x:c r="U26" s="37" t="str">
        <x:v>阶段1已确认生产方向</x:v>
      </x:c>
      <x:c r="V26" s="37" t="str">
        <x:v>阶段2B建立母资产并按镜头状态派生</x:v>
      </x:c>
      <x:c r="W26" s="51" t="n">
        <x:f>IF(OR(D26="场景母图",D26="场景多视角"),0,1)</x:f>
        <x:v>1</x:v>
      </x:c>
      <x:c r="X26" s="51" t="n">
        <x:f>IF(LEFT(U26,2)="历史",0,1)</x:f>
        <x:v>1</x:v>
      </x:c>
    </x:row>
    <x:row r="27" ht="44" customHeight="1">
      <x:c r="A27" s="50" t="str">
        <x:v>人物资产</x:v>
      </x:c>
      <x:c r="B27" s="50" t="n">
        <x:v>23</x:v>
      </x:c>
      <x:c r="C27" s="50" t="n">
        <x:v>1</x:v>
      </x:c>
      <x:c r="D27" s="50" t="str">
        <x:v>群体人物资产</x:v>
      </x:c>
      <x:c r="E27" s="36" t="str">
        <x:v>北京飞控任务团队</x:v>
      </x:c>
      <x:c r="F27" s="36" t="str">
        <x:v>BY-CRO-P1-001-北京飞控任务团队</x:v>
      </x:c>
      <x:c r="G27" s="36" t="str"/>
      <x:c r="H27" s="50" t="str"/>
      <x:c r="I27" s="50" t="str">
        <x:v>CRO</x:v>
      </x:c>
      <x:c r="J27" s="50" t="str">
        <x:v>P1</x:v>
      </x:c>
      <x:c r="K27" s="36" t="str">
        <x:v>V1.2逐镜映射见data/阶段1_114镜资产调用映射_V1.2.csv</x:v>
      </x:c>
      <x:c r="L27" s="36" t="str">
        <x:v>场2,4,5,6,8,10,11,12,14,15,16；镜006,012,022,028,031,035,041,053,072,077,083,088,097,104,107,113</x:v>
      </x:c>
      <x:c r="M27" s="36" t="str">
        <x:v>不少于12名可辨岗位人员的任务群像</x:v>
      </x:c>
      <x:c r="N27" s="36" t="str">
        <x:v>年龄、性别、脸、坐姿和岗位有差异，不复制同脸</x:v>
      </x:c>
      <x:c r="O27" s="36" t="str">
        <x:v>常态;等待;确认后克制反应</x:v>
      </x:c>
      <x:c r="P27" s="36" t="str">
        <x:v>正式工作服、控制台</x:v>
      </x:c>
      <x:c r="Q27" s="36" t="str">
        <x:v>飞控大厅任务光</x:v>
      </x:c>
      <x:c r="R27" s="36" t="str">
        <x:v>群演构成表与群像资产</x:v>
      </x:c>
      <x:c r="S27" s="36" t="str">
        <x:v>飞控场次</x:v>
      </x:c>
      <x:c r="T27" s="36" t="str">
        <x:v>剧本明确;创作者建议</x:v>
      </x:c>
      <x:c r="U27" s="36" t="str">
        <x:v>已确认</x:v>
      </x:c>
      <x:c r="V27" s="36" t="str">
        <x:v>新闻飞控支持包</x:v>
      </x:c>
      <x:c r="W27" s="50" t="n">
        <x:f>IF(OR(D27="场景母图",D27="场景多视角"),0,1)</x:f>
        <x:v>1</x:v>
      </x:c>
      <x:c r="X27" s="50" t="n">
        <x:f>IF(LEFT(U27,2)="历史",0,1)</x:f>
        <x:v>1</x:v>
      </x:c>
    </x:row>
    <x:row r="28" ht="44" customHeight="1">
      <x:c r="A28" s="50" t="str">
        <x:v>人物资产</x:v>
      </x:c>
      <x:c r="B28" s="50" t="n">
        <x:v>24</x:v>
      </x:c>
      <x:c r="C28" s="50" t="n">
        <x:v>1</x:v>
      </x:c>
      <x:c r="D28" s="50" t="str">
        <x:v>群体人物资产</x:v>
      </x:c>
      <x:c r="E28" s="36" t="str">
        <x:v>深空测控值班团队</x:v>
      </x:c>
      <x:c r="F28" s="36" t="str">
        <x:v>BY-CRO-P1-002-深空测控值班团队</x:v>
      </x:c>
      <x:c r="G28" s="36" t="str"/>
      <x:c r="H28" s="50" t="str"/>
      <x:c r="I28" s="50" t="str">
        <x:v>CRO</x:v>
      </x:c>
      <x:c r="J28" s="50" t="str">
        <x:v>P1</x:v>
      </x:c>
      <x:c r="K28" s="36" t="str">
        <x:v>V1.2逐镜映射见data/阶段1_114镜资产调用映射_V1.2.csv</x:v>
      </x:c>
      <x:c r="L28" s="36" t="str">
        <x:v>场1,4,5,8,11；镜003,022,035,053,077</x:v>
      </x:c>
      <x:c r="M28" s="36" t="str">
        <x:v>佳木斯、喀什和VLBI席位的专业值班人员配置。</x:v>
      </x:c>
      <x:c r="N28" s="36" t="str">
        <x:v>岗位、年龄和脸部有差异，不复制同脸。</x:v>
      </x:c>
      <x:c r="O28" s="36" t="str">
        <x:v>常态值班；关键窗口</x:v>
      </x:c>
      <x:c r="P28" s="36" t="str">
        <x:v>中国航天测控工作服方向</x:v>
      </x:c>
      <x:c r="Q28" s="36" t="str">
        <x:v>站内任务光</x:v>
      </x:c>
      <x:c r="R28" s="36" t="str">
        <x:v>与测控场景配套</x:v>
      </x:c>
      <x:c r="S28" s="36" t="str">
        <x:v>第1、4、5、10—14场</x:v>
      </x:c>
      <x:c r="T28" s="36" t="str">
        <x:v>V1.2剧本明确＋项目锁定＋公开工程资料边界</x:v>
      </x:c>
      <x:c r="U28" s="36" t="str">
        <x:v>已确认生产方向</x:v>
      </x:c>
      <x:c r="V28" s="36" t="str">
        <x:v>阶段2A重入后按生产包执行</x:v>
      </x:c>
      <x:c r="W28" s="50" t="n">
        <x:f>IF(OR(D28="场景母图",D28="场景多视角"),0,1)</x:f>
        <x:v>1</x:v>
      </x:c>
      <x:c r="X28" s="50" t="n">
        <x:f>IF(LEFT(U28,2)="历史",0,1)</x:f>
        <x:v>1</x:v>
      </x:c>
    </x:row>
    <x:row r="29" ht="44" customHeight="1">
      <x:c r="A29" s="50" t="str">
        <x:v>人物资产</x:v>
      </x:c>
      <x:c r="B29" s="50" t="n">
        <x:v>25</x:v>
      </x:c>
      <x:c r="C29" s="50" t="n">
        <x:v>1</x:v>
      </x:c>
      <x:c r="D29" s="50" t="str">
        <x:v>群体人物资产</x:v>
      </x:c>
      <x:c r="E29" s="36" t="str">
        <x:v>搜救、安全处置与医疗团队</x:v>
      </x:c>
      <x:c r="F29" s="36" t="str">
        <x:v>BY-CRO-P1-003-搜救与医疗团队</x:v>
      </x:c>
      <x:c r="G29" s="36" t="str"/>
      <x:c r="H29" s="50" t="str"/>
      <x:c r="I29" s="50" t="str">
        <x:v>CRO</x:v>
      </x:c>
      <x:c r="J29" s="50" t="str">
        <x:v>P1</x:v>
      </x:c>
      <x:c r="K29" s="36" t="str">
        <x:v>V1.2逐镜映射见data/阶段1_114镜资产调用映射_V1.2.csv</x:v>
      </x:c>
      <x:c r="L29" s="36" t="str">
        <x:v>场16；镜110,111,112,113,114</x:v>
      </x:c>
      <x:c r="M29" s="36" t="str">
        <x:v>先安全检查、再开舱和医学接收的多岗位团队。</x:v>
      </x:c>
      <x:c r="N29" s="36" t="str">
        <x:v>不让航天员落地立即站立庆祝。</x:v>
      </x:c>
      <x:c r="O29" s="36" t="str">
        <x:v>空地接近；安全处置；开舱；医学检查；样品接收</x:v>
      </x:c>
      <x:c r="P29" s="36" t="str">
        <x:v>真实防护服、医疗和工程装备</x:v>
      </x:c>
      <x:c r="Q29" s="36" t="str">
        <x:v>着陆区自然光</x:v>
      </x:c>
      <x:c r="R29" s="36" t="str">
        <x:v>与搜救场景和载具配套</x:v>
      </x:c>
      <x:c r="S29" s="36" t="str">
        <x:v>第16场</x:v>
      </x:c>
      <x:c r="T29" s="36" t="str">
        <x:v>V1.2剧本明确＋项目锁定＋公开工程资料边界</x:v>
      </x:c>
      <x:c r="U29" s="36" t="str">
        <x:v>已确认生产方向</x:v>
      </x:c>
      <x:c r="V29" s="36" t="str">
        <x:v>阶段2A重入后按生产包执行</x:v>
      </x:c>
      <x:c r="W29" s="50" t="n">
        <x:f>IF(OR(D29="场景母图",D29="场景多视角"),0,1)</x:f>
        <x:v>1</x:v>
      </x:c>
      <x:c r="X29" s="50" t="n">
        <x:f>IF(LEFT(U29,2)="历史",0,1)</x:f>
        <x:v>1</x:v>
      </x:c>
    </x:row>
    <x:row r="30" ht="44" customHeight="1">
      <x:c r="A30" s="50" t="str">
        <x:v>场景资产</x:v>
      </x:c>
      <x:c r="B30" s="50" t="n">
        <x:v>1</x:v>
      </x:c>
      <x:c r="C30" s="50" t="n">
        <x:v>1</x:v>
      </x:c>
      <x:c r="D30" s="50" t="str">
        <x:v>场景资产组</x:v>
      </x:c>
      <x:c r="E30" s="36" t="str">
        <x:v>梦舟返回舱三座承力区与四种乘员状态</x:v>
      </x:c>
      <x:c r="F30" s="36" t="str">
        <x:v>BY-SCN-P0-001-梦舟舱内三座布局</x:v>
      </x:c>
      <x:c r="G30" s="36" t="str"/>
      <x:c r="H30" s="50" t="str"/>
      <x:c r="I30" s="50" t="str">
        <x:v>SCN</x:v>
      </x:c>
      <x:c r="J30" s="50" t="str">
        <x:v>P0</x:v>
      </x:c>
      <x:c r="K30" s="36" t="str">
        <x:v>V1.2逐镜映射见data/阶段1_114镜资产调用映射_V1.2.csv</x:v>
      </x:c>
      <x:c r="L30" s="36" t="str">
        <x:v>第1—3、5、11、14—15场</x:v>
      </x:c>
      <x:c r="M30" s="36" t="str">
        <x:v>返回舱内三张平行低位承力椅背、紧凑控制区和贴身弧形舱壁的局部空间。</x:v>
      </x:c>
      <x:c r="N30" s="36" t="str">
        <x:v>同一三座承力布局保持几何不变，以人物占位、束缚状态、样品固定和着陆姿态区分四种叙事状态。</x:v>
      </x:c>
      <x:c r="O30" s="36" t="str">
        <x:v>A三座满员对接前；B一人工作两座空置；C三人重聚含样品；D三人返航承载／再入／着陆</x:v>
      </x:c>
      <x:c r="P30" s="36" t="str">
        <x:v>舱内结构、座椅织物、低反光设备</x:v>
      </x:c>
      <x:c r="Q30" s="36" t="str">
        <x:v>梦舟舱内任务光</x:v>
      </x:c>
      <x:c r="R30" s="36" t="str">
        <x:v>必须建立一张统一母图和四种状态图；座椅方向、间距、工作界面和舱门轴线不得漂移。</x:v>
      </x:c>
      <x:c r="S30" s="36" t="str">
        <x:v>全片</x:v>
      </x:c>
      <x:c r="T30" s="36" t="str">
        <x:v>剧本明确;创作者建议</x:v>
      </x:c>
      <x:c r="U30" s="36" t="str">
        <x:v>已确认</x:v>
      </x:c>
      <x:c r="V30" s="36" t="str">
        <x:v>阶段2B优先生成母资产与四状态对照板</x:v>
      </x:c>
      <x:c r="W30" s="50" t="n">
        <x:f>IF(OR(D30="场景母图",D30="场景多视角"),0,1)</x:f>
        <x:v>1</x:v>
      </x:c>
      <x:c r="X30" s="50" t="n">
        <x:f>IF(LEFT(U30,2)="历史",0,1)</x:f>
        <x:v>1</x:v>
      </x:c>
    </x:row>
    <x:row r="31" ht="44" customHeight="1">
      <x:c r="A31" s="54" t="str">
        <x:v>场景资产</x:v>
      </x:c>
      <x:c r="B31" s="54" t="n">
        <x:v>2</x:v>
      </x:c>
      <x:c r="C31" s="54" t="n">
        <x:v>2</x:v>
      </x:c>
      <x:c r="D31" s="54" t="str">
        <x:v>场景母图</x:v>
      </x:c>
      <x:c r="E31" s="46" t="str">
        <x:v>↳ 母图｜梦舟返回舱三座承力区与四种乘员状态</x:v>
      </x:c>
      <x:c r="F31" s="46" t="str">
        <x:v>BY-SCN-P0-001-梦舟舱内三座布局-V-MASTER</x:v>
      </x:c>
      <x:c r="G31" s="46" t="str">
        <x:v>BY-SCN-P0-001-梦舟舱内三座布局</x:v>
      </x:c>
      <x:c r="H31" s="54" t="str">
        <x:v>MASTER</x:v>
      </x:c>
      <x:c r="I31" s="54" t="str">
        <x:v>SCN-VIEW</x:v>
      </x:c>
      <x:c r="J31" s="54" t="str">
        <x:v>P0</x:v>
      </x:c>
      <x:c r="K31" s="46" t="str">
        <x:v>阶段1_场景视图需求表_V1.3.1</x:v>
      </x:c>
      <x:c r="L31" s="46" t="str">
        <x:v>第1—3、5、11、14—15场</x:v>
      </x:c>
      <x:c r="M31" s="46" t="str">
        <x:v>该场景的统一母图，锁定空间、尺度、材料、光向和主构图。</x:v>
      </x:c>
      <x:c r="N31" s="46" t="str">
        <x:v>后续全部视图均以本母图为唯一空间依据。</x:v>
      </x:c>
      <x:c r="O31" s="46" t="str">
        <x:v>MASTER</x:v>
      </x:c>
      <x:c r="P31" s="46" t="str">
        <x:v>舱内结构、座椅织物、低反光设备</x:v>
      </x:c>
      <x:c r="Q31" s="46" t="str">
        <x:v>梦舟舱内任务光</x:v>
      </x:c>
      <x:c r="R31" s="46" t="str">
        <x:v>先确认母图，再进入多视角和状态图生产。</x:v>
      </x:c>
      <x:c r="S31" s="46" t="str">
        <x:v>全片</x:v>
      </x:c>
      <x:c r="T31" s="46" t="str">
        <x:v>V1.3.1场景视图锁定</x:v>
      </x:c>
      <x:c r="U31" s="46" t="str">
        <x:v>V1.3.1重校已确认</x:v>
      </x:c>
      <x:c r="V31" s="46" t="str">
        <x:v>阶段2B先生成并确认本母图。</x:v>
      </x:c>
      <x:c r="W31" s="54" t="n">
        <x:f>IF(OR(D31="场景母图",D31="场景多视角"),0,1)</x:f>
        <x:v>0</x:v>
      </x:c>
      <x:c r="X31" s="54" t="n">
        <x:f>IF(LEFT(U31,2)="历史",0,1)</x:f>
        <x:v>1</x:v>
      </x:c>
    </x:row>
    <x:row r="32" ht="36" customHeight="1">
      <x:c r="A32" s="55" t="str">
        <x:v>场景资产</x:v>
      </x:c>
      <x:c r="B32" s="55" t="n">
        <x:v>3</x:v>
      </x:c>
      <x:c r="C32" s="55" t="n">
        <x:v>3</x:v>
      </x:c>
      <x:c r="D32" s="55" t="str">
        <x:v>场景多视角</x:v>
      </x:c>
      <x:c r="E32" s="47" t="str">
        <x:v>  ↳ 视图｜座椅背面关系</x:v>
      </x:c>
      <x:c r="F32" s="47" t="str">
        <x:v>BY-SCN-P0-001-梦舟舱内三座布局-V-SEAT-BACK</x:v>
      </x:c>
      <x:c r="G32" s="47" t="str">
        <x:v>BY-SCN-P0-001-梦舟舱内三座布局-V-MASTER</x:v>
      </x:c>
      <x:c r="H32" s="55" t="str">
        <x:v>SEAT-BACK</x:v>
      </x:c>
      <x:c r="I32" s="55" t="str">
        <x:v>SCN-VIEW</x:v>
      </x:c>
      <x:c r="J32" s="55" t="str">
        <x:v>P0</x:v>
      </x:c>
      <x:c r="K32" s="47" t="str">
        <x:v>阶段1_场景视图需求表_V1.3.1</x:v>
      </x:c>
      <x:c r="L32" s="47" t="str">
        <x:v>第1—3、5、11、14—15场</x:v>
      </x:c>
      <x:c r="M32" s="47" t="str">
        <x:v>相对母图的座椅背面关系，用于镜头连续和空间核验。</x:v>
      </x:c>
      <x:c r="N32" s="47" t="str">
        <x:v>继承BY-SCN-P0-001-梦舟舱内三座布局-V-MASTER，不重新发明舱室、设备、地貌或光向。</x:v>
      </x:c>
      <x:c r="O32" s="47" t="str">
        <x:v>SEAT-BACK</x:v>
      </x:c>
      <x:c r="P32" s="47" t="str">
        <x:v>舱内结构、座椅织物、低反光设备</x:v>
      </x:c>
      <x:c r="Q32" s="47" t="str">
        <x:v>梦舟舱内任务光</x:v>
      </x:c>
      <x:c r="R32" s="47" t="str">
        <x:v>母图确认后生成；与母图做几何、材料、光影和设备位置一致性检查。</x:v>
      </x:c>
      <x:c r="S32" s="47" t="str">
        <x:v>全片</x:v>
      </x:c>
      <x:c r="T32" s="47" t="str">
        <x:v>V1.3.1场景视图锁定</x:v>
      </x:c>
      <x:c r="U32" s="47" t="str">
        <x:v>V1.3.1重校已确认</x:v>
      </x:c>
      <x:c r="V32" s="47" t="str">
        <x:v>阶段2B在母图确认后生成本视图。</x:v>
      </x:c>
      <x:c r="W32" s="55" t="n">
        <x:f>IF(OR(D32="场景母图",D32="场景多视角"),0,1)</x:f>
        <x:v>0</x:v>
      </x:c>
      <x:c r="X32" s="55" t="n">
        <x:f>IF(LEFT(U32,2)="历史",0,1)</x:f>
        <x:v>1</x:v>
      </x:c>
    </x:row>
    <x:row r="33" ht="36" customHeight="1">
      <x:c r="A33" s="55" t="str">
        <x:v>场景资产</x:v>
      </x:c>
      <x:c r="B33" s="55" t="n">
        <x:v>4</x:v>
      </x:c>
      <x:c r="C33" s="55" t="n">
        <x:v>3</x:v>
      </x:c>
      <x:c r="D33" s="55" t="str">
        <x:v>场景多视角</x:v>
      </x:c>
      <x:c r="E33" s="47" t="str">
        <x:v>  ↳ 视图｜三人返航状态</x:v>
      </x:c>
      <x:c r="F33" s="47" t="str">
        <x:v>BY-SCN-P0-001-梦舟舱内三座布局-V-RETURN-THREE</x:v>
      </x:c>
      <x:c r="G33" s="47" t="str">
        <x:v>BY-SCN-P0-001-梦舟舱内三座布局-V-MASTER</x:v>
      </x:c>
      <x:c r="H33" s="55" t="str">
        <x:v>RETURN-THREE</x:v>
      </x:c>
      <x:c r="I33" s="55" t="str">
        <x:v>SCN-VIEW</x:v>
      </x:c>
      <x:c r="J33" s="55" t="str">
        <x:v>P0</x:v>
      </x:c>
      <x:c r="K33" s="47" t="str">
        <x:v>阶段1_场景视图需求表_V1.3.1</x:v>
      </x:c>
      <x:c r="L33" s="47" t="str">
        <x:v>第1—3、5、11、14—15场</x:v>
      </x:c>
      <x:c r="M33" s="47" t="str">
        <x:v>相对母图的三人返航状态，用于镜头连续和空间核验。</x:v>
      </x:c>
      <x:c r="N33" s="47" t="str">
        <x:v>继承BY-SCN-P0-001-梦舟舱内三座布局-V-MASTER，不重新发明舱室、设备、地貌或光向。</x:v>
      </x:c>
      <x:c r="O33" s="47" t="str">
        <x:v>RETURN-THREE</x:v>
      </x:c>
      <x:c r="P33" s="47" t="str">
        <x:v>舱内结构、座椅织物、低反光设备</x:v>
      </x:c>
      <x:c r="Q33" s="47" t="str">
        <x:v>梦舟舱内任务光</x:v>
      </x:c>
      <x:c r="R33" s="47" t="str">
        <x:v>母图确认后生成；与母图做几何、材料、光影和设备位置一致性检查。</x:v>
      </x:c>
      <x:c r="S33" s="47" t="str">
        <x:v>全片</x:v>
      </x:c>
      <x:c r="T33" s="47" t="str">
        <x:v>V1.3.1场景视图锁定</x:v>
      </x:c>
      <x:c r="U33" s="47" t="str">
        <x:v>V1.3.1重校已确认</x:v>
      </x:c>
      <x:c r="V33" s="47" t="str">
        <x:v>阶段2B在母图确认后生成本视图。</x:v>
      </x:c>
      <x:c r="W33" s="55" t="n">
        <x:f>IF(OR(D33="场景母图",D33="场景多视角"),0,1)</x:f>
        <x:v>0</x:v>
      </x:c>
      <x:c r="X33" s="55" t="n">
        <x:f>IF(LEFT(U33,2)="历史",0,1)</x:f>
        <x:v>1</x:v>
      </x:c>
    </x:row>
    <x:row r="34" ht="44" customHeight="1">
      <x:c r="A34" s="50" t="str">
        <x:v>场景资产</x:v>
      </x:c>
      <x:c r="B34" s="50" t="n">
        <x:v>5</x:v>
      </x:c>
      <x:c r="C34" s="50" t="n">
        <x:v>1</x:v>
      </x:c>
      <x:c r="D34" s="50" t="str">
        <x:v>场景资产组</x:v>
      </x:c>
      <x:c r="E34" s="36" t="str">
        <x:v>梦舟返回舱环月工作位</x:v>
      </x:c>
      <x:c r="F34" s="36" t="str">
        <x:v>BY-SCN-P0-005-梦舟环月工作位</x:v>
      </x:c>
      <x:c r="G34" s="36" t="str"/>
      <x:c r="H34" s="50" t="str"/>
      <x:c r="I34" s="50" t="str">
        <x:v>SCN</x:v>
      </x:c>
      <x:c r="J34" s="50" t="str">
        <x:v>P0</x:v>
      </x:c>
      <x:c r="K34" s="36" t="str">
        <x:v>V1.2逐镜映射见data/阶段1_114镜资产调用映射_V1.2.csv</x:v>
      </x:c>
      <x:c r="L34" s="36" t="str">
        <x:v>第1—3、5、11场</x:v>
      </x:c>
      <x:c r="M34" s="36" t="str">
        <x:v>三座承力座椅区的环月工作状态视图；刘定槎从任务席完成交会、遥测和轨道协同。</x:v>
      </x:c>
      <x:c r="N34" s="36" t="str">
        <x:v>工作位不是第四个位置；任务席、共享前上方显示控制区和相邻两张空座属于同一承力座椅区。</x:v>
      </x:c>
      <x:c r="O34" s="36" t="str">
        <x:v>三人协同；刘定槎单人环月值守；三人重聚</x:v>
      </x:c>
      <x:c r="P34" s="36" t="str">
        <x:v>承力座椅、暖白喷涂面板、石墨灰控制件、织物软包、蓝色扶手</x:v>
      </x:c>
      <x:c r="Q34" s="36" t="str">
        <x:v>舱顶暖白任务灯＋屏幕微弱冷光；窗外黑暗</x:v>
      </x:c>
      <x:c r="R34" s="36" t="str">
        <x:v>工作位与三座承力区必须属于同一返回舱空间，不生成宽阔独立驾驶舱。</x:v>
      </x:c>
      <x:c r="S34" s="36" t="str">
        <x:v>第1、3、9、11—14场</x:v>
      </x:c>
      <x:c r="T34" s="36" t="str">
        <x:v>V1.2剧本明确＋项目锁定＋公开工程资料边界</x:v>
      </x:c>
      <x:c r="U34" s="36" t="str">
        <x:v>已确认生产方向</x:v>
      </x:c>
      <x:c r="V34" s="36" t="str">
        <x:v>阶段2A重入后按生产包执行</x:v>
      </x:c>
      <x:c r="W34" s="50" t="n">
        <x:f>IF(OR(D34="场景母图",D34="场景多视角"),0,1)</x:f>
        <x:v>1</x:v>
      </x:c>
      <x:c r="X34" s="50" t="n">
        <x:f>IF(LEFT(U34,2)="历史",0,1)</x:f>
        <x:v>1</x:v>
      </x:c>
    </x:row>
    <x:row r="35" ht="44" customHeight="1">
      <x:c r="A35" s="54" t="str">
        <x:v>场景资产</x:v>
      </x:c>
      <x:c r="B35" s="54" t="n">
        <x:v>6</x:v>
      </x:c>
      <x:c r="C35" s="54" t="n">
        <x:v>2</x:v>
      </x:c>
      <x:c r="D35" s="54" t="str">
        <x:v>场景母图</x:v>
      </x:c>
      <x:c r="E35" s="46" t="str">
        <x:v>↳ 母图｜梦舟返回舱环月工作位</x:v>
      </x:c>
      <x:c r="F35" s="46" t="str">
        <x:v>BY-SCN-P0-005-梦舟环月工作位-V-MASTER</x:v>
      </x:c>
      <x:c r="G35" s="46" t="str">
        <x:v>BY-SCN-P0-005-梦舟环月工作位</x:v>
      </x:c>
      <x:c r="H35" s="54" t="str">
        <x:v>MASTER</x:v>
      </x:c>
      <x:c r="I35" s="54" t="str">
        <x:v>SCN-VIEW</x:v>
      </x:c>
      <x:c r="J35" s="54" t="str">
        <x:v>P0</x:v>
      </x:c>
      <x:c r="K35" s="46" t="str">
        <x:v>阶段1_场景视图需求表_V1.3.1</x:v>
      </x:c>
      <x:c r="L35" s="46" t="str">
        <x:v>第1—3、5、11场</x:v>
      </x:c>
      <x:c r="M35" s="46" t="str">
        <x:v>该场景的统一母图，锁定空间、尺度、材料、光向和主构图。</x:v>
      </x:c>
      <x:c r="N35" s="46" t="str">
        <x:v>后续全部视图均以本母图为唯一空间依据。</x:v>
      </x:c>
      <x:c r="O35" s="46" t="str">
        <x:v>MASTER</x:v>
      </x:c>
      <x:c r="P35" s="46" t="str">
        <x:v>承力座椅、暖白喷涂面板、石墨灰控制件、织物软包、蓝色扶手</x:v>
      </x:c>
      <x:c r="Q35" s="46" t="str">
        <x:v>舱顶暖白任务灯＋屏幕微弱冷光；窗外黑暗</x:v>
      </x:c>
      <x:c r="R35" s="46" t="str">
        <x:v>先确认母图，再进入多视角和状态图生产。</x:v>
      </x:c>
      <x:c r="S35" s="46" t="str">
        <x:v>第1、3、9、11—14场</x:v>
      </x:c>
      <x:c r="T35" s="46" t="str">
        <x:v>V1.3.1场景视图锁定</x:v>
      </x:c>
      <x:c r="U35" s="46" t="str">
        <x:v>V1.3.1重校已确认</x:v>
      </x:c>
      <x:c r="V35" s="46" t="str">
        <x:v>阶段2B先生成并确认本母图。</x:v>
      </x:c>
      <x:c r="W35" s="54" t="n">
        <x:f>IF(OR(D35="场景母图",D35="场景多视角"),0,1)</x:f>
        <x:v>0</x:v>
      </x:c>
      <x:c r="X35" s="54" t="n">
        <x:f>IF(LEFT(U35,2)="历史",0,1)</x:f>
        <x:v>1</x:v>
      </x:c>
    </x:row>
    <x:row r="36" ht="36" customHeight="1">
      <x:c r="A36" s="55" t="str">
        <x:v>场景资产</x:v>
      </x:c>
      <x:c r="B36" s="55" t="n">
        <x:v>7</x:v>
      </x:c>
      <x:c r="C36" s="55" t="n">
        <x:v>3</x:v>
      </x:c>
      <x:c r="D36" s="55" t="str">
        <x:v>场景多视角</x:v>
      </x:c>
      <x:c r="E36" s="47" t="str">
        <x:v>  ↳ 视图｜工作位正向</x:v>
      </x:c>
      <x:c r="F36" s="47" t="str">
        <x:v>BY-SCN-P0-005-梦舟环月工作位-V-WORK-FRONT</x:v>
      </x:c>
      <x:c r="G36" s="47" t="str">
        <x:v>BY-SCN-P0-005-梦舟环月工作位-V-MASTER</x:v>
      </x:c>
      <x:c r="H36" s="55" t="str">
        <x:v>WORK-FRONT</x:v>
      </x:c>
      <x:c r="I36" s="55" t="str">
        <x:v>SCN-VIEW</x:v>
      </x:c>
      <x:c r="J36" s="55" t="str">
        <x:v>P0</x:v>
      </x:c>
      <x:c r="K36" s="47" t="str">
        <x:v>阶段1_场景视图需求表_V1.3.1</x:v>
      </x:c>
      <x:c r="L36" s="47" t="str">
        <x:v>第1—3、5、11场</x:v>
      </x:c>
      <x:c r="M36" s="47" t="str">
        <x:v>相对母图的工作位正向，用于镜头连续和空间核验。</x:v>
      </x:c>
      <x:c r="N36" s="47" t="str">
        <x:v>继承BY-SCN-P0-005-梦舟环月工作位-V-MASTER，不重新发明舱室、设备、地貌或光向。</x:v>
      </x:c>
      <x:c r="O36" s="47" t="str">
        <x:v>WORK-FRONT</x:v>
      </x:c>
      <x:c r="P36" s="47" t="str">
        <x:v>承力座椅、暖白喷涂面板、石墨灰控制件、织物软包、蓝色扶手</x:v>
      </x:c>
      <x:c r="Q36" s="47" t="str">
        <x:v>舱顶暖白任务灯＋屏幕微弱冷光；窗外黑暗</x:v>
      </x:c>
      <x:c r="R36" s="47" t="str">
        <x:v>母图确认后生成；与母图做几何、材料、光影和设备位置一致性检查。</x:v>
      </x:c>
      <x:c r="S36" s="47" t="str">
        <x:v>第1、3、9、11—14场</x:v>
      </x:c>
      <x:c r="T36" s="47" t="str">
        <x:v>V1.3.1场景视图锁定</x:v>
      </x:c>
      <x:c r="U36" s="47" t="str">
        <x:v>V1.3.1重校已确认</x:v>
      </x:c>
      <x:c r="V36" s="47" t="str">
        <x:v>阶段2B在母图确认后生成本视图。</x:v>
      </x:c>
      <x:c r="W36" s="55" t="n">
        <x:f>IF(OR(D36="场景母图",D36="场景多视角"),0,1)</x:f>
        <x:v>0</x:v>
      </x:c>
      <x:c r="X36" s="55" t="n">
        <x:f>IF(LEFT(U36,2)="历史",0,1)</x:f>
        <x:v>1</x:v>
      </x:c>
    </x:row>
    <x:row r="37" ht="36" customHeight="1">
      <x:c r="A37" s="55" t="str">
        <x:v>场景资产</x:v>
      </x:c>
      <x:c r="B37" s="55" t="n">
        <x:v>8</x:v>
      </x:c>
      <x:c r="C37" s="55" t="n">
        <x:v>3</x:v>
      </x:c>
      <x:c r="D37" s="55" t="str">
        <x:v>场景多视角</x:v>
      </x:c>
      <x:c r="E37" s="47" t="str">
        <x:v>  ↳ 视图｜越肩工作位</x:v>
      </x:c>
      <x:c r="F37" s="47" t="str">
        <x:v>BY-SCN-P0-005-梦舟环月工作位-V-WORK-OTS</x:v>
      </x:c>
      <x:c r="G37" s="47" t="str">
        <x:v>BY-SCN-P0-005-梦舟环月工作位-V-MASTER</x:v>
      </x:c>
      <x:c r="H37" s="55" t="str">
        <x:v>WORK-OTS</x:v>
      </x:c>
      <x:c r="I37" s="55" t="str">
        <x:v>SCN-VIEW</x:v>
      </x:c>
      <x:c r="J37" s="55" t="str">
        <x:v>P0</x:v>
      </x:c>
      <x:c r="K37" s="47" t="str">
        <x:v>阶段1_场景视图需求表_V1.3.1</x:v>
      </x:c>
      <x:c r="L37" s="47" t="str">
        <x:v>第1—3、5、11场</x:v>
      </x:c>
      <x:c r="M37" s="47" t="str">
        <x:v>相对母图的越肩工作位，用于镜头连续和空间核验。</x:v>
      </x:c>
      <x:c r="N37" s="47" t="str">
        <x:v>继承BY-SCN-P0-005-梦舟环月工作位-V-MASTER，不重新发明舱室、设备、地貌或光向。</x:v>
      </x:c>
      <x:c r="O37" s="47" t="str">
        <x:v>WORK-OTS</x:v>
      </x:c>
      <x:c r="P37" s="47" t="str">
        <x:v>承力座椅、暖白喷涂面板、石墨灰控制件、织物软包、蓝色扶手</x:v>
      </x:c>
      <x:c r="Q37" s="47" t="str">
        <x:v>舱顶暖白任务灯＋屏幕微弱冷光；窗外黑暗</x:v>
      </x:c>
      <x:c r="R37" s="47" t="str">
        <x:v>母图确认后生成；与母图做几何、材料、光影和设备位置一致性检查。</x:v>
      </x:c>
      <x:c r="S37" s="47" t="str">
        <x:v>第1、3、9、11—14场</x:v>
      </x:c>
      <x:c r="T37" s="47" t="str">
        <x:v>V1.3.1场景视图锁定</x:v>
      </x:c>
      <x:c r="U37" s="47" t="str">
        <x:v>V1.3.1重校已确认</x:v>
      </x:c>
      <x:c r="V37" s="47" t="str">
        <x:v>阶段2B在母图确认后生成本视图。</x:v>
      </x:c>
      <x:c r="W37" s="55" t="n">
        <x:f>IF(OR(D37="场景母图",D37="场景多视角"),0,1)</x:f>
        <x:v>0</x:v>
      </x:c>
      <x:c r="X37" s="55" t="n">
        <x:f>IF(LEFT(U37,2)="历史",0,1)</x:f>
        <x:v>1</x:v>
      </x:c>
    </x:row>
    <x:row r="38" ht="44" customHeight="1">
      <x:c r="A38" s="50" t="str">
        <x:v>场景资产</x:v>
      </x:c>
      <x:c r="B38" s="50" t="n">
        <x:v>9</x:v>
      </x:c>
      <x:c r="C38" s="50" t="n">
        <x:v>1</x:v>
      </x:c>
      <x:c r="D38" s="50" t="str">
        <x:v>场景资产组</x:v>
      </x:c>
      <x:c r="E38" s="36" t="str">
        <x:v>梦舟—揽月轴向对接转移通道</x:v>
      </x:c>
      <x:c r="F38" s="36" t="str">
        <x:v>BY-SCN-P0-002-梦舟对接通道与舱门区</x:v>
      </x:c>
      <x:c r="G38" s="36" t="str"/>
      <x:c r="H38" s="50" t="str"/>
      <x:c r="I38" s="50" t="str">
        <x:v>SCN</x:v>
      </x:c>
      <x:c r="J38" s="50" t="str">
        <x:v>P0</x:v>
      </x:c>
      <x:c r="K38" s="36" t="str">
        <x:v>V1.2逐镜映射见data/阶段1_114镜资产调用映射_V1.2.csv</x:v>
      </x:c>
      <x:c r="L38" s="36" t="str">
        <x:v>场3,13；镜013,014,016,018,019,089,092</x:v>
      </x:c>
      <x:c r="M38" s="36" t="str">
        <x:v>两器前向舱门连接后的紧凑轴向通道，用于物品、人员和样品两次转移。</x:v>
      </x:c>
      <x:c r="N38" s="36" t="str">
        <x:v>双向人员与样品转移尺度明确</x:v>
      </x:c>
      <x:c r="O38" s="36" t="str">
        <x:v>关闭；压差归零；双门开启；物品先行；人员转移；样品回传</x:v>
      </x:c>
      <x:c r="P38" s="36" t="str">
        <x:v>舱门、密封圈、扶手、内衬</x:v>
      </x:c>
      <x:c r="Q38" s="36" t="str">
        <x:v>两器舱内实用光</x:v>
      </x:c>
      <x:c r="R38" s="36" t="str">
        <x:v>母图与轴线双向SV1</x:v>
      </x:c>
      <x:c r="S38" s="36" t="str">
        <x:v>03;12-13</x:v>
      </x:c>
      <x:c r="T38" s="36" t="str">
        <x:v>剧本明确;创作者建议</x:v>
      </x:c>
      <x:c r="U38" s="36" t="str">
        <x:v>已确认</x:v>
      </x:c>
      <x:c r="V38" s="36" t="str">
        <x:v>作为独立场景母图验证，不与梦舟三座母图合并</x:v>
      </x:c>
      <x:c r="W38" s="50" t="n">
        <x:f>IF(OR(D38="场景母图",D38="场景多视角"),0,1)</x:f>
        <x:v>1</x:v>
      </x:c>
      <x:c r="X38" s="50" t="n">
        <x:f>IF(LEFT(U38,2)="历史",0,1)</x:f>
        <x:v>1</x:v>
      </x:c>
    </x:row>
    <x:row r="39" ht="44" customHeight="1">
      <x:c r="A39" s="54" t="str">
        <x:v>场景资产</x:v>
      </x:c>
      <x:c r="B39" s="54" t="n">
        <x:v>10</x:v>
      </x:c>
      <x:c r="C39" s="54" t="n">
        <x:v>2</x:v>
      </x:c>
      <x:c r="D39" s="54" t="str">
        <x:v>场景母图</x:v>
      </x:c>
      <x:c r="E39" s="46" t="str">
        <x:v>↳ 母图｜梦舟—揽月轴向对接转移通道</x:v>
      </x:c>
      <x:c r="F39" s="46" t="str">
        <x:v>BY-SCN-P0-002-梦舟对接通道与舱门区-V-MASTER</x:v>
      </x:c>
      <x:c r="G39" s="46" t="str">
        <x:v>BY-SCN-P0-002-梦舟对接通道与舱门区</x:v>
      </x:c>
      <x:c r="H39" s="54" t="str">
        <x:v>MASTER</x:v>
      </x:c>
      <x:c r="I39" s="54" t="str">
        <x:v>SCN-VIEW</x:v>
      </x:c>
      <x:c r="J39" s="54" t="str">
        <x:v>P0</x:v>
      </x:c>
      <x:c r="K39" s="46" t="str">
        <x:v>阶段1_场景视图需求表_V1.3.1</x:v>
      </x:c>
      <x:c r="L39" s="46" t="str">
        <x:v>场3,13；镜013,014,016,018,019,089,092</x:v>
      </x:c>
      <x:c r="M39" s="46" t="str">
        <x:v>该场景的统一母图，锁定空间、尺度、材料、光向和主构图。</x:v>
      </x:c>
      <x:c r="N39" s="46" t="str">
        <x:v>后续全部视图均以本母图为唯一空间依据。</x:v>
      </x:c>
      <x:c r="O39" s="46" t="str">
        <x:v>MASTER</x:v>
      </x:c>
      <x:c r="P39" s="46" t="str">
        <x:v>舱门、密封圈、扶手、内衬</x:v>
      </x:c>
      <x:c r="Q39" s="46" t="str">
        <x:v>两器舱内实用光</x:v>
      </x:c>
      <x:c r="R39" s="46" t="str">
        <x:v>先确认母图，再进入多视角和状态图生产。</x:v>
      </x:c>
      <x:c r="S39" s="46" t="str">
        <x:v>03;12-13</x:v>
      </x:c>
      <x:c r="T39" s="46" t="str">
        <x:v>V1.3.1场景视图锁定</x:v>
      </x:c>
      <x:c r="U39" s="46" t="str">
        <x:v>已确认推荐口径</x:v>
      </x:c>
      <x:c r="V39" s="46" t="str">
        <x:v>阶段2B先生成并确认本母图。</x:v>
      </x:c>
      <x:c r="W39" s="54" t="n">
        <x:f>IF(OR(D39="场景母图",D39="场景多视角"),0,1)</x:f>
        <x:v>0</x:v>
      </x:c>
      <x:c r="X39" s="54" t="n">
        <x:f>IF(LEFT(U39,2)="历史",0,1)</x:f>
        <x:v>1</x:v>
      </x:c>
    </x:row>
    <x:row r="40" ht="36" customHeight="1">
      <x:c r="A40" s="55" t="str">
        <x:v>场景资产</x:v>
      </x:c>
      <x:c r="B40" s="55" t="n">
        <x:v>11</x:v>
      </x:c>
      <x:c r="C40" s="55" t="n">
        <x:v>3</x:v>
      </x:c>
      <x:c r="D40" s="55" t="str">
        <x:v>场景多视角</x:v>
      </x:c>
      <x:c r="E40" s="47" t="str">
        <x:v>  ↳ 视图｜梦舟端轴向</x:v>
      </x:c>
      <x:c r="F40" s="47" t="str">
        <x:v>BY-SCN-P0-002-梦舟对接通道与舱门区-V-AXIS-DREAM</x:v>
      </x:c>
      <x:c r="G40" s="47" t="str">
        <x:v>BY-SCN-P0-002-梦舟对接通道与舱门区-V-MASTER</x:v>
      </x:c>
      <x:c r="H40" s="55" t="str">
        <x:v>AXIS-DREAM</x:v>
      </x:c>
      <x:c r="I40" s="55" t="str">
        <x:v>SCN-VIEW</x:v>
      </x:c>
      <x:c r="J40" s="55" t="str">
        <x:v>P0</x:v>
      </x:c>
      <x:c r="K40" s="47" t="str">
        <x:v>阶段1_场景视图需求表_V1.3.1</x:v>
      </x:c>
      <x:c r="L40" s="47" t="str">
        <x:v>场3,13；镜013,014,016,018,019,089,092</x:v>
      </x:c>
      <x:c r="M40" s="47" t="str">
        <x:v>相对母图的梦舟端轴向，用于镜头连续和空间核验。</x:v>
      </x:c>
      <x:c r="N40" s="47" t="str">
        <x:v>继承BY-SCN-P0-002-梦舟对接通道与舱门区-V-MASTER，不重新发明舱室、设备、地貌或光向。</x:v>
      </x:c>
      <x:c r="O40" s="47" t="str">
        <x:v>AXIS-DREAM</x:v>
      </x:c>
      <x:c r="P40" s="47" t="str">
        <x:v>舱门、密封圈、扶手、内衬</x:v>
      </x:c>
      <x:c r="Q40" s="47" t="str">
        <x:v>两器舱内实用光</x:v>
      </x:c>
      <x:c r="R40" s="47" t="str">
        <x:v>母图确认后生成；与母图做几何、材料、光影和设备位置一致性检查。</x:v>
      </x:c>
      <x:c r="S40" s="47" t="str">
        <x:v>03;12-13</x:v>
      </x:c>
      <x:c r="T40" s="47" t="str">
        <x:v>V1.3.1场景视图锁定</x:v>
      </x:c>
      <x:c r="U40" s="47" t="str">
        <x:v>已确认推荐口径</x:v>
      </x:c>
      <x:c r="V40" s="47" t="str">
        <x:v>阶段2B在母图确认后生成本视图。</x:v>
      </x:c>
      <x:c r="W40" s="55" t="n">
        <x:f>IF(OR(D40="场景母图",D40="场景多视角"),0,1)</x:f>
        <x:v>0</x:v>
      </x:c>
      <x:c r="X40" s="55" t="n">
        <x:f>IF(LEFT(U40,2)="历史",0,1)</x:f>
        <x:v>1</x:v>
      </x:c>
    </x:row>
    <x:row r="41" ht="36" customHeight="1">
      <x:c r="A41" s="55" t="str">
        <x:v>场景资产</x:v>
      </x:c>
      <x:c r="B41" s="55" t="n">
        <x:v>12</x:v>
      </x:c>
      <x:c r="C41" s="55" t="n">
        <x:v>3</x:v>
      </x:c>
      <x:c r="D41" s="55" t="str">
        <x:v>场景多视角</x:v>
      </x:c>
      <x:c r="E41" s="47" t="str">
        <x:v>  ↳ 视图｜揽月端轴向</x:v>
      </x:c>
      <x:c r="F41" s="47" t="str">
        <x:v>BY-SCN-P0-002-梦舟对接通道与舱门区-V-AXIS-LANYUE</x:v>
      </x:c>
      <x:c r="G41" s="47" t="str">
        <x:v>BY-SCN-P0-002-梦舟对接通道与舱门区-V-MASTER</x:v>
      </x:c>
      <x:c r="H41" s="55" t="str">
        <x:v>AXIS-LANYUE</x:v>
      </x:c>
      <x:c r="I41" s="55" t="str">
        <x:v>SCN-VIEW</x:v>
      </x:c>
      <x:c r="J41" s="55" t="str">
        <x:v>P0</x:v>
      </x:c>
      <x:c r="K41" s="47" t="str">
        <x:v>阶段1_场景视图需求表_V1.3.1</x:v>
      </x:c>
      <x:c r="L41" s="47" t="str">
        <x:v>场3,13；镜013,014,016,018,019,089,092</x:v>
      </x:c>
      <x:c r="M41" s="47" t="str">
        <x:v>相对母图的揽月端轴向，用于镜头连续和空间核验。</x:v>
      </x:c>
      <x:c r="N41" s="47" t="str">
        <x:v>继承BY-SCN-P0-002-梦舟对接通道与舱门区-V-MASTER，不重新发明舱室、设备、地貌或光向。</x:v>
      </x:c>
      <x:c r="O41" s="47" t="str">
        <x:v>AXIS-LANYUE</x:v>
      </x:c>
      <x:c r="P41" s="47" t="str">
        <x:v>舱门、密封圈、扶手、内衬</x:v>
      </x:c>
      <x:c r="Q41" s="47" t="str">
        <x:v>两器舱内实用光</x:v>
      </x:c>
      <x:c r="R41" s="47" t="str">
        <x:v>母图确认后生成；与母图做几何、材料、光影和设备位置一致性检查。</x:v>
      </x:c>
      <x:c r="S41" s="47" t="str">
        <x:v>03;12-13</x:v>
      </x:c>
      <x:c r="T41" s="47" t="str">
        <x:v>V1.3.1场景视图锁定</x:v>
      </x:c>
      <x:c r="U41" s="47" t="str">
        <x:v>已确认推荐口径</x:v>
      </x:c>
      <x:c r="V41" s="47" t="str">
        <x:v>阶段2B在母图确认后生成本视图。</x:v>
      </x:c>
      <x:c r="W41" s="55" t="n">
        <x:f>IF(OR(D41="场景母图",D41="场景多视角"),0,1)</x:f>
        <x:v>0</x:v>
      </x:c>
      <x:c r="X41" s="55" t="n">
        <x:f>IF(LEFT(U41,2)="历史",0,1)</x:f>
        <x:v>1</x:v>
      </x:c>
    </x:row>
    <x:row r="42" ht="36" customHeight="1">
      <x:c r="A42" s="55" t="str">
        <x:v>场景资产</x:v>
      </x:c>
      <x:c r="B42" s="55" t="n">
        <x:v>13</x:v>
      </x:c>
      <x:c r="C42" s="55" t="n">
        <x:v>3</x:v>
      </x:c>
      <x:c r="D42" s="55" t="str">
        <x:v>场景多视角</x:v>
      </x:c>
      <x:c r="E42" s="47" t="str">
        <x:v>  ↳ 视图｜人员／物资转移</x:v>
      </x:c>
      <x:c r="F42" s="47" t="str">
        <x:v>BY-SCN-P0-002-梦舟对接通道与舱门区-V-TRANSFER</x:v>
      </x:c>
      <x:c r="G42" s="47" t="str">
        <x:v>BY-SCN-P0-002-梦舟对接通道与舱门区-V-MASTER</x:v>
      </x:c>
      <x:c r="H42" s="55" t="str">
        <x:v>TRANSFER</x:v>
      </x:c>
      <x:c r="I42" s="55" t="str">
        <x:v>SCN-VIEW</x:v>
      </x:c>
      <x:c r="J42" s="55" t="str">
        <x:v>P0</x:v>
      </x:c>
      <x:c r="K42" s="47" t="str">
        <x:v>阶段1_场景视图需求表_V1.3.1</x:v>
      </x:c>
      <x:c r="L42" s="47" t="str">
        <x:v>场3,13；镜013,014,016,018,019,089,092</x:v>
      </x:c>
      <x:c r="M42" s="47" t="str">
        <x:v>相对母图的人员／物资转移，用于镜头连续和空间核验。</x:v>
      </x:c>
      <x:c r="N42" s="47" t="str">
        <x:v>继承BY-SCN-P0-002-梦舟对接通道与舱门区-V-MASTER，不重新发明舱室、设备、地貌或光向。</x:v>
      </x:c>
      <x:c r="O42" s="47" t="str">
        <x:v>TRANSFER</x:v>
      </x:c>
      <x:c r="P42" s="47" t="str">
        <x:v>舱门、密封圈、扶手、内衬</x:v>
      </x:c>
      <x:c r="Q42" s="47" t="str">
        <x:v>两器舱内实用光</x:v>
      </x:c>
      <x:c r="R42" s="47" t="str">
        <x:v>母图确认后生成；与母图做几何、材料、光影和设备位置一致性检查。</x:v>
      </x:c>
      <x:c r="S42" s="47" t="str">
        <x:v>03;12-13</x:v>
      </x:c>
      <x:c r="T42" s="47" t="str">
        <x:v>V1.3.1场景视图锁定</x:v>
      </x:c>
      <x:c r="U42" s="47" t="str">
        <x:v>已确认推荐口径</x:v>
      </x:c>
      <x:c r="V42" s="47" t="str">
        <x:v>阶段2B在母图确认后生成本视图。</x:v>
      </x:c>
      <x:c r="W42" s="55" t="n">
        <x:f>IF(OR(D42="场景母图",D42="场景多视角"),0,1)</x:f>
        <x:v>0</x:v>
      </x:c>
      <x:c r="X42" s="55" t="n">
        <x:f>IF(LEFT(U42,2)="历史",0,1)</x:f>
        <x:v>1</x:v>
      </x:c>
    </x:row>
    <x:row r="43" ht="44" customHeight="1">
      <x:c r="A43" s="50" t="str">
        <x:v>场景资产</x:v>
      </x:c>
      <x:c r="B43" s="50" t="n">
        <x:v>14</x:v>
      </x:c>
      <x:c r="C43" s="50" t="n">
        <x:v>1</x:v>
      </x:c>
      <x:c r="D43" s="50" t="str">
        <x:v>场景资产组</x:v>
      </x:c>
      <x:c r="E43" s="36" t="str">
        <x:v>揽月登月舱舱内</x:v>
      </x:c>
      <x:c r="F43" s="36" t="str">
        <x:v>BY-SCN-P0-003-揽月登月舱舱内</x:v>
      </x:c>
      <x:c r="G43" s="36" t="str"/>
      <x:c r="H43" s="50" t="str"/>
      <x:c r="I43" s="50" t="str">
        <x:v>SCN</x:v>
      </x:c>
      <x:c r="J43" s="50" t="str">
        <x:v>P0</x:v>
      </x:c>
      <x:c r="K43" s="36" t="str">
        <x:v>V1.2逐镜映射见data/阶段1_114镜资产调用映射_V1.2.csv</x:v>
      </x:c>
      <x:c r="L43" s="36" t="str">
        <x:v>场2,3,4,5,6,7,10,11,12；镜009,011,017,019,023,029,032,036,038,040,043,044,045,046,069,070,071,073,076,082</x:v>
      </x:c>
      <x:c r="M43" s="36" t="str">
        <x:v>两座位、操作区、舱门、载荷与登月服固定区</x:v>
      </x:c>
      <x:c r="N43" s="36" t="str">
        <x:v>空间需支持下降、EVA准备、起飞和对接</x:v>
      </x:c>
      <x:c r="O43" s="36" t="str">
        <x:v>月轨交会；动力下降；着陆后；EVA准备／复压；月面起飞；再交会</x:v>
      </x:c>
      <x:c r="P43" s="36" t="str">
        <x:v>舱内结构、低反光设备、功能织物</x:v>
      </x:c>
      <x:c r="Q43" s="36" t="str">
        <x:v>揽月下降任务光与开舱门月面反射</x:v>
      </x:c>
      <x:c r="R43" s="36" t="str">
        <x:v>母图与SV2标准五视图</x:v>
      </x:c>
      <x:c r="S43" s="36" t="str">
        <x:v>02-12</x:v>
      </x:c>
      <x:c r="T43" s="36" t="str">
        <x:v>剧本明确;公开资料;创作者建议</x:v>
      </x:c>
      <x:c r="U43" s="36" t="str">
        <x:v>已确认</x:v>
      </x:c>
      <x:c r="V43" s="36" t="str">
        <x:v>按V1.2状态链复核原设计，再做必要视图</x:v>
      </x:c>
      <x:c r="W43" s="50" t="n">
        <x:f>IF(OR(D43="场景母图",D43="场景多视角"),0,1)</x:f>
        <x:v>1</x:v>
      </x:c>
      <x:c r="X43" s="50" t="n">
        <x:f>IF(LEFT(U43,2)="历史",0,1)</x:f>
        <x:v>1</x:v>
      </x:c>
    </x:row>
    <x:row r="44" ht="44" customHeight="1">
      <x:c r="A44" s="54" t="str">
        <x:v>场景资产</x:v>
      </x:c>
      <x:c r="B44" s="54" t="n">
        <x:v>15</x:v>
      </x:c>
      <x:c r="C44" s="54" t="n">
        <x:v>2</x:v>
      </x:c>
      <x:c r="D44" s="54" t="str">
        <x:v>场景母图</x:v>
      </x:c>
      <x:c r="E44" s="46" t="str">
        <x:v>↳ 母图｜揽月登月舱舱内</x:v>
      </x:c>
      <x:c r="F44" s="46" t="str">
        <x:v>BY-SCN-P0-003-揽月登月舱舱内-V-MASTER</x:v>
      </x:c>
      <x:c r="G44" s="46" t="str">
        <x:v>BY-SCN-P0-003-揽月登月舱舱内</x:v>
      </x:c>
      <x:c r="H44" s="54" t="str">
        <x:v>MASTER</x:v>
      </x:c>
      <x:c r="I44" s="54" t="str">
        <x:v>SCN-VIEW</x:v>
      </x:c>
      <x:c r="J44" s="54" t="str">
        <x:v>P0</x:v>
      </x:c>
      <x:c r="K44" s="46" t="str">
        <x:v>阶段1_场景视图需求表_V1.3.1</x:v>
      </x:c>
      <x:c r="L44" s="46" t="str">
        <x:v>场2,3,4,5,6,7,10,11,12；镜009,011,017,019,023,029,032,036,038,040,043,044,045,046,069,070,071,073,076,082</x:v>
      </x:c>
      <x:c r="M44" s="46" t="str">
        <x:v>该场景的统一母图，锁定空间、尺度、材料、光向和主构图。</x:v>
      </x:c>
      <x:c r="N44" s="46" t="str">
        <x:v>后续全部视图均以本母图为唯一空间依据。</x:v>
      </x:c>
      <x:c r="O44" s="46" t="str">
        <x:v>MASTER</x:v>
      </x:c>
      <x:c r="P44" s="46" t="str">
        <x:v>舱内结构、低反光设备、功能织物</x:v>
      </x:c>
      <x:c r="Q44" s="46" t="str">
        <x:v>揽月下降任务光与开舱门月面反射</x:v>
      </x:c>
      <x:c r="R44" s="46" t="str">
        <x:v>先确认母图，再进入多视角和状态图生产。</x:v>
      </x:c>
      <x:c r="S44" s="46" t="str">
        <x:v>02-12</x:v>
      </x:c>
      <x:c r="T44" s="46" t="str">
        <x:v>V1.3.1场景视图锁定</x:v>
      </x:c>
      <x:c r="U44" s="46" t="str">
        <x:v>继承已确认</x:v>
      </x:c>
      <x:c r="V44" s="46" t="str">
        <x:v>阶段2B先生成并确认本母图。</x:v>
      </x:c>
      <x:c r="W44" s="54" t="n">
        <x:f>IF(OR(D44="场景母图",D44="场景多视角"),0,1)</x:f>
        <x:v>0</x:v>
      </x:c>
      <x:c r="X44" s="54" t="n">
        <x:f>IF(LEFT(U44,2)="历史",0,1)</x:f>
        <x:v>1</x:v>
      </x:c>
    </x:row>
    <x:row r="45" ht="36" customHeight="1">
      <x:c r="A45" s="55" t="str">
        <x:v>场景资产</x:v>
      </x:c>
      <x:c r="B45" s="55" t="n">
        <x:v>16</x:v>
      </x:c>
      <x:c r="C45" s="55" t="n">
        <x:v>3</x:v>
      </x:c>
      <x:c r="D45" s="55" t="str">
        <x:v>场景多视角</x:v>
      </x:c>
      <x:c r="E45" s="47" t="str">
        <x:v>  ↳ 视图｜正视图</x:v>
      </x:c>
      <x:c r="F45" s="47" t="str">
        <x:v>BY-SCN-P0-003-揽月登月舱舱内-V-FRONT</x:v>
      </x:c>
      <x:c r="G45" s="47" t="str">
        <x:v>BY-SCN-P0-003-揽月登月舱舱内-V-MASTER</x:v>
      </x:c>
      <x:c r="H45" s="55" t="str">
        <x:v>FRONT</x:v>
      </x:c>
      <x:c r="I45" s="55" t="str">
        <x:v>SCN-VIEW</x:v>
      </x:c>
      <x:c r="J45" s="55" t="str">
        <x:v>P0</x:v>
      </x:c>
      <x:c r="K45" s="47" t="str">
        <x:v>阶段1_场景视图需求表_V1.3.1</x:v>
      </x:c>
      <x:c r="L45" s="47" t="str">
        <x:v>场2,3,4,5,6,7,10,11,12；镜009,011,017,019,023,029,032,036,038,040,043,044,045,046,069,070,071,073,076,082</x:v>
      </x:c>
      <x:c r="M45" s="47" t="str">
        <x:v>相对母图的正视图，用于镜头连续和空间核验。</x:v>
      </x:c>
      <x:c r="N45" s="47" t="str">
        <x:v>继承BY-SCN-P0-003-揽月登月舱舱内-V-MASTER，不重新发明舱室、设备、地貌或光向。</x:v>
      </x:c>
      <x:c r="O45" s="47" t="str">
        <x:v>FRONT</x:v>
      </x:c>
      <x:c r="P45" s="47" t="str">
        <x:v>舱内结构、低反光设备、功能织物</x:v>
      </x:c>
      <x:c r="Q45" s="47" t="str">
        <x:v>揽月下降任务光与开舱门月面反射</x:v>
      </x:c>
      <x:c r="R45" s="47" t="str">
        <x:v>母图确认后生成；与母图做几何、材料、光影和设备位置一致性检查。</x:v>
      </x:c>
      <x:c r="S45" s="47" t="str">
        <x:v>02-12</x:v>
      </x:c>
      <x:c r="T45" s="47" t="str">
        <x:v>V1.3.1场景视图锁定</x:v>
      </x:c>
      <x:c r="U45" s="47" t="str">
        <x:v>继承已确认</x:v>
      </x:c>
      <x:c r="V45" s="47" t="str">
        <x:v>阶段2B在母图确认后生成本视图。</x:v>
      </x:c>
      <x:c r="W45" s="55" t="n">
        <x:f>IF(OR(D45="场景母图",D45="场景多视角"),0,1)</x:f>
        <x:v>0</x:v>
      </x:c>
      <x:c r="X45" s="55" t="n">
        <x:f>IF(LEFT(U45,2)="历史",0,1)</x:f>
        <x:v>1</x:v>
      </x:c>
    </x:row>
    <x:row r="46" ht="36" customHeight="1">
      <x:c r="A46" s="55" t="str">
        <x:v>场景资产</x:v>
      </x:c>
      <x:c r="B46" s="55" t="n">
        <x:v>17</x:v>
      </x:c>
      <x:c r="C46" s="55" t="n">
        <x:v>3</x:v>
      </x:c>
      <x:c r="D46" s="55" t="str">
        <x:v>场景多视角</x:v>
      </x:c>
      <x:c r="E46" s="47" t="str">
        <x:v>  ↳ 视图｜后视图</x:v>
      </x:c>
      <x:c r="F46" s="47" t="str">
        <x:v>BY-SCN-P0-003-揽月登月舱舱内-V-BACK</x:v>
      </x:c>
      <x:c r="G46" s="47" t="str">
        <x:v>BY-SCN-P0-003-揽月登月舱舱内-V-MASTER</x:v>
      </x:c>
      <x:c r="H46" s="55" t="str">
        <x:v>BACK</x:v>
      </x:c>
      <x:c r="I46" s="55" t="str">
        <x:v>SCN-VIEW</x:v>
      </x:c>
      <x:c r="J46" s="55" t="str">
        <x:v>P0</x:v>
      </x:c>
      <x:c r="K46" s="47" t="str">
        <x:v>阶段1_场景视图需求表_V1.3.1</x:v>
      </x:c>
      <x:c r="L46" s="47" t="str">
        <x:v>场2,3,4,5,6,7,10,11,12；镜009,011,017,019,023,029,032,036,038,040,043,044,045,046,069,070,071,073,076,082</x:v>
      </x:c>
      <x:c r="M46" s="47" t="str">
        <x:v>相对母图的后视图，用于镜头连续和空间核验。</x:v>
      </x:c>
      <x:c r="N46" s="47" t="str">
        <x:v>继承BY-SCN-P0-003-揽月登月舱舱内-V-MASTER，不重新发明舱室、设备、地貌或光向。</x:v>
      </x:c>
      <x:c r="O46" s="47" t="str">
        <x:v>BACK</x:v>
      </x:c>
      <x:c r="P46" s="47" t="str">
        <x:v>舱内结构、低反光设备、功能织物</x:v>
      </x:c>
      <x:c r="Q46" s="47" t="str">
        <x:v>揽月下降任务光与开舱门月面反射</x:v>
      </x:c>
      <x:c r="R46" s="47" t="str">
        <x:v>母图确认后生成；与母图做几何、材料、光影和设备位置一致性检查。</x:v>
      </x:c>
      <x:c r="S46" s="47" t="str">
        <x:v>02-12</x:v>
      </x:c>
      <x:c r="T46" s="47" t="str">
        <x:v>V1.3.1场景视图锁定</x:v>
      </x:c>
      <x:c r="U46" s="47" t="str">
        <x:v>继承已确认</x:v>
      </x:c>
      <x:c r="V46" s="47" t="str">
        <x:v>阶段2B在母图确认后生成本视图。</x:v>
      </x:c>
      <x:c r="W46" s="55" t="n">
        <x:f>IF(OR(D46="场景母图",D46="场景多视角"),0,1)</x:f>
        <x:v>0</x:v>
      </x:c>
      <x:c r="X46" s="55" t="n">
        <x:f>IF(LEFT(U46,2)="历史",0,1)</x:f>
        <x:v>1</x:v>
      </x:c>
    </x:row>
    <x:row r="47" ht="36" customHeight="1">
      <x:c r="A47" s="55" t="str">
        <x:v>场景资产</x:v>
      </x:c>
      <x:c r="B47" s="55" t="n">
        <x:v>18</x:v>
      </x:c>
      <x:c r="C47" s="55" t="n">
        <x:v>3</x:v>
      </x:c>
      <x:c r="D47" s="55" t="str">
        <x:v>场景多视角</x:v>
      </x:c>
      <x:c r="E47" s="47" t="str">
        <x:v>  ↳ 视图｜左视图</x:v>
      </x:c>
      <x:c r="F47" s="47" t="str">
        <x:v>BY-SCN-P0-003-揽月登月舱舱内-V-LEFT</x:v>
      </x:c>
      <x:c r="G47" s="47" t="str">
        <x:v>BY-SCN-P0-003-揽月登月舱舱内-V-MASTER</x:v>
      </x:c>
      <x:c r="H47" s="55" t="str">
        <x:v>LEFT</x:v>
      </x:c>
      <x:c r="I47" s="55" t="str">
        <x:v>SCN-VIEW</x:v>
      </x:c>
      <x:c r="J47" s="55" t="str">
        <x:v>P0</x:v>
      </x:c>
      <x:c r="K47" s="47" t="str">
        <x:v>阶段1_场景视图需求表_V1.3.1</x:v>
      </x:c>
      <x:c r="L47" s="47" t="str">
        <x:v>场2,3,4,5,6,7,10,11,12；镜009,011,017,019,023,029,032,036,038,040,043,044,045,046,069,070,071,073,076,082</x:v>
      </x:c>
      <x:c r="M47" s="47" t="str">
        <x:v>相对母图的左视图，用于镜头连续和空间核验。</x:v>
      </x:c>
      <x:c r="N47" s="47" t="str">
        <x:v>继承BY-SCN-P0-003-揽月登月舱舱内-V-MASTER，不重新发明舱室、设备、地貌或光向。</x:v>
      </x:c>
      <x:c r="O47" s="47" t="str">
        <x:v>LEFT</x:v>
      </x:c>
      <x:c r="P47" s="47" t="str">
        <x:v>舱内结构、低反光设备、功能织物</x:v>
      </x:c>
      <x:c r="Q47" s="47" t="str">
        <x:v>揽月下降任务光与开舱门月面反射</x:v>
      </x:c>
      <x:c r="R47" s="47" t="str">
        <x:v>母图确认后生成；与母图做几何、材料、光影和设备位置一致性检查。</x:v>
      </x:c>
      <x:c r="S47" s="47" t="str">
        <x:v>02-12</x:v>
      </x:c>
      <x:c r="T47" s="47" t="str">
        <x:v>V1.3.1场景视图锁定</x:v>
      </x:c>
      <x:c r="U47" s="47" t="str">
        <x:v>继承已确认</x:v>
      </x:c>
      <x:c r="V47" s="47" t="str">
        <x:v>阶段2B在母图确认后生成本视图。</x:v>
      </x:c>
      <x:c r="W47" s="55" t="n">
        <x:f>IF(OR(D47="场景母图",D47="场景多视角"),0,1)</x:f>
        <x:v>0</x:v>
      </x:c>
      <x:c r="X47" s="55" t="n">
        <x:f>IF(LEFT(U47,2)="历史",0,1)</x:f>
        <x:v>1</x:v>
      </x:c>
    </x:row>
    <x:row r="48" ht="36" customHeight="1">
      <x:c r="A48" s="55" t="str">
        <x:v>场景资产</x:v>
      </x:c>
      <x:c r="B48" s="55" t="n">
        <x:v>19</x:v>
      </x:c>
      <x:c r="C48" s="55" t="n">
        <x:v>3</x:v>
      </x:c>
      <x:c r="D48" s="55" t="str">
        <x:v>场景多视角</x:v>
      </x:c>
      <x:c r="E48" s="47" t="str">
        <x:v>  ↳ 视图｜右视图</x:v>
      </x:c>
      <x:c r="F48" s="47" t="str">
        <x:v>BY-SCN-P0-003-揽月登月舱舱内-V-RIGHT</x:v>
      </x:c>
      <x:c r="G48" s="47" t="str">
        <x:v>BY-SCN-P0-003-揽月登月舱舱内-V-MASTER</x:v>
      </x:c>
      <x:c r="H48" s="55" t="str">
        <x:v>RIGHT</x:v>
      </x:c>
      <x:c r="I48" s="55" t="str">
        <x:v>SCN-VIEW</x:v>
      </x:c>
      <x:c r="J48" s="55" t="str">
        <x:v>P0</x:v>
      </x:c>
      <x:c r="K48" s="47" t="str">
        <x:v>阶段1_场景视图需求表_V1.3.1</x:v>
      </x:c>
      <x:c r="L48" s="47" t="str">
        <x:v>场2,3,4,5,6,7,10,11,12；镜009,011,017,019,023,029,032,036,038,040,043,044,045,046,069,070,071,073,076,082</x:v>
      </x:c>
      <x:c r="M48" s="47" t="str">
        <x:v>相对母图的右视图，用于镜头连续和空间核验。</x:v>
      </x:c>
      <x:c r="N48" s="47" t="str">
        <x:v>继承BY-SCN-P0-003-揽月登月舱舱内-V-MASTER，不重新发明舱室、设备、地貌或光向。</x:v>
      </x:c>
      <x:c r="O48" s="47" t="str">
        <x:v>RIGHT</x:v>
      </x:c>
      <x:c r="P48" s="47" t="str">
        <x:v>舱内结构、低反光设备、功能织物</x:v>
      </x:c>
      <x:c r="Q48" s="47" t="str">
        <x:v>揽月下降任务光与开舱门月面反射</x:v>
      </x:c>
      <x:c r="R48" s="47" t="str">
        <x:v>母图确认后生成；与母图做几何、材料、光影和设备位置一致性检查。</x:v>
      </x:c>
      <x:c r="S48" s="47" t="str">
        <x:v>02-12</x:v>
      </x:c>
      <x:c r="T48" s="47" t="str">
        <x:v>V1.3.1场景视图锁定</x:v>
      </x:c>
      <x:c r="U48" s="47" t="str">
        <x:v>继承已确认</x:v>
      </x:c>
      <x:c r="V48" s="47" t="str">
        <x:v>阶段2B在母图确认后生成本视图。</x:v>
      </x:c>
      <x:c r="W48" s="55" t="n">
        <x:f>IF(OR(D48="场景母图",D48="场景多视角"),0,1)</x:f>
        <x:v>0</x:v>
      </x:c>
      <x:c r="X48" s="55" t="n">
        <x:f>IF(LEFT(U48,2)="历史",0,1)</x:f>
        <x:v>1</x:v>
      </x:c>
    </x:row>
    <x:row r="49" ht="36" customHeight="1">
      <x:c r="A49" s="55" t="str">
        <x:v>场景资产</x:v>
      </x:c>
      <x:c r="B49" s="55" t="n">
        <x:v>20</x:v>
      </x:c>
      <x:c r="C49" s="55" t="n">
        <x:v>3</x:v>
      </x:c>
      <x:c r="D49" s="55" t="str">
        <x:v>场景多视角</x:v>
      </x:c>
      <x:c r="E49" s="47" t="str">
        <x:v>  ↳ 视图｜顶视图</x:v>
      </x:c>
      <x:c r="F49" s="47" t="str">
        <x:v>BY-SCN-P0-003-揽月登月舱舱内-V-TOP</x:v>
      </x:c>
      <x:c r="G49" s="47" t="str">
        <x:v>BY-SCN-P0-003-揽月登月舱舱内-V-MASTER</x:v>
      </x:c>
      <x:c r="H49" s="55" t="str">
        <x:v>TOP</x:v>
      </x:c>
      <x:c r="I49" s="55" t="str">
        <x:v>SCN-VIEW</x:v>
      </x:c>
      <x:c r="J49" s="55" t="str">
        <x:v>P0</x:v>
      </x:c>
      <x:c r="K49" s="47" t="str">
        <x:v>阶段1_场景视图需求表_V1.3.1</x:v>
      </x:c>
      <x:c r="L49" s="47" t="str">
        <x:v>场2,3,4,5,6,7,10,11,12；镜009,011,017,019,023,029,032,036,038,040,043,044,045,046,069,070,071,073,076,082</x:v>
      </x:c>
      <x:c r="M49" s="47" t="str">
        <x:v>相对母图的顶视图，用于镜头连续和空间核验。</x:v>
      </x:c>
      <x:c r="N49" s="47" t="str">
        <x:v>继承BY-SCN-P0-003-揽月登月舱舱内-V-MASTER，不重新发明舱室、设备、地貌或光向。</x:v>
      </x:c>
      <x:c r="O49" s="47" t="str">
        <x:v>TOP</x:v>
      </x:c>
      <x:c r="P49" s="47" t="str">
        <x:v>舱内结构、低反光设备、功能织物</x:v>
      </x:c>
      <x:c r="Q49" s="47" t="str">
        <x:v>揽月下降任务光与开舱门月面反射</x:v>
      </x:c>
      <x:c r="R49" s="47" t="str">
        <x:v>母图确认后生成；与母图做几何、材料、光影和设备位置一致性检查。</x:v>
      </x:c>
      <x:c r="S49" s="47" t="str">
        <x:v>02-12</x:v>
      </x:c>
      <x:c r="T49" s="47" t="str">
        <x:v>V1.3.1场景视图锁定</x:v>
      </x:c>
      <x:c r="U49" s="47" t="str">
        <x:v>继承已确认</x:v>
      </x:c>
      <x:c r="V49" s="47" t="str">
        <x:v>阶段2B在母图确认后生成本视图。</x:v>
      </x:c>
      <x:c r="W49" s="55" t="n">
        <x:f>IF(OR(D49="场景母图",D49="场景多视角"),0,1)</x:f>
        <x:v>0</x:v>
      </x:c>
      <x:c r="X49" s="55" t="n">
        <x:f>IF(LEFT(U49,2)="历史",0,1)</x:f>
        <x:v>1</x:v>
      </x:c>
    </x:row>
    <x:row r="50" ht="44" customHeight="1">
      <x:c r="A50" s="50" t="str">
        <x:v>场景资产</x:v>
      </x:c>
      <x:c r="B50" s="50" t="n">
        <x:v>21</x:v>
      </x:c>
      <x:c r="C50" s="50" t="n">
        <x:v>1</x:v>
      </x:c>
      <x:c r="D50" s="50" t="str">
        <x:v>场景资产组</x:v>
      </x:c>
      <x:c r="E50" s="36" t="str">
        <x:v>北京飞控大厅与任务主屏</x:v>
      </x:c>
      <x:c r="F50" s="36" t="str">
        <x:v>BY-SCN-P0-006-北京飞控大厅与任务主屏</x:v>
      </x:c>
      <x:c r="G50" s="36" t="str"/>
      <x:c r="H50" s="50" t="str"/>
      <x:c r="I50" s="50" t="str">
        <x:v>SCN</x:v>
      </x:c>
      <x:c r="J50" s="50" t="str">
        <x:v>P0</x:v>
      </x:c>
      <x:c r="K50" s="36" t="str">
        <x:v>V1.2逐镜映射见data/阶段1_114镜资产调用映射_V1.2.csv</x:v>
      </x:c>
      <x:c r="L50" s="36" t="str">
        <x:v>场2,4,5,6,8,10,11,12,14,15,16；镜006,012,022,028,031,035,041,053,072,077,083,088,097,104,107,113</x:v>
      </x:c>
      <x:c r="M50" s="36" t="str">
        <x:v>真实国家任务控制大厅尺度，核心席、任务主屏和分层工作席可辨。</x:v>
      </x:c>
      <x:c r="N50" s="36" t="str">
        <x:v>不做商业科幻舰桥；屏幕只生成无字结构底图，可读信息后期添加。</x:v>
      </x:c>
      <x:c r="O50" s="36" t="str">
        <x:v>交会；下降；触月；月面活动；起飞；再交会；返回；再入；任务完成</x:v>
      </x:c>
      <x:c r="P50" s="36" t="str">
        <x:v>低反光控制台、克制蓝灰屏光、暖白顶灯</x:v>
      </x:c>
      <x:c r="Q50" s="36" t="str">
        <x:v>稳定任务光，人物与环境共享光源</x:v>
      </x:c>
      <x:c r="R50" s="36" t="str">
        <x:v>MASTER、任务席、主屏、控制台局部</x:v>
      </x:c>
      <x:c r="S50" s="36" t="str">
        <x:v>第2、5、6、8、10、12、14—16场</x:v>
      </x:c>
      <x:c r="T50" s="36" t="str">
        <x:v>V1.2剧本明确＋项目锁定＋公开工程资料边界</x:v>
      </x:c>
      <x:c r="U50" s="36" t="str">
        <x:v>已确认生产方向</x:v>
      </x:c>
      <x:c r="V50" s="36" t="str">
        <x:v>阶段2A重入后按生产包执行</x:v>
      </x:c>
      <x:c r="W50" s="50" t="n">
        <x:f>IF(OR(D50="场景母图",D50="场景多视角"),0,1)</x:f>
        <x:v>1</x:v>
      </x:c>
      <x:c r="X50" s="50" t="n">
        <x:f>IF(LEFT(U50,2)="历史",0,1)</x:f>
        <x:v>1</x:v>
      </x:c>
    </x:row>
    <x:row r="51" ht="44" customHeight="1">
      <x:c r="A51" s="54" t="str">
        <x:v>场景资产</x:v>
      </x:c>
      <x:c r="B51" s="54" t="n">
        <x:v>22</x:v>
      </x:c>
      <x:c r="C51" s="54" t="n">
        <x:v>2</x:v>
      </x:c>
      <x:c r="D51" s="54" t="str">
        <x:v>场景母图</x:v>
      </x:c>
      <x:c r="E51" s="46" t="str">
        <x:v>↳ 母图｜北京飞控大厅与任务主屏</x:v>
      </x:c>
      <x:c r="F51" s="46" t="str">
        <x:v>BY-SCN-P0-006-北京飞控大厅与任务主屏-V-MASTER</x:v>
      </x:c>
      <x:c r="G51" s="46" t="str">
        <x:v>BY-SCN-P0-006-北京飞控大厅与任务主屏</x:v>
      </x:c>
      <x:c r="H51" s="54" t="str">
        <x:v>MASTER</x:v>
      </x:c>
      <x:c r="I51" s="54" t="str">
        <x:v>SCN-VIEW</x:v>
      </x:c>
      <x:c r="J51" s="54" t="str">
        <x:v>P0</x:v>
      </x:c>
      <x:c r="K51" s="46" t="str">
        <x:v>阶段1_场景视图需求表_V1.3.1</x:v>
      </x:c>
      <x:c r="L51" s="46" t="str">
        <x:v>场2,4,5,6,8,10,11,12,14,15,16；镜006,012,022,028,031,035,041,053,072,077,083,088,097,104,107,113</x:v>
      </x:c>
      <x:c r="M51" s="46" t="str">
        <x:v>该场景的统一母图，锁定空间、尺度、材料、光向和主构图。</x:v>
      </x:c>
      <x:c r="N51" s="46" t="str">
        <x:v>后续全部视图均以本母图为唯一空间依据。</x:v>
      </x:c>
      <x:c r="O51" s="46" t="str">
        <x:v>MASTER</x:v>
      </x:c>
      <x:c r="P51" s="46" t="str">
        <x:v>低反光控制台、克制蓝灰屏光、暖白顶灯</x:v>
      </x:c>
      <x:c r="Q51" s="46" t="str">
        <x:v>稳定任务光，人物与环境共享光源</x:v>
      </x:c>
      <x:c r="R51" s="46" t="str">
        <x:v>先确认母图，再进入多视角和状态图生产。</x:v>
      </x:c>
      <x:c r="S51" s="46" t="str">
        <x:v>第2、5、6、8、10、12、14—16场</x:v>
      </x:c>
      <x:c r="T51" s="46" t="str">
        <x:v>V1.3.1场景视图锁定</x:v>
      </x:c>
      <x:c r="U51" s="46" t="str">
        <x:v>已确认推荐口径</x:v>
      </x:c>
      <x:c r="V51" s="46" t="str">
        <x:v>阶段2B先生成并确认本母图。</x:v>
      </x:c>
      <x:c r="W51" s="54" t="n">
        <x:f>IF(OR(D51="场景母图",D51="场景多视角"),0,1)</x:f>
        <x:v>0</x:v>
      </x:c>
      <x:c r="X51" s="54" t="n">
        <x:f>IF(LEFT(U51,2)="历史",0,1)</x:f>
        <x:v>1</x:v>
      </x:c>
    </x:row>
    <x:row r="52" ht="36" customHeight="1">
      <x:c r="A52" s="55" t="str">
        <x:v>场景资产</x:v>
      </x:c>
      <x:c r="B52" s="55" t="n">
        <x:v>23</x:v>
      </x:c>
      <x:c r="C52" s="55" t="n">
        <x:v>3</x:v>
      </x:c>
      <x:c r="D52" s="55" t="str">
        <x:v>场景多视角</x:v>
      </x:c>
      <x:c r="E52" s="47" t="str">
        <x:v>  ↳ 视图｜大厅全景</x:v>
      </x:c>
      <x:c r="F52" s="47" t="str">
        <x:v>BY-SCN-P0-006-北京飞控大厅与任务主屏-V-FLOOR</x:v>
      </x:c>
      <x:c r="G52" s="47" t="str">
        <x:v>BY-SCN-P0-006-北京飞控大厅与任务主屏-V-MASTER</x:v>
      </x:c>
      <x:c r="H52" s="55" t="str">
        <x:v>FLOOR</x:v>
      </x:c>
      <x:c r="I52" s="55" t="str">
        <x:v>SCN-VIEW</x:v>
      </x:c>
      <x:c r="J52" s="55" t="str">
        <x:v>P0</x:v>
      </x:c>
      <x:c r="K52" s="47" t="str">
        <x:v>阶段1_场景视图需求表_V1.3.1</x:v>
      </x:c>
      <x:c r="L52" s="47" t="str">
        <x:v>场2,4,5,6,8,10,11,12,14,15,16；镜006,012,022,028,031,035,041,053,072,077,083,088,097,104,107,113</x:v>
      </x:c>
      <x:c r="M52" s="47" t="str">
        <x:v>相对母图的大厅全景，用于镜头连续和空间核验。</x:v>
      </x:c>
      <x:c r="N52" s="47" t="str">
        <x:v>继承BY-SCN-P0-006-北京飞控大厅与任务主屏-V-MASTER，不重新发明舱室、设备、地貌或光向。</x:v>
      </x:c>
      <x:c r="O52" s="47" t="str">
        <x:v>FLOOR</x:v>
      </x:c>
      <x:c r="P52" s="47" t="str">
        <x:v>低反光控制台、克制蓝灰屏光、暖白顶灯</x:v>
      </x:c>
      <x:c r="Q52" s="47" t="str">
        <x:v>稳定任务光，人物与环境共享光源</x:v>
      </x:c>
      <x:c r="R52" s="47" t="str">
        <x:v>母图确认后生成；与母图做几何、材料、光影和设备位置一致性检查。</x:v>
      </x:c>
      <x:c r="S52" s="47" t="str">
        <x:v>第2、5、6、8、10、12、14—16场</x:v>
      </x:c>
      <x:c r="T52" s="47" t="str">
        <x:v>V1.3.1场景视图锁定</x:v>
      </x:c>
      <x:c r="U52" s="47" t="str">
        <x:v>已确认推荐口径</x:v>
      </x:c>
      <x:c r="V52" s="47" t="str">
        <x:v>阶段2B在母图确认后生成本视图。</x:v>
      </x:c>
      <x:c r="W52" s="55" t="n">
        <x:f>IF(OR(D52="场景母图",D52="场景多视角"),0,1)</x:f>
        <x:v>0</x:v>
      </x:c>
      <x:c r="X52" s="55" t="n">
        <x:f>IF(LEFT(U52,2)="历史",0,1)</x:f>
        <x:v>1</x:v>
      </x:c>
    </x:row>
    <x:row r="53" ht="36" customHeight="1">
      <x:c r="A53" s="55" t="str">
        <x:v>场景资产</x:v>
      </x:c>
      <x:c r="B53" s="55" t="n">
        <x:v>24</x:v>
      </x:c>
      <x:c r="C53" s="55" t="n">
        <x:v>3</x:v>
      </x:c>
      <x:c r="D53" s="55" t="str">
        <x:v>场景多视角</x:v>
      </x:c>
      <x:c r="E53" s="47" t="str">
        <x:v>  ↳ 视图｜任务主屏</x:v>
      </x:c>
      <x:c r="F53" s="47" t="str">
        <x:v>BY-SCN-P0-006-北京飞控大厅与任务主屏-V-MAIN-SCREEN</x:v>
      </x:c>
      <x:c r="G53" s="47" t="str">
        <x:v>BY-SCN-P0-006-北京飞控大厅与任务主屏-V-MASTER</x:v>
      </x:c>
      <x:c r="H53" s="55" t="str">
        <x:v>MAIN-SCREEN</x:v>
      </x:c>
      <x:c r="I53" s="55" t="str">
        <x:v>SCN-VIEW</x:v>
      </x:c>
      <x:c r="J53" s="55" t="str">
        <x:v>P0</x:v>
      </x:c>
      <x:c r="K53" s="47" t="str">
        <x:v>阶段1_场景视图需求表_V1.3.1</x:v>
      </x:c>
      <x:c r="L53" s="47" t="str">
        <x:v>场2,4,5,6,8,10,11,12,14,15,16；镜006,012,022,028,031,035,041,053,072,077,083,088,097,104,107,113</x:v>
      </x:c>
      <x:c r="M53" s="47" t="str">
        <x:v>相对母图的任务主屏，用于镜头连续和空间核验。</x:v>
      </x:c>
      <x:c r="N53" s="47" t="str">
        <x:v>继承BY-SCN-P0-006-北京飞控大厅与任务主屏-V-MASTER，不重新发明舱室、设备、地貌或光向。</x:v>
      </x:c>
      <x:c r="O53" s="47" t="str">
        <x:v>MAIN-SCREEN</x:v>
      </x:c>
      <x:c r="P53" s="47" t="str">
        <x:v>低反光控制台、克制蓝灰屏光、暖白顶灯</x:v>
      </x:c>
      <x:c r="Q53" s="47" t="str">
        <x:v>稳定任务光，人物与环境共享光源</x:v>
      </x:c>
      <x:c r="R53" s="47" t="str">
        <x:v>母图确认后生成；与母图做几何、材料、光影和设备位置一致性检查。</x:v>
      </x:c>
      <x:c r="S53" s="47" t="str">
        <x:v>第2、5、6、8、10、12、14—16场</x:v>
      </x:c>
      <x:c r="T53" s="47" t="str">
        <x:v>V1.3.1场景视图锁定</x:v>
      </x:c>
      <x:c r="U53" s="47" t="str">
        <x:v>已确认推荐口径</x:v>
      </x:c>
      <x:c r="V53" s="47" t="str">
        <x:v>阶段2B在母图确认后生成本视图。</x:v>
      </x:c>
      <x:c r="W53" s="55" t="n">
        <x:f>IF(OR(D53="场景母图",D53="场景多视角"),0,1)</x:f>
        <x:v>0</x:v>
      </x:c>
      <x:c r="X53" s="55" t="n">
        <x:f>IF(LEFT(U53,2)="历史",0,1)</x:f>
        <x:v>1</x:v>
      </x:c>
    </x:row>
    <x:row r="54" ht="36" customHeight="1">
      <x:c r="A54" s="55" t="str">
        <x:v>场景资产</x:v>
      </x:c>
      <x:c r="B54" s="55" t="n">
        <x:v>25</x:v>
      </x:c>
      <x:c r="C54" s="55" t="n">
        <x:v>3</x:v>
      </x:c>
      <x:c r="D54" s="55" t="str">
        <x:v>场景多视角</x:v>
      </x:c>
      <x:c r="E54" s="47" t="str">
        <x:v>  ↳ 视图｜核心席位</x:v>
      </x:c>
      <x:c r="F54" s="47" t="str">
        <x:v>BY-SCN-P0-006-北京飞控大厅与任务主屏-V-CONSOLE</x:v>
      </x:c>
      <x:c r="G54" s="47" t="str">
        <x:v>BY-SCN-P0-006-北京飞控大厅与任务主屏-V-MASTER</x:v>
      </x:c>
      <x:c r="H54" s="55" t="str">
        <x:v>CONSOLE</x:v>
      </x:c>
      <x:c r="I54" s="55" t="str">
        <x:v>SCN-VIEW</x:v>
      </x:c>
      <x:c r="J54" s="55" t="str">
        <x:v>P0</x:v>
      </x:c>
      <x:c r="K54" s="47" t="str">
        <x:v>阶段1_场景视图需求表_V1.3.1</x:v>
      </x:c>
      <x:c r="L54" s="47" t="str">
        <x:v>场2,4,5,6,8,10,11,12,14,15,16；镜006,012,022,028,031,035,041,053,072,077,083,088,097,104,107,113</x:v>
      </x:c>
      <x:c r="M54" s="47" t="str">
        <x:v>相对母图的核心席位，用于镜头连续和空间核验。</x:v>
      </x:c>
      <x:c r="N54" s="47" t="str">
        <x:v>继承BY-SCN-P0-006-北京飞控大厅与任务主屏-V-MASTER，不重新发明舱室、设备、地貌或光向。</x:v>
      </x:c>
      <x:c r="O54" s="47" t="str">
        <x:v>CONSOLE</x:v>
      </x:c>
      <x:c r="P54" s="47" t="str">
        <x:v>低反光控制台、克制蓝灰屏光、暖白顶灯</x:v>
      </x:c>
      <x:c r="Q54" s="47" t="str">
        <x:v>稳定任务光，人物与环境共享光源</x:v>
      </x:c>
      <x:c r="R54" s="47" t="str">
        <x:v>母图确认后生成；与母图做几何、材料、光影和设备位置一致性检查。</x:v>
      </x:c>
      <x:c r="S54" s="47" t="str">
        <x:v>第2、5、6、8、10、12、14—16场</x:v>
      </x:c>
      <x:c r="T54" s="47" t="str">
        <x:v>V1.3.1场景视图锁定</x:v>
      </x:c>
      <x:c r="U54" s="47" t="str">
        <x:v>已确认推荐口径</x:v>
      </x:c>
      <x:c r="V54" s="47" t="str">
        <x:v>阶段2B在母图确认后生成本视图。</x:v>
      </x:c>
      <x:c r="W54" s="55" t="n">
        <x:f>IF(OR(D54="场景母图",D54="场景多视角"),0,1)</x:f>
        <x:v>0</x:v>
      </x:c>
      <x:c r="X54" s="55" t="n">
        <x:f>IF(LEFT(U54,2)="历史",0,1)</x:f>
        <x:v>1</x:v>
      </x:c>
    </x:row>
    <x:row r="55" ht="44" customHeight="1">
      <x:c r="A55" s="50" t="str">
        <x:v>场景资产</x:v>
      </x:c>
      <x:c r="B55" s="50" t="n">
        <x:v>26</x:v>
      </x:c>
      <x:c r="C55" s="50" t="n">
        <x:v>1</x:v>
      </x:c>
      <x:c r="D55" s="50" t="str">
        <x:v>场景资产组</x:v>
      </x:c>
      <x:c r="E55" s="36" t="str">
        <x:v>佳木斯66米深空测控站</x:v>
      </x:c>
      <x:c r="F55" s="36" t="str">
        <x:v>BY-SCN-P1-007-佳木斯66米深空测控站</x:v>
      </x:c>
      <x:c r="G55" s="36" t="str"/>
      <x:c r="H55" s="50" t="str"/>
      <x:c r="I55" s="50" t="str">
        <x:v>SCN</x:v>
      </x:c>
      <x:c r="J55" s="50" t="str">
        <x:v>P1</x:v>
      </x:c>
      <x:c r="K55" s="36" t="str">
        <x:v>V1.2逐镜映射见data/阶段1_114镜资产调用映射_V1.2.csv</x:v>
      </x:c>
      <x:c r="L55" s="36" t="str">
        <x:v>场1,5,8,11；镜003,035,053,077</x:v>
      </x:c>
      <x:c r="M55" s="36" t="str">
        <x:v>大型深空天线与值班测控工作区。</x:v>
      </x:c>
      <x:c r="N55" s="36" t="str">
        <x:v>天线结构以公开资料为锚，界面无可读伪参数。</x:v>
      </x:c>
      <x:c r="O55" s="36" t="str">
        <x:v>月轨交会；动力下降；月面活动；月面起飞；地月返回</x:v>
      </x:c>
      <x:c r="P55" s="36" t="str">
        <x:v>真实天线钢结构、设备机柜和控制台</x:v>
      </x:c>
      <x:c r="Q55" s="36" t="str">
        <x:v>外景自然光／夜间按镜头统一；室内任务光</x:v>
      </x:c>
      <x:c r="R55" s="36" t="str">
        <x:v>天线MASTER、长焦跟踪、值班工作区</x:v>
      </x:c>
      <x:c r="S55" s="36" t="str">
        <x:v>第1、5、8、11、14场</x:v>
      </x:c>
      <x:c r="T55" s="36" t="str">
        <x:v>V1.2剧本明确＋项目锁定＋公开工程资料边界</x:v>
      </x:c>
      <x:c r="U55" s="36" t="str">
        <x:v>已确认生产方向</x:v>
      </x:c>
      <x:c r="V55" s="36" t="str">
        <x:v>阶段2A重入后按生产包执行</x:v>
      </x:c>
      <x:c r="W55" s="50" t="n">
        <x:f>IF(OR(D55="场景母图",D55="场景多视角"),0,1)</x:f>
        <x:v>1</x:v>
      </x:c>
      <x:c r="X55" s="50" t="n">
        <x:f>IF(LEFT(U55,2)="历史",0,1)</x:f>
        <x:v>1</x:v>
      </x:c>
    </x:row>
    <x:row r="56" ht="44" customHeight="1">
      <x:c r="A56" s="54" t="str">
        <x:v>场景资产</x:v>
      </x:c>
      <x:c r="B56" s="54" t="n">
        <x:v>27</x:v>
      </x:c>
      <x:c r="C56" s="54" t="n">
        <x:v>2</x:v>
      </x:c>
      <x:c r="D56" s="54" t="str">
        <x:v>场景母图</x:v>
      </x:c>
      <x:c r="E56" s="46" t="str">
        <x:v>↳ 母图｜佳木斯66米深空测控站</x:v>
      </x:c>
      <x:c r="F56" s="46" t="str">
        <x:v>BY-SCN-P1-007-佳木斯66米深空测控站-V-MASTER</x:v>
      </x:c>
      <x:c r="G56" s="46" t="str">
        <x:v>BY-SCN-P1-007-佳木斯66米深空测控站</x:v>
      </x:c>
      <x:c r="H56" s="54" t="str">
        <x:v>MASTER</x:v>
      </x:c>
      <x:c r="I56" s="54" t="str">
        <x:v>SCN-VIEW</x:v>
      </x:c>
      <x:c r="J56" s="54" t="str">
        <x:v>P1</x:v>
      </x:c>
      <x:c r="K56" s="46" t="str">
        <x:v>阶段1_场景视图需求表_V1.3.1</x:v>
      </x:c>
      <x:c r="L56" s="46" t="str">
        <x:v>场1,5,8,11；镜003,035,053,077</x:v>
      </x:c>
      <x:c r="M56" s="46" t="str">
        <x:v>该场景的统一母图，锁定空间、尺度、材料、光向和主构图。</x:v>
      </x:c>
      <x:c r="N56" s="46" t="str">
        <x:v>后续全部视图均以本母图为唯一空间依据。</x:v>
      </x:c>
      <x:c r="O56" s="46" t="str">
        <x:v>MASTER</x:v>
      </x:c>
      <x:c r="P56" s="46" t="str">
        <x:v>真实天线钢结构、设备机柜和控制台</x:v>
      </x:c>
      <x:c r="Q56" s="46" t="str">
        <x:v>外景自然光／夜间按镜头统一；室内任务光</x:v>
      </x:c>
      <x:c r="R56" s="46" t="str">
        <x:v>先确认母图，再进入多视角和状态图生产。</x:v>
      </x:c>
      <x:c r="S56" s="46" t="str">
        <x:v>第1、5、8、11、14场</x:v>
      </x:c>
      <x:c r="T56" s="46" t="str">
        <x:v>V1.3.1场景视图锁定</x:v>
      </x:c>
      <x:c r="U56" s="46" t="str">
        <x:v>已确认推荐口径</x:v>
      </x:c>
      <x:c r="V56" s="46" t="str">
        <x:v>阶段2B先生成并确认本母图。</x:v>
      </x:c>
      <x:c r="W56" s="54" t="n">
        <x:f>IF(OR(D56="场景母图",D56="场景多视角"),0,1)</x:f>
        <x:v>0</x:v>
      </x:c>
      <x:c r="X56" s="54" t="n">
        <x:f>IF(LEFT(U56,2)="历史",0,1)</x:f>
        <x:v>1</x:v>
      </x:c>
    </x:row>
    <x:row r="57" ht="36" customHeight="1">
      <x:c r="A57" s="55" t="str">
        <x:v>场景资产</x:v>
      </x:c>
      <x:c r="B57" s="55" t="n">
        <x:v>28</x:v>
      </x:c>
      <x:c r="C57" s="55" t="n">
        <x:v>3</x:v>
      </x:c>
      <x:c r="D57" s="55" t="str">
        <x:v>场景多视角</x:v>
      </x:c>
      <x:c r="E57" s="47" t="str">
        <x:v>  ↳ 视图｜天线长焦</x:v>
      </x:c>
      <x:c r="F57" s="47" t="str">
        <x:v>BY-SCN-P1-007-佳木斯66米深空测控站-V-ANTENNA-LONG</x:v>
      </x:c>
      <x:c r="G57" s="47" t="str">
        <x:v>BY-SCN-P1-007-佳木斯66米深空测控站-V-MASTER</x:v>
      </x:c>
      <x:c r="H57" s="55" t="str">
        <x:v>ANTENNA-LONG</x:v>
      </x:c>
      <x:c r="I57" s="55" t="str">
        <x:v>SCN-VIEW</x:v>
      </x:c>
      <x:c r="J57" s="55" t="str">
        <x:v>P1</x:v>
      </x:c>
      <x:c r="K57" s="47" t="str">
        <x:v>阶段1_场景视图需求表_V1.3.1</x:v>
      </x:c>
      <x:c r="L57" s="47" t="str">
        <x:v>场1,5,8,11；镜003,035,053,077</x:v>
      </x:c>
      <x:c r="M57" s="47" t="str">
        <x:v>相对母图的天线长焦，用于镜头连续和空间核验。</x:v>
      </x:c>
      <x:c r="N57" s="47" t="str">
        <x:v>继承BY-SCN-P1-007-佳木斯66米深空测控站-V-MASTER，不重新发明舱室、设备、地貌或光向。</x:v>
      </x:c>
      <x:c r="O57" s="47" t="str">
        <x:v>ANTENNA-LONG</x:v>
      </x:c>
      <x:c r="P57" s="47" t="str">
        <x:v>真实天线钢结构、设备机柜和控制台</x:v>
      </x:c>
      <x:c r="Q57" s="47" t="str">
        <x:v>外景自然光／夜间按镜头统一；室内任务光</x:v>
      </x:c>
      <x:c r="R57" s="47" t="str">
        <x:v>母图确认后生成；与母图做几何、材料、光影和设备位置一致性检查。</x:v>
      </x:c>
      <x:c r="S57" s="47" t="str">
        <x:v>第1、5、8、11、14场</x:v>
      </x:c>
      <x:c r="T57" s="47" t="str">
        <x:v>V1.3.1场景视图锁定</x:v>
      </x:c>
      <x:c r="U57" s="47" t="str">
        <x:v>已确认推荐口径</x:v>
      </x:c>
      <x:c r="V57" s="47" t="str">
        <x:v>阶段2B在母图确认后生成本视图。</x:v>
      </x:c>
      <x:c r="W57" s="55" t="n">
        <x:f>IF(OR(D57="场景母图",D57="场景多视角"),0,1)</x:f>
        <x:v>0</x:v>
      </x:c>
      <x:c r="X57" s="55" t="n">
        <x:f>IF(LEFT(U57,2)="历史",0,1)</x:f>
        <x:v>1</x:v>
      </x:c>
    </x:row>
    <x:row r="58" ht="36" customHeight="1">
      <x:c r="A58" s="55" t="str">
        <x:v>场景资产</x:v>
      </x:c>
      <x:c r="B58" s="55" t="n">
        <x:v>29</x:v>
      </x:c>
      <x:c r="C58" s="55" t="n">
        <x:v>3</x:v>
      </x:c>
      <x:c r="D58" s="55" t="str">
        <x:v>场景多视角</x:v>
      </x:c>
      <x:c r="E58" s="47" t="str">
        <x:v>  ↳ 视图｜值班操作区</x:v>
      </x:c>
      <x:c r="F58" s="47" t="str">
        <x:v>BY-SCN-P1-007-佳木斯66米深空测控站-V-OPS</x:v>
      </x:c>
      <x:c r="G58" s="47" t="str">
        <x:v>BY-SCN-P1-007-佳木斯66米深空测控站-V-MASTER</x:v>
      </x:c>
      <x:c r="H58" s="55" t="str">
        <x:v>OPS</x:v>
      </x:c>
      <x:c r="I58" s="55" t="str">
        <x:v>SCN-VIEW</x:v>
      </x:c>
      <x:c r="J58" s="55" t="str">
        <x:v>P1</x:v>
      </x:c>
      <x:c r="K58" s="47" t="str">
        <x:v>阶段1_场景视图需求表_V1.3.1</x:v>
      </x:c>
      <x:c r="L58" s="47" t="str">
        <x:v>场1,5,8,11；镜003,035,053,077</x:v>
      </x:c>
      <x:c r="M58" s="47" t="str">
        <x:v>相对母图的值班操作区，用于镜头连续和空间核验。</x:v>
      </x:c>
      <x:c r="N58" s="47" t="str">
        <x:v>继承BY-SCN-P1-007-佳木斯66米深空测控站-V-MASTER，不重新发明舱室、设备、地貌或光向。</x:v>
      </x:c>
      <x:c r="O58" s="47" t="str">
        <x:v>OPS</x:v>
      </x:c>
      <x:c r="P58" s="47" t="str">
        <x:v>真实天线钢结构、设备机柜和控制台</x:v>
      </x:c>
      <x:c r="Q58" s="47" t="str">
        <x:v>外景自然光／夜间按镜头统一；室内任务光</x:v>
      </x:c>
      <x:c r="R58" s="47" t="str">
        <x:v>母图确认后生成；与母图做几何、材料、光影和设备位置一致性检查。</x:v>
      </x:c>
      <x:c r="S58" s="47" t="str">
        <x:v>第1、5、8、11、14场</x:v>
      </x:c>
      <x:c r="T58" s="47" t="str">
        <x:v>V1.3.1场景视图锁定</x:v>
      </x:c>
      <x:c r="U58" s="47" t="str">
        <x:v>已确认推荐口径</x:v>
      </x:c>
      <x:c r="V58" s="47" t="str">
        <x:v>阶段2B在母图确认后生成本视图。</x:v>
      </x:c>
      <x:c r="W58" s="55" t="n">
        <x:f>IF(OR(D58="场景母图",D58="场景多视角"),0,1)</x:f>
        <x:v>0</x:v>
      </x:c>
      <x:c r="X58" s="55" t="n">
        <x:f>IF(LEFT(U58,2)="历史",0,1)</x:f>
        <x:v>1</x:v>
      </x:c>
    </x:row>
    <x:row r="59" ht="44" customHeight="1">
      <x:c r="A59" s="50" t="str">
        <x:v>场景资产</x:v>
      </x:c>
      <x:c r="B59" s="50" t="n">
        <x:v>30</x:v>
      </x:c>
      <x:c r="C59" s="50" t="n">
        <x:v>1</x:v>
      </x:c>
      <x:c r="D59" s="50" t="str">
        <x:v>场景资产组</x:v>
      </x:c>
      <x:c r="E59" s="36" t="str">
        <x:v>喀什35米深空测控站</x:v>
      </x:c>
      <x:c r="F59" s="36" t="str">
        <x:v>BY-SCN-P1-008-喀什35米深空测控站</x:v>
      </x:c>
      <x:c r="G59" s="36" t="str"/>
      <x:c r="H59" s="50" t="str"/>
      <x:c r="I59" s="50" t="str">
        <x:v>SCN</x:v>
      </x:c>
      <x:c r="J59" s="50" t="str">
        <x:v>P1</x:v>
      </x:c>
      <x:c r="K59" s="36" t="str">
        <x:v>V1.2逐镜映射见data/阶段1_114镜资产调用映射_V1.2.csv</x:v>
      </x:c>
      <x:c r="L59" s="36" t="str">
        <x:v>场4,5,11；镜022,035,077</x:v>
      </x:c>
      <x:c r="M59" s="36" t="str">
        <x:v>深空测控天线与备份链路工作区。</x:v>
      </x:c>
      <x:c r="N59" s="36" t="str">
        <x:v>与佳木斯在尺度和环境上可区分。</x:v>
      </x:c>
      <x:c r="O59" s="36" t="str">
        <x:v>降轨接力；动力下降备份；月面起飞双目标跟踪；地月返回</x:v>
      </x:c>
      <x:c r="P59" s="36" t="str">
        <x:v>公开天线结构、干旱地区工程环境</x:v>
      </x:c>
      <x:c r="Q59" s="36" t="str">
        <x:v>外景自然光；室内任务光</x:v>
      </x:c>
      <x:c r="R59" s="36" t="str">
        <x:v>天线MASTER、跟踪状态视图</x:v>
      </x:c>
      <x:c r="S59" s="36" t="str">
        <x:v>第4、5、11、14场</x:v>
      </x:c>
      <x:c r="T59" s="36" t="str">
        <x:v>V1.2剧本明确＋项目锁定＋公开工程资料边界</x:v>
      </x:c>
      <x:c r="U59" s="36" t="str">
        <x:v>已确认生产方向</x:v>
      </x:c>
      <x:c r="V59" s="36" t="str">
        <x:v>阶段2A重入后按生产包执行</x:v>
      </x:c>
      <x:c r="W59" s="50" t="n">
        <x:f>IF(OR(D59="场景母图",D59="场景多视角"),0,1)</x:f>
        <x:v>1</x:v>
      </x:c>
      <x:c r="X59" s="50" t="n">
        <x:f>IF(LEFT(U59,2)="历史",0,1)</x:f>
        <x:v>1</x:v>
      </x:c>
    </x:row>
    <x:row r="60" ht="44" customHeight="1">
      <x:c r="A60" s="54" t="str">
        <x:v>场景资产</x:v>
      </x:c>
      <x:c r="B60" s="54" t="n">
        <x:v>31</x:v>
      </x:c>
      <x:c r="C60" s="54" t="n">
        <x:v>2</x:v>
      </x:c>
      <x:c r="D60" s="54" t="str">
        <x:v>场景母图</x:v>
      </x:c>
      <x:c r="E60" s="46" t="str">
        <x:v>↳ 母图｜喀什35米深空测控站</x:v>
      </x:c>
      <x:c r="F60" s="46" t="str">
        <x:v>BY-SCN-P1-008-喀什35米深空测控站-V-MASTER</x:v>
      </x:c>
      <x:c r="G60" s="46" t="str">
        <x:v>BY-SCN-P1-008-喀什35米深空测控站</x:v>
      </x:c>
      <x:c r="H60" s="54" t="str">
        <x:v>MASTER</x:v>
      </x:c>
      <x:c r="I60" s="54" t="str">
        <x:v>SCN-VIEW</x:v>
      </x:c>
      <x:c r="J60" s="54" t="str">
        <x:v>P1</x:v>
      </x:c>
      <x:c r="K60" s="46" t="str">
        <x:v>阶段1_场景视图需求表_V1.3.1</x:v>
      </x:c>
      <x:c r="L60" s="46" t="str">
        <x:v>场4,5,11；镜022,035,077</x:v>
      </x:c>
      <x:c r="M60" s="46" t="str">
        <x:v>该场景的统一母图，锁定空间、尺度、材料、光向和主构图。</x:v>
      </x:c>
      <x:c r="N60" s="46" t="str">
        <x:v>后续全部视图均以本母图为唯一空间依据。</x:v>
      </x:c>
      <x:c r="O60" s="46" t="str">
        <x:v>MASTER</x:v>
      </x:c>
      <x:c r="P60" s="46" t="str">
        <x:v>公开天线结构、干旱地区工程环境</x:v>
      </x:c>
      <x:c r="Q60" s="46" t="str">
        <x:v>外景自然光；室内任务光</x:v>
      </x:c>
      <x:c r="R60" s="46" t="str">
        <x:v>先确认母图，再进入多视角和状态图生产。</x:v>
      </x:c>
      <x:c r="S60" s="46" t="str">
        <x:v>第4、5、11、14场</x:v>
      </x:c>
      <x:c r="T60" s="46" t="str">
        <x:v>V1.3.1场景视图锁定</x:v>
      </x:c>
      <x:c r="U60" s="46" t="str">
        <x:v>已确认推荐口径</x:v>
      </x:c>
      <x:c r="V60" s="46" t="str">
        <x:v>阶段2B先生成并确认本母图。</x:v>
      </x:c>
      <x:c r="W60" s="54" t="n">
        <x:f>IF(OR(D60="场景母图",D60="场景多视角"),0,1)</x:f>
        <x:v>0</x:v>
      </x:c>
      <x:c r="X60" s="54" t="n">
        <x:f>IF(LEFT(U60,2)="历史",0,1)</x:f>
        <x:v>1</x:v>
      </x:c>
    </x:row>
    <x:row r="61" ht="36" customHeight="1">
      <x:c r="A61" s="55" t="str">
        <x:v>场景资产</x:v>
      </x:c>
      <x:c r="B61" s="55" t="n">
        <x:v>32</x:v>
      </x:c>
      <x:c r="C61" s="55" t="n">
        <x:v>3</x:v>
      </x:c>
      <x:c r="D61" s="55" t="str">
        <x:v>场景多视角</x:v>
      </x:c>
      <x:c r="E61" s="47" t="str">
        <x:v>  ↳ 视图｜天线长焦</x:v>
      </x:c>
      <x:c r="F61" s="47" t="str">
        <x:v>BY-SCN-P1-008-喀什35米深空测控站-V-ANTENNA-LONG</x:v>
      </x:c>
      <x:c r="G61" s="47" t="str">
        <x:v>BY-SCN-P1-008-喀什35米深空测控站-V-MASTER</x:v>
      </x:c>
      <x:c r="H61" s="55" t="str">
        <x:v>ANTENNA-LONG</x:v>
      </x:c>
      <x:c r="I61" s="55" t="str">
        <x:v>SCN-VIEW</x:v>
      </x:c>
      <x:c r="J61" s="55" t="str">
        <x:v>P1</x:v>
      </x:c>
      <x:c r="K61" s="47" t="str">
        <x:v>阶段1_场景视图需求表_V1.3.1</x:v>
      </x:c>
      <x:c r="L61" s="47" t="str">
        <x:v>场4,5,11；镜022,035,077</x:v>
      </x:c>
      <x:c r="M61" s="47" t="str">
        <x:v>相对母图的天线长焦，用于镜头连续和空间核验。</x:v>
      </x:c>
      <x:c r="N61" s="47" t="str">
        <x:v>继承BY-SCN-P1-008-喀什35米深空测控站-V-MASTER，不重新发明舱室、设备、地貌或光向。</x:v>
      </x:c>
      <x:c r="O61" s="47" t="str">
        <x:v>ANTENNA-LONG</x:v>
      </x:c>
      <x:c r="P61" s="47" t="str">
        <x:v>公开天线结构、干旱地区工程环境</x:v>
      </x:c>
      <x:c r="Q61" s="47" t="str">
        <x:v>外景自然光；室内任务光</x:v>
      </x:c>
      <x:c r="R61" s="47" t="str">
        <x:v>母图确认后生成；与母图做几何、材料、光影和设备位置一致性检查。</x:v>
      </x:c>
      <x:c r="S61" s="47" t="str">
        <x:v>第4、5、11、14场</x:v>
      </x:c>
      <x:c r="T61" s="47" t="str">
        <x:v>V1.3.1场景视图锁定</x:v>
      </x:c>
      <x:c r="U61" s="47" t="str">
        <x:v>已确认推荐口径</x:v>
      </x:c>
      <x:c r="V61" s="47" t="str">
        <x:v>阶段2B在母图确认后生成本视图。</x:v>
      </x:c>
      <x:c r="W61" s="55" t="n">
        <x:f>IF(OR(D61="场景母图",D61="场景多视角"),0,1)</x:f>
        <x:v>0</x:v>
      </x:c>
      <x:c r="X61" s="55" t="n">
        <x:f>IF(LEFT(U61,2)="历史",0,1)</x:f>
        <x:v>1</x:v>
      </x:c>
    </x:row>
    <x:row r="62" ht="36" customHeight="1">
      <x:c r="A62" s="55" t="str">
        <x:v>场景资产</x:v>
      </x:c>
      <x:c r="B62" s="55" t="n">
        <x:v>33</x:v>
      </x:c>
      <x:c r="C62" s="55" t="n">
        <x:v>3</x:v>
      </x:c>
      <x:c r="D62" s="55" t="str">
        <x:v>场景多视角</x:v>
      </x:c>
      <x:c r="E62" s="47" t="str">
        <x:v>  ↳ 视图｜值班操作区</x:v>
      </x:c>
      <x:c r="F62" s="47" t="str">
        <x:v>BY-SCN-P1-008-喀什35米深空测控站-V-OPS</x:v>
      </x:c>
      <x:c r="G62" s="47" t="str">
        <x:v>BY-SCN-P1-008-喀什35米深空测控站-V-MASTER</x:v>
      </x:c>
      <x:c r="H62" s="55" t="str">
        <x:v>OPS</x:v>
      </x:c>
      <x:c r="I62" s="55" t="str">
        <x:v>SCN-VIEW</x:v>
      </x:c>
      <x:c r="J62" s="55" t="str">
        <x:v>P1</x:v>
      </x:c>
      <x:c r="K62" s="47" t="str">
        <x:v>阶段1_场景视图需求表_V1.3.1</x:v>
      </x:c>
      <x:c r="L62" s="47" t="str">
        <x:v>场4,5,11；镜022,035,077</x:v>
      </x:c>
      <x:c r="M62" s="47" t="str">
        <x:v>相对母图的值班操作区，用于镜头连续和空间核验。</x:v>
      </x:c>
      <x:c r="N62" s="47" t="str">
        <x:v>继承BY-SCN-P1-008-喀什35米深空测控站-V-MASTER，不重新发明舱室、设备、地貌或光向。</x:v>
      </x:c>
      <x:c r="O62" s="47" t="str">
        <x:v>OPS</x:v>
      </x:c>
      <x:c r="P62" s="47" t="str">
        <x:v>公开天线结构、干旱地区工程环境</x:v>
      </x:c>
      <x:c r="Q62" s="47" t="str">
        <x:v>外景自然光；室内任务光</x:v>
      </x:c>
      <x:c r="R62" s="47" t="str">
        <x:v>母图确认后生成；与母图做几何、材料、光影和设备位置一致性检查。</x:v>
      </x:c>
      <x:c r="S62" s="47" t="str">
        <x:v>第4、5、11、14场</x:v>
      </x:c>
      <x:c r="T62" s="47" t="str">
        <x:v>V1.3.1场景视图锁定</x:v>
      </x:c>
      <x:c r="U62" s="47" t="str">
        <x:v>已确认推荐口径</x:v>
      </x:c>
      <x:c r="V62" s="47" t="str">
        <x:v>阶段2B在母图确认后生成本视图。</x:v>
      </x:c>
      <x:c r="W62" s="55" t="n">
        <x:f>IF(OR(D62="场景母图",D62="场景多视角"),0,1)</x:f>
        <x:v>0</x:v>
      </x:c>
      <x:c r="X62" s="55" t="n">
        <x:f>IF(LEFT(U62,2)="历史",0,1)</x:f>
        <x:v>1</x:v>
      </x:c>
    </x:row>
    <x:row r="63" ht="44" customHeight="1">
      <x:c r="A63" s="50" t="str">
        <x:v>场景资产</x:v>
      </x:c>
      <x:c r="B63" s="50" t="n">
        <x:v>34</x:v>
      </x:c>
      <x:c r="C63" s="50" t="n">
        <x:v>1</x:v>
      </x:c>
      <x:c r="D63" s="50" t="str">
        <x:v>场景资产组</x:v>
      </x:c>
      <x:c r="E63" s="36" t="str">
        <x:v>VLBI测轨席／天衡界面</x:v>
      </x:c>
      <x:c r="F63" s="36" t="str">
        <x:v>BY-SCN-P1-009-VLBI测轨席</x:v>
      </x:c>
      <x:c r="G63" s="36" t="str"/>
      <x:c r="H63" s="50" t="str"/>
      <x:c r="I63" s="50" t="str">
        <x:v>SCN</x:v>
      </x:c>
      <x:c r="J63" s="50" t="str">
        <x:v>P1</x:v>
      </x:c>
      <x:c r="K63" s="36" t="str">
        <x:v>V1.2逐镜映射见data/阶段1_114镜资产调用映射_V1.2.csv</x:v>
      </x:c>
      <x:c r="L63" s="36" t="str">
        <x:v>场12；镜083</x:v>
      </x:c>
      <x:c r="M63" s="36" t="str">
        <x:v>多站测轨数据汇聚与轨道解算校核席位。</x:v>
      </x:c>
      <x:c r="N63" s="36" t="str">
        <x:v>不等同于单一青岛站；屏幕只做抽象底图。</x:v>
      </x:c>
      <x:c r="O63" s="36" t="str">
        <x:v>降轨解算；下降外测；起飞窗口；再交会校核；返回走廊</x:v>
      </x:c>
      <x:c r="P63" s="36" t="str">
        <x:v>克制控制台、深色任务屏、有限实体输入设备</x:v>
      </x:c>
      <x:c r="Q63" s="36" t="str">
        <x:v>稳定室内任务光</x:v>
      </x:c>
      <x:c r="R63" s="36" t="str">
        <x:v>席位MASTER和控制台局部</x:v>
      </x:c>
      <x:c r="S63" s="36" t="str">
        <x:v>第4、5、10、12、14场</x:v>
      </x:c>
      <x:c r="T63" s="36" t="str">
        <x:v>V1.2剧本明确＋项目锁定＋公开工程资料边界</x:v>
      </x:c>
      <x:c r="U63" s="36" t="str">
        <x:v>已确认生产方向</x:v>
      </x:c>
      <x:c r="V63" s="36" t="str">
        <x:v>阶段2A重入后按生产包执行</x:v>
      </x:c>
      <x:c r="W63" s="50" t="n">
        <x:f>IF(OR(D63="场景母图",D63="场景多视角"),0,1)</x:f>
        <x:v>1</x:v>
      </x:c>
      <x:c r="X63" s="50" t="n">
        <x:f>IF(LEFT(U63,2)="历史",0,1)</x:f>
        <x:v>1</x:v>
      </x:c>
    </x:row>
    <x:row r="64" ht="44" customHeight="1">
      <x:c r="A64" s="54" t="str">
        <x:v>场景资产</x:v>
      </x:c>
      <x:c r="B64" s="54" t="n">
        <x:v>35</x:v>
      </x:c>
      <x:c r="C64" s="54" t="n">
        <x:v>2</x:v>
      </x:c>
      <x:c r="D64" s="54" t="str">
        <x:v>场景母图</x:v>
      </x:c>
      <x:c r="E64" s="46" t="str">
        <x:v>↳ 母图｜VLBI测轨席／天衡界面</x:v>
      </x:c>
      <x:c r="F64" s="46" t="str">
        <x:v>BY-SCN-P1-009-VLBI测轨席-V-MASTER</x:v>
      </x:c>
      <x:c r="G64" s="46" t="str">
        <x:v>BY-SCN-P1-009-VLBI测轨席</x:v>
      </x:c>
      <x:c r="H64" s="54" t="str">
        <x:v>MASTER</x:v>
      </x:c>
      <x:c r="I64" s="54" t="str">
        <x:v>SCN-VIEW</x:v>
      </x:c>
      <x:c r="J64" s="54" t="str">
        <x:v>P1</x:v>
      </x:c>
      <x:c r="K64" s="46" t="str">
        <x:v>阶段1_场景视图需求表_V1.3.1</x:v>
      </x:c>
      <x:c r="L64" s="46" t="str">
        <x:v>场12；镜083</x:v>
      </x:c>
      <x:c r="M64" s="46" t="str">
        <x:v>该场景的统一母图，锁定空间、尺度、材料、光向和主构图。</x:v>
      </x:c>
      <x:c r="N64" s="46" t="str">
        <x:v>后续全部视图均以本母图为唯一空间依据。</x:v>
      </x:c>
      <x:c r="O64" s="46" t="str">
        <x:v>MASTER</x:v>
      </x:c>
      <x:c r="P64" s="46" t="str">
        <x:v>克制控制台、深色任务屏、有限实体输入设备</x:v>
      </x:c>
      <x:c r="Q64" s="46" t="str">
        <x:v>稳定室内任务光</x:v>
      </x:c>
      <x:c r="R64" s="46" t="str">
        <x:v>先确认母图，再进入多视角和状态图生产。</x:v>
      </x:c>
      <x:c r="S64" s="46" t="str">
        <x:v>第4、5、10、12、14场</x:v>
      </x:c>
      <x:c r="T64" s="46" t="str">
        <x:v>V1.3.1场景视图锁定</x:v>
      </x:c>
      <x:c r="U64" s="46" t="str">
        <x:v>已确认推荐口径</x:v>
      </x:c>
      <x:c r="V64" s="46" t="str">
        <x:v>阶段2B先生成并确认本母图。</x:v>
      </x:c>
      <x:c r="W64" s="54" t="n">
        <x:f>IF(OR(D64="场景母图",D64="场景多视角"),0,1)</x:f>
        <x:v>0</x:v>
      </x:c>
      <x:c r="X64" s="54" t="n">
        <x:f>IF(LEFT(U64,2)="历史",0,1)</x:f>
        <x:v>1</x:v>
      </x:c>
    </x:row>
    <x:row r="65" ht="44" customHeight="1">
      <x:c r="A65" s="50" t="str">
        <x:v>场景资产</x:v>
      </x:c>
      <x:c r="B65" s="50" t="n">
        <x:v>36</x:v>
      </x:c>
      <x:c r="C65" s="50" t="n">
        <x:v>1</x:v>
      </x:c>
      <x:c r="D65" s="50" t="str">
        <x:v>场景资产组</x:v>
      </x:c>
      <x:c r="E65" s="36" t="str">
        <x:v>北京飞控地质席</x:v>
      </x:c>
      <x:c r="F65" s="36" t="str">
        <x:v>BY-SCN-P1-010-北京飞控地质席</x:v>
      </x:c>
      <x:c r="G65" s="36" t="str"/>
      <x:c r="H65" s="50" t="str"/>
      <x:c r="I65" s="50" t="str">
        <x:v>SCN</x:v>
      </x:c>
      <x:c r="J65" s="50" t="str">
        <x:v>P1</x:v>
      </x:c>
      <x:c r="K65" s="36" t="str">
        <x:v>V1.2逐镜映射见data/阶段1_114镜资产调用映射_V1.2.csv</x:v>
      </x:c>
      <x:c r="L65" s="36" t="str">
        <x:v>场9；镜061</x:v>
      </x:c>
      <x:c r="M65" s="36" t="str">
        <x:v>地质专家把落区图与月面摄像叠合的工作席。</x:v>
      </x:c>
      <x:c r="N65" s="36" t="str">
        <x:v>属于北京飞控体系，不另造科幻实验室。</x:v>
      </x:c>
      <x:c r="O65" s="36" t="str">
        <x:v>路线建议；样品点核对；载荷遥测</x:v>
      </x:c>
      <x:c r="P65" s="36" t="str">
        <x:v>控制台、无字地图底图、通信耳机</x:v>
      </x:c>
      <x:c r="Q65" s="36" t="str">
        <x:v>继承飞控大厅任务光</x:v>
      </x:c>
      <x:c r="R65" s="36" t="str">
        <x:v>席位MASTER、分屏局部</x:v>
      </x:c>
      <x:c r="S65" s="36" t="str">
        <x:v>第9场</x:v>
      </x:c>
      <x:c r="T65" s="36" t="str">
        <x:v>V1.2剧本明确＋项目锁定＋公开工程资料边界</x:v>
      </x:c>
      <x:c r="U65" s="36" t="str">
        <x:v>已确认生产方向</x:v>
      </x:c>
      <x:c r="V65" s="36" t="str">
        <x:v>阶段2A重入后按生产包执行</x:v>
      </x:c>
      <x:c r="W65" s="50" t="n">
        <x:f>IF(OR(D65="场景母图",D65="场景多视角"),0,1)</x:f>
        <x:v>1</x:v>
      </x:c>
      <x:c r="X65" s="50" t="n">
        <x:f>IF(LEFT(U65,2)="历史",0,1)</x:f>
        <x:v>1</x:v>
      </x:c>
    </x:row>
    <x:row r="66" ht="44" customHeight="1">
      <x:c r="A66" s="54" t="str">
        <x:v>场景资产</x:v>
      </x:c>
      <x:c r="B66" s="54" t="n">
        <x:v>37</x:v>
      </x:c>
      <x:c r="C66" s="54" t="n">
        <x:v>2</x:v>
      </x:c>
      <x:c r="D66" s="54" t="str">
        <x:v>场景母图</x:v>
      </x:c>
      <x:c r="E66" s="46" t="str">
        <x:v>↳ 母图｜北京飞控地质席</x:v>
      </x:c>
      <x:c r="F66" s="46" t="str">
        <x:v>BY-SCN-P1-010-北京飞控地质席-V-MASTER</x:v>
      </x:c>
      <x:c r="G66" s="46" t="str">
        <x:v>BY-SCN-P1-010-北京飞控地质席</x:v>
      </x:c>
      <x:c r="H66" s="54" t="str">
        <x:v>MASTER</x:v>
      </x:c>
      <x:c r="I66" s="54" t="str">
        <x:v>SCN-VIEW</x:v>
      </x:c>
      <x:c r="J66" s="54" t="str">
        <x:v>P1</x:v>
      </x:c>
      <x:c r="K66" s="46" t="str">
        <x:v>阶段1_场景视图需求表_V1.3.1</x:v>
      </x:c>
      <x:c r="L66" s="46" t="str">
        <x:v>场9；镜061</x:v>
      </x:c>
      <x:c r="M66" s="46" t="str">
        <x:v>该场景的统一母图，锁定空间、尺度、材料、光向和主构图。</x:v>
      </x:c>
      <x:c r="N66" s="46" t="str">
        <x:v>后续全部视图均以本母图为唯一空间依据。</x:v>
      </x:c>
      <x:c r="O66" s="46" t="str">
        <x:v>MASTER</x:v>
      </x:c>
      <x:c r="P66" s="46" t="str">
        <x:v>控制台、无字地图底图、通信耳机</x:v>
      </x:c>
      <x:c r="Q66" s="46" t="str">
        <x:v>继承飞控大厅任务光</x:v>
      </x:c>
      <x:c r="R66" s="46" t="str">
        <x:v>先确认母图，再进入多视角和状态图生产。</x:v>
      </x:c>
      <x:c r="S66" s="46" t="str">
        <x:v>第9场</x:v>
      </x:c>
      <x:c r="T66" s="46" t="str">
        <x:v>V1.3.1场景视图锁定</x:v>
      </x:c>
      <x:c r="U66" s="46" t="str">
        <x:v>已确认推荐口径</x:v>
      </x:c>
      <x:c r="V66" s="46" t="str">
        <x:v>阶段2B先生成并确认本母图。</x:v>
      </x:c>
      <x:c r="W66" s="54" t="n">
        <x:f>IF(OR(D66="场景母图",D66="场景多视角"),0,1)</x:f>
        <x:v>0</x:v>
      </x:c>
      <x:c r="X66" s="54" t="n">
        <x:f>IF(LEFT(U66,2)="历史",0,1)</x:f>
        <x:v>1</x:v>
      </x:c>
    </x:row>
    <x:row r="67" ht="44" customHeight="1">
      <x:c r="A67" s="50" t="str">
        <x:v>场景资产</x:v>
      </x:c>
      <x:c r="B67" s="50" t="n">
        <x:v>38</x:v>
      </x:c>
      <x:c r="C67" s="50" t="n">
        <x:v>1</x:v>
      </x:c>
      <x:c r="D67" s="50" t="str">
        <x:v>场景资产组</x:v>
      </x:c>
      <x:c r="E67" s="36" t="str">
        <x:v>飞控中心媒体区</x:v>
      </x:c>
      <x:c r="F67" s="36" t="str">
        <x:v>BY-SCN-P1-003-飞控中心媒体区</x:v>
      </x:c>
      <x:c r="G67" s="36" t="str"/>
      <x:c r="H67" s="50" t="str"/>
      <x:c r="I67" s="50" t="str">
        <x:v>SCN</x:v>
      </x:c>
      <x:c r="J67" s="50" t="str">
        <x:v>P1</x:v>
      </x:c>
      <x:c r="K67" s="36" t="str">
        <x:v>V1.2逐镜映射见data/阶段1_114镜资产调用映射_V1.2.csv</x:v>
      </x:c>
      <x:c r="L67" s="36" t="str">
        <x:v>场8；镜056</x:v>
      </x:c>
      <x:c r="M67" s="36" t="str">
        <x:v>记者站位、任务屏和媒体工作区</x:v>
      </x:c>
      <x:c r="N67" s="36" t="str">
        <x:v>不与主飞控大厅混淆</x:v>
      </x:c>
      <x:c r="O67" s="36" t="str">
        <x:v>记者直播</x:v>
      </x:c>
      <x:c r="P67" s="36" t="str">
        <x:v>办公内装、屏幕</x:v>
      </x:c>
      <x:c r="Q67" s="36" t="str">
        <x:v>顶部办公光、屏幕反射</x:v>
      </x:c>
      <x:c r="R67" s="36" t="str">
        <x:v>母图SV0</x:v>
      </x:c>
      <x:c r="S67" s="36" t="str">
        <x:v>01</x:v>
      </x:c>
      <x:c r="T67" s="36" t="str">
        <x:v>剧本明确;创作者建议</x:v>
      </x:c>
      <x:c r="U67" s="36" t="str">
        <x:v>已确认</x:v>
      </x:c>
      <x:c r="V67" s="36" t="str">
        <x:v>新闻支持资产包</x:v>
      </x:c>
      <x:c r="W67" s="50" t="n">
        <x:f>IF(OR(D67="场景母图",D67="场景多视角"),0,1)</x:f>
        <x:v>1</x:v>
      </x:c>
      <x:c r="X67" s="50" t="n">
        <x:f>IF(LEFT(U67,2)="历史",0,1)</x:f>
        <x:v>1</x:v>
      </x:c>
    </x:row>
    <x:row r="68" ht="44" customHeight="1">
      <x:c r="A68" s="54" t="str">
        <x:v>场景资产</x:v>
      </x:c>
      <x:c r="B68" s="54" t="n">
        <x:v>39</x:v>
      </x:c>
      <x:c r="C68" s="54" t="n">
        <x:v>2</x:v>
      </x:c>
      <x:c r="D68" s="54" t="str">
        <x:v>场景母图</x:v>
      </x:c>
      <x:c r="E68" s="46" t="str">
        <x:v>↳ 母图｜飞控中心媒体区</x:v>
      </x:c>
      <x:c r="F68" s="46" t="str">
        <x:v>BY-SCN-P1-003-飞控中心媒体区-V-MASTER</x:v>
      </x:c>
      <x:c r="G68" s="46" t="str">
        <x:v>BY-SCN-P1-003-飞控中心媒体区</x:v>
      </x:c>
      <x:c r="H68" s="54" t="str">
        <x:v>MASTER</x:v>
      </x:c>
      <x:c r="I68" s="54" t="str">
        <x:v>SCN-VIEW</x:v>
      </x:c>
      <x:c r="J68" s="54" t="str">
        <x:v>P1</x:v>
      </x:c>
      <x:c r="K68" s="46" t="str">
        <x:v>阶段1_场景视图需求表_V1.3.1</x:v>
      </x:c>
      <x:c r="L68" s="46" t="str">
        <x:v>场8；镜056</x:v>
      </x:c>
      <x:c r="M68" s="46" t="str">
        <x:v>该场景的统一母图，锁定空间、尺度、材料、光向和主构图。</x:v>
      </x:c>
      <x:c r="N68" s="46" t="str">
        <x:v>后续全部视图均以本母图为唯一空间依据。</x:v>
      </x:c>
      <x:c r="O68" s="46" t="str">
        <x:v>MASTER</x:v>
      </x:c>
      <x:c r="P68" s="46" t="str">
        <x:v>办公内装、屏幕</x:v>
      </x:c>
      <x:c r="Q68" s="46" t="str">
        <x:v>顶部办公光、屏幕反射</x:v>
      </x:c>
      <x:c r="R68" s="46" t="str">
        <x:v>先确认母图，再进入多视角和状态图生产。</x:v>
      </x:c>
      <x:c r="S68" s="46" t="str">
        <x:v>01</x:v>
      </x:c>
      <x:c r="T68" s="46" t="str">
        <x:v>V1.3.1场景视图锁定</x:v>
      </x:c>
      <x:c r="U68" s="46" t="str">
        <x:v>V1.3.1重校已确认</x:v>
      </x:c>
      <x:c r="V68" s="46" t="str">
        <x:v>阶段2B先生成并确认本母图。</x:v>
      </x:c>
      <x:c r="W68" s="54" t="n">
        <x:f>IF(OR(D68="场景母图",D68="场景多视角"),0,1)</x:f>
        <x:v>0</x:v>
      </x:c>
      <x:c r="X68" s="54" t="n">
        <x:f>IF(LEFT(U68,2)="历史",0,1)</x:f>
        <x:v>1</x:v>
      </x:c>
    </x:row>
    <x:row r="69" ht="44" customHeight="1">
      <x:c r="A69" s="50" t="str">
        <x:v>场景资产</x:v>
      </x:c>
      <x:c r="B69" s="50" t="n">
        <x:v>40</x:v>
      </x:c>
      <x:c r="C69" s="50" t="n">
        <x:v>1</x:v>
      </x:c>
      <x:c r="D69" s="50" t="str">
        <x:v>场景资产组</x:v>
      </x:c>
      <x:c r="E69" s="36" t="str">
        <x:v>月面着陆与作业区</x:v>
      </x:c>
      <x:c r="F69" s="36" t="str">
        <x:v>BY-SCN-P0-004-月面着陆与作业区</x:v>
      </x:c>
      <x:c r="G69" s="36" t="str"/>
      <x:c r="H69" s="50" t="str"/>
      <x:c r="I69" s="50" t="str">
        <x:v>SCN</x:v>
      </x:c>
      <x:c r="J69" s="50" t="str">
        <x:v>P0</x:v>
      </x:c>
      <x:c r="K69" s="36" t="str">
        <x:v>V1.2逐镜映射见data/阶段1_114镜资产调用映射_V1.2.csv</x:v>
      </x:c>
      <x:c r="L69" s="36" t="str">
        <x:v>场5,6,7,8,9,10,11；镜027,030,032,033,034,037,038,039,042,047,048,049,050,051,052,053,054,055,056,057,058,059,060,061,062,064,066,067,068,069,074,075</x:v>
      </x:c>
      <x:c r="M69" s="36" t="str">
        <x:v>登月舱落点、舷梯、摄像机、国旗、采样、设备和羽流安全区</x:v>
      </x:c>
      <x:c r="N69" s="36" t="str">
        <x:v>锁定空间总图、太阳方向和全部固定物位置</x:v>
      </x:c>
      <x:c r="O69" s="36" t="str">
        <x:v>下降;着陆;第一步;国旗;科学;起飞</x:v>
      </x:c>
      <x:c r="P69" s="36" t="str">
        <x:v>灰色月壤、岩石、无大气黑天空</x:v>
      </x:c>
      <x:c r="Q69" s="36" t="str">
        <x:v>继承BY-LGT-P0-004艺术化任务日光；黑天空、真空、深阴影、有限地表反射。</x:v>
      </x:c>
      <x:c r="R69" s="36" t="str">
        <x:v>母图与SV2标准五视图</x:v>
      </x:c>
      <x:c r="S69" s="36" t="str">
        <x:v>04-10</x:v>
      </x:c>
      <x:c r="T69" s="36" t="str">
        <x:v>剧本明确;科学约束;创作者建议</x:v>
      </x:c>
      <x:c r="U69" s="36" t="str">
        <x:v>已确认</x:v>
      </x:c>
      <x:c r="V69" s="36" t="str">
        <x:v>旧母图只作构型候选；以艺术化光照口径重新校准MASTER</x:v>
      </x:c>
      <x:c r="W69" s="50" t="n">
        <x:f>IF(OR(D69="场景母图",D69="场景多视角"),0,1)</x:f>
        <x:v>1</x:v>
      </x:c>
      <x:c r="X69" s="50" t="n">
        <x:f>IF(LEFT(U69,2)="历史",0,1)</x:f>
        <x:v>1</x:v>
      </x:c>
    </x:row>
    <x:row r="70" ht="44" customHeight="1">
      <x:c r="A70" s="54" t="str">
        <x:v>场景资产</x:v>
      </x:c>
      <x:c r="B70" s="54" t="n">
        <x:v>41</x:v>
      </x:c>
      <x:c r="C70" s="54" t="n">
        <x:v>2</x:v>
      </x:c>
      <x:c r="D70" s="54" t="str">
        <x:v>场景母图</x:v>
      </x:c>
      <x:c r="E70" s="46" t="str">
        <x:v>↳ 母图｜月面着陆与作业区</x:v>
      </x:c>
      <x:c r="F70" s="46" t="str">
        <x:v>BY-SCN-P0-004-月面着陆与作业区-V-MASTER</x:v>
      </x:c>
      <x:c r="G70" s="46" t="str">
        <x:v>BY-SCN-P0-004-月面着陆与作业区</x:v>
      </x:c>
      <x:c r="H70" s="54" t="str">
        <x:v>MASTER</x:v>
      </x:c>
      <x:c r="I70" s="54" t="str">
        <x:v>SCN-VIEW</x:v>
      </x:c>
      <x:c r="J70" s="54" t="str">
        <x:v>P0</x:v>
      </x:c>
      <x:c r="K70" s="46" t="str">
        <x:v>阶段1_场景视图需求表_V1.3.1</x:v>
      </x:c>
      <x:c r="L70" s="46" t="str">
        <x:v>场5,6,7,8,9,10,11；镜027,030,032,033,034,037,038,039,042,047,048,049,050,051,052,053,054,055,056,057,058,059,060,061,062,064,066,067,068,069,074,075</x:v>
      </x:c>
      <x:c r="M70" s="46" t="str">
        <x:v>该场景的统一母图，锁定空间、尺度、材料、光向和主构图。</x:v>
      </x:c>
      <x:c r="N70" s="46" t="str">
        <x:v>后续全部视图均以本母图为唯一空间依据。</x:v>
      </x:c>
      <x:c r="O70" s="46" t="str">
        <x:v>MASTER</x:v>
      </x:c>
      <x:c r="P70" s="46" t="str">
        <x:v>灰色月壤、岩石、无大气黑天空</x:v>
      </x:c>
      <x:c r="Q70" s="46" t="str">
        <x:v>继承BY-LGT-P0-004艺术化任务日光；黑天空、真空、深阴影、有限地表反射。</x:v>
      </x:c>
      <x:c r="R70" s="46" t="str">
        <x:v>先确认母图，再进入多视角和状态图生产。</x:v>
      </x:c>
      <x:c r="S70" s="46" t="str">
        <x:v>04-10</x:v>
      </x:c>
      <x:c r="T70" s="46" t="str">
        <x:v>V1.3.1场景视图锁定</x:v>
      </x:c>
      <x:c r="U70" s="46" t="str">
        <x:v>V1.3.1重校已确认</x:v>
      </x:c>
      <x:c r="V70" s="46" t="str">
        <x:v>阶段2B先生成并确认本母图。</x:v>
      </x:c>
      <x:c r="W70" s="54" t="n">
        <x:f>IF(OR(D70="场景母图",D70="场景多视角"),0,1)</x:f>
        <x:v>0</x:v>
      </x:c>
      <x:c r="X70" s="54" t="n">
        <x:f>IF(LEFT(U70,2)="历史",0,1)</x:f>
        <x:v>1</x:v>
      </x:c>
    </x:row>
    <x:row r="71" ht="36" customHeight="1">
      <x:c r="A71" s="55" t="str">
        <x:v>场景资产</x:v>
      </x:c>
      <x:c r="B71" s="55" t="n">
        <x:v>42</x:v>
      </x:c>
      <x:c r="C71" s="55" t="n">
        <x:v>3</x:v>
      </x:c>
      <x:c r="D71" s="55" t="str">
        <x:v>场景多视角</x:v>
      </x:c>
      <x:c r="E71" s="47" t="str">
        <x:v>  ↳ 视图｜正视图</x:v>
      </x:c>
      <x:c r="F71" s="47" t="str">
        <x:v>BY-SCN-P0-004-月面着陆与作业区-V-FRONT</x:v>
      </x:c>
      <x:c r="G71" s="47" t="str">
        <x:v>BY-SCN-P0-004-月面着陆与作业区-V-MASTER</x:v>
      </x:c>
      <x:c r="H71" s="55" t="str">
        <x:v>FRONT</x:v>
      </x:c>
      <x:c r="I71" s="55" t="str">
        <x:v>SCN-VIEW</x:v>
      </x:c>
      <x:c r="J71" s="55" t="str">
        <x:v>P0</x:v>
      </x:c>
      <x:c r="K71" s="47" t="str">
        <x:v>阶段1_场景视图需求表_V1.3.1</x:v>
      </x:c>
      <x:c r="L71" s="47" t="str">
        <x:v>场5,6,7,8,9,10,11；镜027,030,032,033,034,037,038,039,042,047,048,049,050,051,052,053,054,055,056,057,058,059,060,061,062,064,066,067,068,069,074,075</x:v>
      </x:c>
      <x:c r="M71" s="47" t="str">
        <x:v>相对母图的正视图，用于镜头连续和空间核验。</x:v>
      </x:c>
      <x:c r="N71" s="47" t="str">
        <x:v>继承BY-SCN-P0-004-月面着陆与作业区-V-MASTER，不重新发明舱室、设备、地貌或光向。</x:v>
      </x:c>
      <x:c r="O71" s="47" t="str">
        <x:v>FRONT</x:v>
      </x:c>
      <x:c r="P71" s="47" t="str">
        <x:v>灰色月壤、岩石、无大气黑天空</x:v>
      </x:c>
      <x:c r="Q71" s="47" t="str">
        <x:v>继承BY-LGT-P0-004艺术化任务日光；黑天空、真空、深阴影、有限地表反射。</x:v>
      </x:c>
      <x:c r="R71" s="47" t="str">
        <x:v>母图确认后生成；与母图做几何、材料、光影和设备位置一致性检查。</x:v>
      </x:c>
      <x:c r="S71" s="47" t="str">
        <x:v>04-10</x:v>
      </x:c>
      <x:c r="T71" s="47" t="str">
        <x:v>V1.3.1场景视图锁定</x:v>
      </x:c>
      <x:c r="U71" s="47" t="str">
        <x:v>V1.3.1重校已确认</x:v>
      </x:c>
      <x:c r="V71" s="47" t="str">
        <x:v>阶段2B在母图确认后生成本视图。</x:v>
      </x:c>
      <x:c r="W71" s="55" t="n">
        <x:f>IF(OR(D71="场景母图",D71="场景多视角"),0,1)</x:f>
        <x:v>0</x:v>
      </x:c>
      <x:c r="X71" s="55" t="n">
        <x:f>IF(LEFT(U71,2)="历史",0,1)</x:f>
        <x:v>1</x:v>
      </x:c>
    </x:row>
    <x:row r="72" ht="36" customHeight="1">
      <x:c r="A72" s="55" t="str">
        <x:v>场景资产</x:v>
      </x:c>
      <x:c r="B72" s="55" t="n">
        <x:v>43</x:v>
      </x:c>
      <x:c r="C72" s="55" t="n">
        <x:v>3</x:v>
      </x:c>
      <x:c r="D72" s="55" t="str">
        <x:v>场景多视角</x:v>
      </x:c>
      <x:c r="E72" s="47" t="str">
        <x:v>  ↳ 视图｜后视图</x:v>
      </x:c>
      <x:c r="F72" s="47" t="str">
        <x:v>BY-SCN-P0-004-月面着陆与作业区-V-BACK</x:v>
      </x:c>
      <x:c r="G72" s="47" t="str">
        <x:v>BY-SCN-P0-004-月面着陆与作业区-V-MASTER</x:v>
      </x:c>
      <x:c r="H72" s="55" t="str">
        <x:v>BACK</x:v>
      </x:c>
      <x:c r="I72" s="55" t="str">
        <x:v>SCN-VIEW</x:v>
      </x:c>
      <x:c r="J72" s="55" t="str">
        <x:v>P0</x:v>
      </x:c>
      <x:c r="K72" s="47" t="str">
        <x:v>阶段1_场景视图需求表_V1.3.1</x:v>
      </x:c>
      <x:c r="L72" s="47" t="str">
        <x:v>场5,6,7,8,9,10,11；镜027,030,032,033,034,037,038,039,042,047,048,049,050,051,052,053,054,055,056,057,058,059,060,061,062,064,066,067,068,069,074,075</x:v>
      </x:c>
      <x:c r="M72" s="47" t="str">
        <x:v>相对母图的后视图，用于镜头连续和空间核验。</x:v>
      </x:c>
      <x:c r="N72" s="47" t="str">
        <x:v>继承BY-SCN-P0-004-月面着陆与作业区-V-MASTER，不重新发明舱室、设备、地貌或光向。</x:v>
      </x:c>
      <x:c r="O72" s="47" t="str">
        <x:v>BACK</x:v>
      </x:c>
      <x:c r="P72" s="47" t="str">
        <x:v>灰色月壤、岩石、无大气黑天空</x:v>
      </x:c>
      <x:c r="Q72" s="47" t="str">
        <x:v>继承BY-LGT-P0-004艺术化任务日光；黑天空、真空、深阴影、有限地表反射。</x:v>
      </x:c>
      <x:c r="R72" s="47" t="str">
        <x:v>母图确认后生成；与母图做几何、材料、光影和设备位置一致性检查。</x:v>
      </x:c>
      <x:c r="S72" s="47" t="str">
        <x:v>04-10</x:v>
      </x:c>
      <x:c r="T72" s="47" t="str">
        <x:v>V1.3.1场景视图锁定</x:v>
      </x:c>
      <x:c r="U72" s="47" t="str">
        <x:v>V1.3.1重校已确认</x:v>
      </x:c>
      <x:c r="V72" s="47" t="str">
        <x:v>阶段2B在母图确认后生成本视图。</x:v>
      </x:c>
      <x:c r="W72" s="55" t="n">
        <x:f>IF(OR(D72="场景母图",D72="场景多视角"),0,1)</x:f>
        <x:v>0</x:v>
      </x:c>
      <x:c r="X72" s="55" t="n">
        <x:f>IF(LEFT(U72,2)="历史",0,1)</x:f>
        <x:v>1</x:v>
      </x:c>
    </x:row>
    <x:row r="73" ht="36" customHeight="1">
      <x:c r="A73" s="55" t="str">
        <x:v>场景资产</x:v>
      </x:c>
      <x:c r="B73" s="55" t="n">
        <x:v>44</x:v>
      </x:c>
      <x:c r="C73" s="55" t="n">
        <x:v>3</x:v>
      </x:c>
      <x:c r="D73" s="55" t="str">
        <x:v>场景多视角</x:v>
      </x:c>
      <x:c r="E73" s="47" t="str">
        <x:v>  ↳ 视图｜左视图</x:v>
      </x:c>
      <x:c r="F73" s="47" t="str">
        <x:v>BY-SCN-P0-004-月面着陆与作业区-V-LEFT</x:v>
      </x:c>
      <x:c r="G73" s="47" t="str">
        <x:v>BY-SCN-P0-004-月面着陆与作业区-V-MASTER</x:v>
      </x:c>
      <x:c r="H73" s="55" t="str">
        <x:v>LEFT</x:v>
      </x:c>
      <x:c r="I73" s="55" t="str">
        <x:v>SCN-VIEW</x:v>
      </x:c>
      <x:c r="J73" s="55" t="str">
        <x:v>P0</x:v>
      </x:c>
      <x:c r="K73" s="47" t="str">
        <x:v>阶段1_场景视图需求表_V1.3.1</x:v>
      </x:c>
      <x:c r="L73" s="47" t="str">
        <x:v>场5,6,7,8,9,10,11；镜027,030,032,033,034,037,038,039,042,047,048,049,050,051,052,053,054,055,056,057,058,059,060,061,062,064,066,067,068,069,074,075</x:v>
      </x:c>
      <x:c r="M73" s="47" t="str">
        <x:v>相对母图的左视图，用于镜头连续和空间核验。</x:v>
      </x:c>
      <x:c r="N73" s="47" t="str">
        <x:v>继承BY-SCN-P0-004-月面着陆与作业区-V-MASTER，不重新发明舱室、设备、地貌或光向。</x:v>
      </x:c>
      <x:c r="O73" s="47" t="str">
        <x:v>LEFT</x:v>
      </x:c>
      <x:c r="P73" s="47" t="str">
        <x:v>灰色月壤、岩石、无大气黑天空</x:v>
      </x:c>
      <x:c r="Q73" s="47" t="str">
        <x:v>继承BY-LGT-P0-004艺术化任务日光；黑天空、真空、深阴影、有限地表反射。</x:v>
      </x:c>
      <x:c r="R73" s="47" t="str">
        <x:v>母图确认后生成；与母图做几何、材料、光影和设备位置一致性检查。</x:v>
      </x:c>
      <x:c r="S73" s="47" t="str">
        <x:v>04-10</x:v>
      </x:c>
      <x:c r="T73" s="47" t="str">
        <x:v>V1.3.1场景视图锁定</x:v>
      </x:c>
      <x:c r="U73" s="47" t="str">
        <x:v>V1.3.1重校已确认</x:v>
      </x:c>
      <x:c r="V73" s="47" t="str">
        <x:v>阶段2B在母图确认后生成本视图。</x:v>
      </x:c>
      <x:c r="W73" s="55" t="n">
        <x:f>IF(OR(D73="场景母图",D73="场景多视角"),0,1)</x:f>
        <x:v>0</x:v>
      </x:c>
      <x:c r="X73" s="55" t="n">
        <x:f>IF(LEFT(U73,2)="历史",0,1)</x:f>
        <x:v>1</x:v>
      </x:c>
    </x:row>
    <x:row r="74" ht="36" customHeight="1">
      <x:c r="A74" s="55" t="str">
        <x:v>场景资产</x:v>
      </x:c>
      <x:c r="B74" s="55" t="n">
        <x:v>45</x:v>
      </x:c>
      <x:c r="C74" s="55" t="n">
        <x:v>3</x:v>
      </x:c>
      <x:c r="D74" s="55" t="str">
        <x:v>场景多视角</x:v>
      </x:c>
      <x:c r="E74" s="47" t="str">
        <x:v>  ↳ 视图｜右视图</x:v>
      </x:c>
      <x:c r="F74" s="47" t="str">
        <x:v>BY-SCN-P0-004-月面着陆与作业区-V-RIGHT</x:v>
      </x:c>
      <x:c r="G74" s="47" t="str">
        <x:v>BY-SCN-P0-004-月面着陆与作业区-V-MASTER</x:v>
      </x:c>
      <x:c r="H74" s="55" t="str">
        <x:v>RIGHT</x:v>
      </x:c>
      <x:c r="I74" s="55" t="str">
        <x:v>SCN-VIEW</x:v>
      </x:c>
      <x:c r="J74" s="55" t="str">
        <x:v>P0</x:v>
      </x:c>
      <x:c r="K74" s="47" t="str">
        <x:v>阶段1_场景视图需求表_V1.3.1</x:v>
      </x:c>
      <x:c r="L74" s="47" t="str">
        <x:v>场5,6,7,8,9,10,11；镜027,030,032,033,034,037,038,039,042,047,048,049,050,051,052,053,054,055,056,057,058,059,060,061,062,064,066,067,068,069,074,075</x:v>
      </x:c>
      <x:c r="M74" s="47" t="str">
        <x:v>相对母图的右视图，用于镜头连续和空间核验。</x:v>
      </x:c>
      <x:c r="N74" s="47" t="str">
        <x:v>继承BY-SCN-P0-004-月面着陆与作业区-V-MASTER，不重新发明舱室、设备、地貌或光向。</x:v>
      </x:c>
      <x:c r="O74" s="47" t="str">
        <x:v>RIGHT</x:v>
      </x:c>
      <x:c r="P74" s="47" t="str">
        <x:v>灰色月壤、岩石、无大气黑天空</x:v>
      </x:c>
      <x:c r="Q74" s="47" t="str">
        <x:v>继承BY-LGT-P0-004艺术化任务日光；黑天空、真空、深阴影、有限地表反射。</x:v>
      </x:c>
      <x:c r="R74" s="47" t="str">
        <x:v>母图确认后生成；与母图做几何、材料、光影和设备位置一致性检查。</x:v>
      </x:c>
      <x:c r="S74" s="47" t="str">
        <x:v>04-10</x:v>
      </x:c>
      <x:c r="T74" s="47" t="str">
        <x:v>V1.3.1场景视图锁定</x:v>
      </x:c>
      <x:c r="U74" s="47" t="str">
        <x:v>V1.3.1重校已确认</x:v>
      </x:c>
      <x:c r="V74" s="47" t="str">
        <x:v>阶段2B在母图确认后生成本视图。</x:v>
      </x:c>
      <x:c r="W74" s="55" t="n">
        <x:f>IF(OR(D74="场景母图",D74="场景多视角"),0,1)</x:f>
        <x:v>0</x:v>
      </x:c>
      <x:c r="X74" s="55" t="n">
        <x:f>IF(LEFT(U74,2)="历史",0,1)</x:f>
        <x:v>1</x:v>
      </x:c>
    </x:row>
    <x:row r="75" ht="36" customHeight="1">
      <x:c r="A75" s="55" t="str">
        <x:v>场景资产</x:v>
      </x:c>
      <x:c r="B75" s="55" t="n">
        <x:v>46</x:v>
      </x:c>
      <x:c r="C75" s="55" t="n">
        <x:v>3</x:v>
      </x:c>
      <x:c r="D75" s="55" t="str">
        <x:v>场景多视角</x:v>
      </x:c>
      <x:c r="E75" s="47" t="str">
        <x:v>  ↳ 视图｜顶视图</x:v>
      </x:c>
      <x:c r="F75" s="47" t="str">
        <x:v>BY-SCN-P0-004-月面着陆与作业区-V-TOP</x:v>
      </x:c>
      <x:c r="G75" s="47" t="str">
        <x:v>BY-SCN-P0-004-月面着陆与作业区-V-MASTER</x:v>
      </x:c>
      <x:c r="H75" s="55" t="str">
        <x:v>TOP</x:v>
      </x:c>
      <x:c r="I75" s="55" t="str">
        <x:v>SCN-VIEW</x:v>
      </x:c>
      <x:c r="J75" s="55" t="str">
        <x:v>P0</x:v>
      </x:c>
      <x:c r="K75" s="47" t="str">
        <x:v>阶段1_场景视图需求表_V1.3.1</x:v>
      </x:c>
      <x:c r="L75" s="47" t="str">
        <x:v>场5,6,7,8,9,10,11；镜027,030,032,033,034,037,038,039,042,047,048,049,050,051,052,053,054,055,056,057,058,059,060,061,062,064,066,067,068,069,074,075</x:v>
      </x:c>
      <x:c r="M75" s="47" t="str">
        <x:v>相对母图的顶视图，用于镜头连续和空间核验。</x:v>
      </x:c>
      <x:c r="N75" s="47" t="str">
        <x:v>继承BY-SCN-P0-004-月面着陆与作业区-V-MASTER，不重新发明舱室、设备、地貌或光向。</x:v>
      </x:c>
      <x:c r="O75" s="47" t="str">
        <x:v>TOP</x:v>
      </x:c>
      <x:c r="P75" s="47" t="str">
        <x:v>灰色月壤、岩石、无大气黑天空</x:v>
      </x:c>
      <x:c r="Q75" s="47" t="str">
        <x:v>继承BY-LGT-P0-004艺术化任务日光；黑天空、真空、深阴影、有限地表反射。</x:v>
      </x:c>
      <x:c r="R75" s="47" t="str">
        <x:v>母图确认后生成；与母图做几何、材料、光影和设备位置一致性检查。</x:v>
      </x:c>
      <x:c r="S75" s="47" t="str">
        <x:v>04-10</x:v>
      </x:c>
      <x:c r="T75" s="47" t="str">
        <x:v>V1.3.1场景视图锁定</x:v>
      </x:c>
      <x:c r="U75" s="47" t="str">
        <x:v>V1.3.1重校已确认</x:v>
      </x:c>
      <x:c r="V75" s="47" t="str">
        <x:v>阶段2B在母图确认后生成本视图。</x:v>
      </x:c>
      <x:c r="W75" s="55" t="n">
        <x:f>IF(OR(D75="场景母图",D75="场景多视角"),0,1)</x:f>
        <x:v>0</x:v>
      </x:c>
      <x:c r="X75" s="55" t="n">
        <x:f>IF(LEFT(U75,2)="历史",0,1)</x:f>
        <x:v>1</x:v>
      </x:c>
    </x:row>
    <x:row r="76" ht="44" customHeight="1">
      <x:c r="A76" s="50" t="str">
        <x:v>场景资产</x:v>
      </x:c>
      <x:c r="B76" s="50" t="n">
        <x:v>47</x:v>
      </x:c>
      <x:c r="C76" s="50" t="n">
        <x:v>1</x:v>
      </x:c>
      <x:c r="D76" s="50" t="str">
        <x:v>场景资产组</x:v>
      </x:c>
      <x:c r="E76" s="36" t="str">
        <x:v>月面科学任务路线与采样点</x:v>
      </x:c>
      <x:c r="F76" s="36" t="str">
        <x:v>BY-SCN-P1-005-月面后段科考区</x:v>
      </x:c>
      <x:c r="G76" s="36" t="str"/>
      <x:c r="H76" s="50" t="str"/>
      <x:c r="I76" s="50" t="str">
        <x:v>SCN</x:v>
      </x:c>
      <x:c r="J76" s="50" t="str">
        <x:v>P1</x:v>
      </x:c>
      <x:c r="K76" s="36" t="str">
        <x:v>V1.2逐镜映射见data/阶段1_114镜资产调用映射_V1.2.csv</x:v>
      </x:c>
      <x:c r="L76" s="36" t="str">
        <x:v>场9；镜058,059,060,061,062,064,066,067</x:v>
      </x:c>
      <x:c r="M76" s="36" t="str">
        <x:v>低起伏地形、行驶路线与车辙</x:v>
      </x:c>
      <x:c r="N76" s="36" t="str">
        <x:v>与主作业区形成地貌差异但继承太阳方向</x:v>
      </x:c>
      <x:c r="O76" s="36" t="str">
        <x:v>月球车卸载；第一采样点；接触带采样；载荷布设；返程闭环</x:v>
      </x:c>
      <x:c r="P76" s="36" t="str">
        <x:v>灰色月壤、车辙、远近地形</x:v>
      </x:c>
      <x:c r="Q76" s="36" t="str">
        <x:v>继承月面固定太阳光</x:v>
      </x:c>
      <x:c r="R76" s="36" t="str">
        <x:v>母图与SV1路径视图</x:v>
      </x:c>
      <x:c r="S76" s="36" t="str">
        <x:v>09</x:v>
      </x:c>
      <x:c r="T76" s="36" t="str">
        <x:v>剧本明确;创作者建议</x:v>
      </x:c>
      <x:c r="U76" s="36" t="str">
        <x:v>已确认</x:v>
      </x:c>
      <x:c r="V76" s="36" t="str">
        <x:v>与月面MASTER共用光向和地质材料，不另造独立天体环境</x:v>
      </x:c>
      <x:c r="W76" s="50" t="n">
        <x:f>IF(OR(D76="场景母图",D76="场景多视角"),0,1)</x:f>
        <x:v>1</x:v>
      </x:c>
      <x:c r="X76" s="50" t="n">
        <x:f>IF(LEFT(U76,2)="历史",0,1)</x:f>
        <x:v>1</x:v>
      </x:c>
    </x:row>
    <x:row r="77" ht="44" customHeight="1">
      <x:c r="A77" s="54" t="str">
        <x:v>场景资产</x:v>
      </x:c>
      <x:c r="B77" s="54" t="n">
        <x:v>48</x:v>
      </x:c>
      <x:c r="C77" s="54" t="n">
        <x:v>2</x:v>
      </x:c>
      <x:c r="D77" s="54" t="str">
        <x:v>场景母图</x:v>
      </x:c>
      <x:c r="E77" s="46" t="str">
        <x:v>↳ 母图｜月面科学任务路线与采样点</x:v>
      </x:c>
      <x:c r="F77" s="46" t="str">
        <x:v>BY-SCN-P1-005-月面后段科考区-V-MASTER</x:v>
      </x:c>
      <x:c r="G77" s="46" t="str">
        <x:v>BY-SCN-P1-005-月面后段科考区</x:v>
      </x:c>
      <x:c r="H77" s="54" t="str">
        <x:v>MASTER</x:v>
      </x:c>
      <x:c r="I77" s="54" t="str">
        <x:v>SCN-VIEW</x:v>
      </x:c>
      <x:c r="J77" s="54" t="str">
        <x:v>P1</x:v>
      </x:c>
      <x:c r="K77" s="46" t="str">
        <x:v>阶段1_场景视图需求表_V1.3.1</x:v>
      </x:c>
      <x:c r="L77" s="46" t="str">
        <x:v>场9；镜058,059,060,061,062,064,066,067</x:v>
      </x:c>
      <x:c r="M77" s="46" t="str">
        <x:v>该场景的统一母图，锁定空间、尺度、材料、光向和主构图。</x:v>
      </x:c>
      <x:c r="N77" s="46" t="str">
        <x:v>后续全部视图均以本母图为唯一空间依据。</x:v>
      </x:c>
      <x:c r="O77" s="46" t="str">
        <x:v>MASTER</x:v>
      </x:c>
      <x:c r="P77" s="46" t="str">
        <x:v>灰色月壤、车辙、远近地形</x:v>
      </x:c>
      <x:c r="Q77" s="46" t="str">
        <x:v>继承月面固定太阳光</x:v>
      </x:c>
      <x:c r="R77" s="46" t="str">
        <x:v>先确认母图，再进入多视角和状态图生产。</x:v>
      </x:c>
      <x:c r="S77" s="46" t="str">
        <x:v>09</x:v>
      </x:c>
      <x:c r="T77" s="46" t="str">
        <x:v>V1.3.1场景视图锁定</x:v>
      </x:c>
      <x:c r="U77" s="46" t="str">
        <x:v>V1.3.1重校已确认</x:v>
      </x:c>
      <x:c r="V77" s="46" t="str">
        <x:v>阶段2B先生成并确认本母图。</x:v>
      </x:c>
      <x:c r="W77" s="54" t="n">
        <x:f>IF(OR(D77="场景母图",D77="场景多视角"),0,1)</x:f>
        <x:v>0</x:v>
      </x:c>
      <x:c r="X77" s="54" t="n">
        <x:f>IF(LEFT(U77,2)="历史",0,1)</x:f>
        <x:v>1</x:v>
      </x:c>
    </x:row>
    <x:row r="78" ht="36" customHeight="1">
      <x:c r="A78" s="55" t="str">
        <x:v>场景资产</x:v>
      </x:c>
      <x:c r="B78" s="55" t="n">
        <x:v>49</x:v>
      </x:c>
      <x:c r="C78" s="55" t="n">
        <x:v>3</x:v>
      </x:c>
      <x:c r="D78" s="55" t="str">
        <x:v>场景多视角</x:v>
      </x:c>
      <x:c r="E78" s="47" t="str">
        <x:v>  ↳ 视图｜科考路线前向</x:v>
      </x:c>
      <x:c r="F78" s="47" t="str">
        <x:v>BY-SCN-P1-005-月面后段科考区-V-PATH-FRONT</x:v>
      </x:c>
      <x:c r="G78" s="47" t="str">
        <x:v>BY-SCN-P1-005-月面后段科考区-V-MASTER</x:v>
      </x:c>
      <x:c r="H78" s="55" t="str">
        <x:v>PATH-FRONT</x:v>
      </x:c>
      <x:c r="I78" s="55" t="str">
        <x:v>SCN-VIEW</x:v>
      </x:c>
      <x:c r="J78" s="55" t="str">
        <x:v>P1</x:v>
      </x:c>
      <x:c r="K78" s="47" t="str">
        <x:v>阶段1_场景视图需求表_V1.3.1</x:v>
      </x:c>
      <x:c r="L78" s="47" t="str">
        <x:v>场9；镜058,059,060,061,062,064,066,067</x:v>
      </x:c>
      <x:c r="M78" s="47" t="str">
        <x:v>相对母图的科考路线前向，用于镜头连续和空间核验。</x:v>
      </x:c>
      <x:c r="N78" s="47" t="str">
        <x:v>继承BY-SCN-P1-005-月面后段科考区-V-MASTER，不重新发明舱室、设备、地貌或光向。</x:v>
      </x:c>
      <x:c r="O78" s="47" t="str">
        <x:v>PATH-FRONT</x:v>
      </x:c>
      <x:c r="P78" s="47" t="str">
        <x:v>灰色月壤、车辙、远近地形</x:v>
      </x:c>
      <x:c r="Q78" s="47" t="str">
        <x:v>继承月面固定太阳光</x:v>
      </x:c>
      <x:c r="R78" s="47" t="str">
        <x:v>母图确认后生成；与母图做几何、材料、光影和设备位置一致性检查。</x:v>
      </x:c>
      <x:c r="S78" s="47" t="str">
        <x:v>09</x:v>
      </x:c>
      <x:c r="T78" s="47" t="str">
        <x:v>V1.3.1场景视图锁定</x:v>
      </x:c>
      <x:c r="U78" s="47" t="str">
        <x:v>V1.3.1重校已确认</x:v>
      </x:c>
      <x:c r="V78" s="47" t="str">
        <x:v>阶段2B在母图确认后生成本视图。</x:v>
      </x:c>
      <x:c r="W78" s="55" t="n">
        <x:f>IF(OR(D78="场景母图",D78="场景多视角"),0,1)</x:f>
        <x:v>0</x:v>
      </x:c>
      <x:c r="X78" s="55" t="n">
        <x:f>IF(LEFT(U78,2)="历史",0,1)</x:f>
        <x:v>1</x:v>
      </x:c>
    </x:row>
    <x:row r="79" ht="36" customHeight="1">
      <x:c r="A79" s="55" t="str">
        <x:v>场景资产</x:v>
      </x:c>
      <x:c r="B79" s="55" t="n">
        <x:v>50</x:v>
      </x:c>
      <x:c r="C79" s="55" t="n">
        <x:v>3</x:v>
      </x:c>
      <x:c r="D79" s="55" t="str">
        <x:v>场景多视角</x:v>
      </x:c>
      <x:c r="E79" s="47" t="str">
        <x:v>  ↳ 视图｜科考路线侧向</x:v>
      </x:c>
      <x:c r="F79" s="47" t="str">
        <x:v>BY-SCN-P1-005-月面后段科考区-V-PATH-SIDE</x:v>
      </x:c>
      <x:c r="G79" s="47" t="str">
        <x:v>BY-SCN-P1-005-月面后段科考区-V-MASTER</x:v>
      </x:c>
      <x:c r="H79" s="55" t="str">
        <x:v>PATH-SIDE</x:v>
      </x:c>
      <x:c r="I79" s="55" t="str">
        <x:v>SCN-VIEW</x:v>
      </x:c>
      <x:c r="J79" s="55" t="str">
        <x:v>P1</x:v>
      </x:c>
      <x:c r="K79" s="47" t="str">
        <x:v>阶段1_场景视图需求表_V1.3.1</x:v>
      </x:c>
      <x:c r="L79" s="47" t="str">
        <x:v>场9；镜058,059,060,061,062,064,066,067</x:v>
      </x:c>
      <x:c r="M79" s="47" t="str">
        <x:v>相对母图的科考路线侧向，用于镜头连续和空间核验。</x:v>
      </x:c>
      <x:c r="N79" s="47" t="str">
        <x:v>继承BY-SCN-P1-005-月面后段科考区-V-MASTER，不重新发明舱室、设备、地貌或光向。</x:v>
      </x:c>
      <x:c r="O79" s="47" t="str">
        <x:v>PATH-SIDE</x:v>
      </x:c>
      <x:c r="P79" s="47" t="str">
        <x:v>灰色月壤、车辙、远近地形</x:v>
      </x:c>
      <x:c r="Q79" s="47" t="str">
        <x:v>继承月面固定太阳光</x:v>
      </x:c>
      <x:c r="R79" s="47" t="str">
        <x:v>母图确认后生成；与母图做几何、材料、光影和设备位置一致性检查。</x:v>
      </x:c>
      <x:c r="S79" s="47" t="str">
        <x:v>09</x:v>
      </x:c>
      <x:c r="T79" s="47" t="str">
        <x:v>V1.3.1场景视图锁定</x:v>
      </x:c>
      <x:c r="U79" s="47" t="str">
        <x:v>V1.3.1重校已确认</x:v>
      </x:c>
      <x:c r="V79" s="47" t="str">
        <x:v>阶段2B在母图确认后生成本视图。</x:v>
      </x:c>
      <x:c r="W79" s="55" t="n">
        <x:f>IF(OR(D79="场景母图",D79="场景多视角"),0,1)</x:f>
        <x:v>0</x:v>
      </x:c>
      <x:c r="X79" s="55" t="n">
        <x:f>IF(LEFT(U79,2)="历史",0,1)</x:f>
        <x:v>1</x:v>
      </x:c>
    </x:row>
    <x:row r="80" ht="36" customHeight="1">
      <x:c r="A80" s="55" t="str">
        <x:v>场景资产</x:v>
      </x:c>
      <x:c r="B80" s="55" t="n">
        <x:v>51</x:v>
      </x:c>
      <x:c r="C80" s="55" t="n">
        <x:v>3</x:v>
      </x:c>
      <x:c r="D80" s="55" t="str">
        <x:v>场景多视角</x:v>
      </x:c>
      <x:c r="E80" s="47" t="str">
        <x:v>  ↳ 视图｜科考路线俯视</x:v>
      </x:c>
      <x:c r="F80" s="47" t="str">
        <x:v>BY-SCN-P1-005-月面后段科考区-V-PATH-TOP</x:v>
      </x:c>
      <x:c r="G80" s="47" t="str">
        <x:v>BY-SCN-P1-005-月面后段科考区-V-MASTER</x:v>
      </x:c>
      <x:c r="H80" s="55" t="str">
        <x:v>PATH-TOP</x:v>
      </x:c>
      <x:c r="I80" s="55" t="str">
        <x:v>SCN-VIEW</x:v>
      </x:c>
      <x:c r="J80" s="55" t="str">
        <x:v>P1</x:v>
      </x:c>
      <x:c r="K80" s="47" t="str">
        <x:v>阶段1_场景视图需求表_V1.3.1</x:v>
      </x:c>
      <x:c r="L80" s="47" t="str">
        <x:v>场9；镜058,059,060,061,062,064,066,067</x:v>
      </x:c>
      <x:c r="M80" s="47" t="str">
        <x:v>相对母图的科考路线俯视，用于镜头连续和空间核验。</x:v>
      </x:c>
      <x:c r="N80" s="47" t="str">
        <x:v>继承BY-SCN-P1-005-月面后段科考区-V-MASTER，不重新发明舱室、设备、地貌或光向。</x:v>
      </x:c>
      <x:c r="O80" s="47" t="str">
        <x:v>PATH-TOP</x:v>
      </x:c>
      <x:c r="P80" s="47" t="str">
        <x:v>灰色月壤、车辙、远近地形</x:v>
      </x:c>
      <x:c r="Q80" s="47" t="str">
        <x:v>继承月面固定太阳光</x:v>
      </x:c>
      <x:c r="R80" s="47" t="str">
        <x:v>母图确认后生成；与母图做几何、材料、光影和设备位置一致性检查。</x:v>
      </x:c>
      <x:c r="S80" s="47" t="str">
        <x:v>09</x:v>
      </x:c>
      <x:c r="T80" s="47" t="str">
        <x:v>V1.3.1场景视图锁定</x:v>
      </x:c>
      <x:c r="U80" s="47" t="str">
        <x:v>V1.3.1重校已确认</x:v>
      </x:c>
      <x:c r="V80" s="47" t="str">
        <x:v>阶段2B在母图确认后生成本视图。</x:v>
      </x:c>
      <x:c r="W80" s="55" t="n">
        <x:f>IF(OR(D80="场景母图",D80="场景多视角"),0,1)</x:f>
        <x:v>0</x:v>
      </x:c>
      <x:c r="X80" s="55" t="n">
        <x:f>IF(LEFT(U80,2)="历史",0,1)</x:f>
        <x:v>1</x:v>
      </x:c>
    </x:row>
    <x:row r="81" ht="44" customHeight="1">
      <x:c r="A81" s="50" t="str">
        <x:v>场景资产</x:v>
      </x:c>
      <x:c r="B81" s="50" t="n">
        <x:v>52</x:v>
      </x:c>
      <x:c r="C81" s="50" t="n">
        <x:v>1</x:v>
      </x:c>
      <x:c r="D81" s="50" t="str">
        <x:v>场景资产组</x:v>
      </x:c>
      <x:c r="E81" s="36" t="str">
        <x:v>环月轨道外部环境</x:v>
      </x:c>
      <x:c r="F81" s="36" t="str">
        <x:v>BY-SCN-P1-006-环月轨道外部环境</x:v>
      </x:c>
      <x:c r="G81" s="36" t="str"/>
      <x:c r="H81" s="50" t="str"/>
      <x:c r="I81" s="50" t="str">
        <x:v>SCN</x:v>
      </x:c>
      <x:c r="J81" s="50" t="str">
        <x:v>P1</x:v>
      </x:c>
      <x:c r="K81" s="36" t="str">
        <x:v>V1.2逐镜映射见data/阶段1_114镜资产调用映射_V1.2.csv</x:v>
      </x:c>
      <x:c r="L81" s="36" t="str">
        <x:v>场1,2,4,11,12,13,14；镜002,008,010,011,020,021,024,025,078,084,085,087,093,095,096,098</x:v>
      </x:c>
      <x:c r="M81" s="36" t="str">
        <x:v>月球弧面、黑色太空和两器相对空间</x:v>
      </x:c>
      <x:c r="N81" s="36" t="str">
        <x:v>统一太阳方向、月球尺度和对接轴</x:v>
      </x:c>
      <x:c r="O81" s="36" t="str">
        <x:v>交会;分离;月地转移</x:v>
      </x:c>
      <x:c r="P81" s="36" t="str">
        <x:v>无空气环境、月球表面反照</x:v>
      </x:c>
      <x:c r="Q81" s="36" t="str">
        <x:v>硬太阳光与月球反射</x:v>
      </x:c>
      <x:c r="R81" s="36" t="str">
        <x:v>环境母图与SV1基准视图</x:v>
      </x:c>
      <x:c r="S81" s="36" t="str">
        <x:v>轨道外景</x:v>
      </x:c>
      <x:c r="T81" s="36" t="str">
        <x:v>剧本明确;科学约束</x:v>
      </x:c>
      <x:c r="U81" s="36" t="str">
        <x:v>已确认</x:v>
      </x:c>
      <x:c r="V81" s="36" t="str">
        <x:v>轨道视觉重建包</x:v>
      </x:c>
      <x:c r="W81" s="50" t="n">
        <x:f>IF(OR(D81="场景母图",D81="场景多视角"),0,1)</x:f>
        <x:v>1</x:v>
      </x:c>
      <x:c r="X81" s="50" t="n">
        <x:f>IF(LEFT(U81,2)="历史",0,1)</x:f>
        <x:v>1</x:v>
      </x:c>
    </x:row>
    <x:row r="82" ht="44" customHeight="1">
      <x:c r="A82" s="54" t="str">
        <x:v>场景资产</x:v>
      </x:c>
      <x:c r="B82" s="54" t="n">
        <x:v>53</x:v>
      </x:c>
      <x:c r="C82" s="54" t="n">
        <x:v>2</x:v>
      </x:c>
      <x:c r="D82" s="54" t="str">
        <x:v>场景母图</x:v>
      </x:c>
      <x:c r="E82" s="46" t="str">
        <x:v>↳ 母图｜环月轨道外部环境</x:v>
      </x:c>
      <x:c r="F82" s="46" t="str">
        <x:v>BY-SCN-P1-006-环月轨道外部环境-V-MASTER</x:v>
      </x:c>
      <x:c r="G82" s="46" t="str">
        <x:v>BY-SCN-P1-006-环月轨道外部环境</x:v>
      </x:c>
      <x:c r="H82" s="54" t="str">
        <x:v>MASTER</x:v>
      </x:c>
      <x:c r="I82" s="54" t="str">
        <x:v>SCN-VIEW</x:v>
      </x:c>
      <x:c r="J82" s="54" t="str">
        <x:v>P1</x:v>
      </x:c>
      <x:c r="K82" s="46" t="str">
        <x:v>阶段1_场景视图需求表_V1.3.1</x:v>
      </x:c>
      <x:c r="L82" s="46" t="str">
        <x:v>场1,2,4,11,12,13,14；镜002,008,010,011,020,021,024,025,078,084,085,087,093,095,096,098</x:v>
      </x:c>
      <x:c r="M82" s="46" t="str">
        <x:v>该场景的统一母图，锁定空间、尺度、材料、光向和主构图。</x:v>
      </x:c>
      <x:c r="N82" s="46" t="str">
        <x:v>后续全部视图均以本母图为唯一空间依据。</x:v>
      </x:c>
      <x:c r="O82" s="46" t="str">
        <x:v>MASTER</x:v>
      </x:c>
      <x:c r="P82" s="46" t="str">
        <x:v>无空气环境、月球表面反照</x:v>
      </x:c>
      <x:c r="Q82" s="46" t="str">
        <x:v>硬太阳光与月球反射</x:v>
      </x:c>
      <x:c r="R82" s="46" t="str">
        <x:v>先确认母图，再进入多视角和状态图生产。</x:v>
      </x:c>
      <x:c r="S82" s="46" t="str">
        <x:v>轨道外景</x:v>
      </x:c>
      <x:c r="T82" s="46" t="str">
        <x:v>V1.3.1场景视图锁定</x:v>
      </x:c>
      <x:c r="U82" s="46" t="str">
        <x:v>V1.3.1重校已确认</x:v>
      </x:c>
      <x:c r="V82" s="46" t="str">
        <x:v>阶段2B先生成并确认本母图。</x:v>
      </x:c>
      <x:c r="W82" s="54" t="n">
        <x:f>IF(OR(D82="场景母图",D82="场景多视角"),0,1)</x:f>
        <x:v>0</x:v>
      </x:c>
      <x:c r="X82" s="54" t="n">
        <x:f>IF(LEFT(U82,2)="历史",0,1)</x:f>
        <x:v>1</x:v>
      </x:c>
    </x:row>
    <x:row r="83" ht="36" customHeight="1">
      <x:c r="A83" s="55" t="str">
        <x:v>场景资产</x:v>
      </x:c>
      <x:c r="B83" s="55" t="n">
        <x:v>54</x:v>
      </x:c>
      <x:c r="C83" s="55" t="n">
        <x:v>3</x:v>
      </x:c>
      <x:c r="D83" s="55" t="str">
        <x:v>场景多视角</x:v>
      </x:c>
      <x:c r="E83" s="47" t="str">
        <x:v>  ↳ 视图｜对接轴线</x:v>
      </x:c>
      <x:c r="F83" s="47" t="str">
        <x:v>BY-SCN-P1-006-环月轨道外部环境-V-DOCK-AXIS</x:v>
      </x:c>
      <x:c r="G83" s="47" t="str">
        <x:v>BY-SCN-P1-006-环月轨道外部环境-V-MASTER</x:v>
      </x:c>
      <x:c r="H83" s="55" t="str">
        <x:v>DOCK-AXIS</x:v>
      </x:c>
      <x:c r="I83" s="55" t="str">
        <x:v>SCN-VIEW</x:v>
      </x:c>
      <x:c r="J83" s="55" t="str">
        <x:v>P1</x:v>
      </x:c>
      <x:c r="K83" s="47" t="str">
        <x:v>阶段1_场景视图需求表_V1.3.1</x:v>
      </x:c>
      <x:c r="L83" s="47" t="str">
        <x:v>场1,2,4,11,12,13,14；镜002,008,010,011,020,021,024,025,078,084,085,087,093,095,096,098</x:v>
      </x:c>
      <x:c r="M83" s="47" t="str">
        <x:v>相对母图的对接轴线，用于镜头连续和空间核验。</x:v>
      </x:c>
      <x:c r="N83" s="47" t="str">
        <x:v>继承BY-SCN-P1-006-环月轨道外部环境-V-MASTER，不重新发明舱室、设备、地貌或光向。</x:v>
      </x:c>
      <x:c r="O83" s="47" t="str">
        <x:v>DOCK-AXIS</x:v>
      </x:c>
      <x:c r="P83" s="47" t="str">
        <x:v>无空气环境、月球表面反照</x:v>
      </x:c>
      <x:c r="Q83" s="47" t="str">
        <x:v>硬太阳光与月球反射</x:v>
      </x:c>
      <x:c r="R83" s="47" t="str">
        <x:v>母图确认后生成；与母图做几何、材料、光影和设备位置一致性检查。</x:v>
      </x:c>
      <x:c r="S83" s="47" t="str">
        <x:v>轨道外景</x:v>
      </x:c>
      <x:c r="T83" s="47" t="str">
        <x:v>V1.3.1场景视图锁定</x:v>
      </x:c>
      <x:c r="U83" s="47" t="str">
        <x:v>V1.3.1重校已确认</x:v>
      </x:c>
      <x:c r="V83" s="47" t="str">
        <x:v>阶段2B在母图确认后生成本视图。</x:v>
      </x:c>
      <x:c r="W83" s="55" t="n">
        <x:f>IF(OR(D83="场景母图",D83="场景多视角"),0,1)</x:f>
        <x:v>0</x:v>
      </x:c>
      <x:c r="X83" s="55" t="n">
        <x:f>IF(LEFT(U83,2)="历史",0,1)</x:f>
        <x:v>1</x:v>
      </x:c>
    </x:row>
    <x:row r="84" ht="36" customHeight="1">
      <x:c r="A84" s="55" t="str">
        <x:v>场景资产</x:v>
      </x:c>
      <x:c r="B84" s="55" t="n">
        <x:v>55</x:v>
      </x:c>
      <x:c r="C84" s="55" t="n">
        <x:v>3</x:v>
      </x:c>
      <x:c r="D84" s="55" t="str">
        <x:v>场景多视角</x:v>
      </x:c>
      <x:c r="E84" s="47" t="str">
        <x:v>  ↳ 视图｜月缘尺度关系</x:v>
      </x:c>
      <x:c r="F84" s="47" t="str">
        <x:v>BY-SCN-P1-006-环月轨道外部环境-V-MOON-LIMB</x:v>
      </x:c>
      <x:c r="G84" s="47" t="str">
        <x:v>BY-SCN-P1-006-环月轨道外部环境-V-MASTER</x:v>
      </x:c>
      <x:c r="H84" s="55" t="str">
        <x:v>MOON-LIMB</x:v>
      </x:c>
      <x:c r="I84" s="55" t="str">
        <x:v>SCN-VIEW</x:v>
      </x:c>
      <x:c r="J84" s="55" t="str">
        <x:v>P1</x:v>
      </x:c>
      <x:c r="K84" s="47" t="str">
        <x:v>阶段1_场景视图需求表_V1.3.1</x:v>
      </x:c>
      <x:c r="L84" s="47" t="str">
        <x:v>场1,2,4,11,12,13,14；镜002,008,010,011,020,021,024,025,078,084,085,087,093,095,096,098</x:v>
      </x:c>
      <x:c r="M84" s="47" t="str">
        <x:v>相对母图的月缘尺度关系，用于镜头连续和空间核验。</x:v>
      </x:c>
      <x:c r="N84" s="47" t="str">
        <x:v>继承BY-SCN-P1-006-环月轨道外部环境-V-MASTER，不重新发明舱室、设备、地貌或光向。</x:v>
      </x:c>
      <x:c r="O84" s="47" t="str">
        <x:v>MOON-LIMB</x:v>
      </x:c>
      <x:c r="P84" s="47" t="str">
        <x:v>无空气环境、月球表面反照</x:v>
      </x:c>
      <x:c r="Q84" s="47" t="str">
        <x:v>硬太阳光与月球反射</x:v>
      </x:c>
      <x:c r="R84" s="47" t="str">
        <x:v>母图确认后生成；与母图做几何、材料、光影和设备位置一致性检查。</x:v>
      </x:c>
      <x:c r="S84" s="47" t="str">
        <x:v>轨道外景</x:v>
      </x:c>
      <x:c r="T84" s="47" t="str">
        <x:v>V1.3.1场景视图锁定</x:v>
      </x:c>
      <x:c r="U84" s="47" t="str">
        <x:v>V1.3.1重校已确认</x:v>
      </x:c>
      <x:c r="V84" s="47" t="str">
        <x:v>阶段2B在母图确认后生成本视图。</x:v>
      </x:c>
      <x:c r="W84" s="55" t="n">
        <x:f>IF(OR(D84="场景母图",D84="场景多视角"),0,1)</x:f>
        <x:v>0</x:v>
      </x:c>
      <x:c r="X84" s="55" t="n">
        <x:f>IF(LEFT(U84,2)="历史",0,1)</x:f>
        <x:v>1</x:v>
      </x:c>
    </x:row>
    <x:row r="85" ht="36" customHeight="1">
      <x:c r="A85" s="55" t="str">
        <x:v>场景资产</x:v>
      </x:c>
      <x:c r="B85" s="55" t="n">
        <x:v>56</x:v>
      </x:c>
      <x:c r="C85" s="55" t="n">
        <x:v>3</x:v>
      </x:c>
      <x:c r="D85" s="55" t="str">
        <x:v>场景多视角</x:v>
      </x:c>
      <x:c r="E85" s="47" t="str">
        <x:v>  ↳ 视图｜分离状态</x:v>
      </x:c>
      <x:c r="F85" s="47" t="str">
        <x:v>BY-SCN-P1-006-环月轨道外部环境-V-SEPARATION</x:v>
      </x:c>
      <x:c r="G85" s="47" t="str">
        <x:v>BY-SCN-P1-006-环月轨道外部环境-V-MASTER</x:v>
      </x:c>
      <x:c r="H85" s="55" t="str">
        <x:v>SEPARATION</x:v>
      </x:c>
      <x:c r="I85" s="55" t="str">
        <x:v>SCN-VIEW</x:v>
      </x:c>
      <x:c r="J85" s="55" t="str">
        <x:v>P1</x:v>
      </x:c>
      <x:c r="K85" s="47" t="str">
        <x:v>阶段1_场景视图需求表_V1.3.1</x:v>
      </x:c>
      <x:c r="L85" s="47" t="str">
        <x:v>场1,2,4,11,12,13,14；镜002,008,010,011,020,021,024,025,078,084,085,087,093,095,096,098</x:v>
      </x:c>
      <x:c r="M85" s="47" t="str">
        <x:v>相对母图的分离状态，用于镜头连续和空间核验。</x:v>
      </x:c>
      <x:c r="N85" s="47" t="str">
        <x:v>继承BY-SCN-P1-006-环月轨道外部环境-V-MASTER，不重新发明舱室、设备、地貌或光向。</x:v>
      </x:c>
      <x:c r="O85" s="47" t="str">
        <x:v>SEPARATION</x:v>
      </x:c>
      <x:c r="P85" s="47" t="str">
        <x:v>无空气环境、月球表面反照</x:v>
      </x:c>
      <x:c r="Q85" s="47" t="str">
        <x:v>硬太阳光与月球反射</x:v>
      </x:c>
      <x:c r="R85" s="47" t="str">
        <x:v>母图确认后生成；与母图做几何、材料、光影和设备位置一致性检查。</x:v>
      </x:c>
      <x:c r="S85" s="47" t="str">
        <x:v>轨道外景</x:v>
      </x:c>
      <x:c r="T85" s="47" t="str">
        <x:v>V1.3.1场景视图锁定</x:v>
      </x:c>
      <x:c r="U85" s="47" t="str">
        <x:v>V1.3.1重校已确认</x:v>
      </x:c>
      <x:c r="V85" s="47" t="str">
        <x:v>阶段2B在母图确认后生成本视图。</x:v>
      </x:c>
      <x:c r="W85" s="55" t="n">
        <x:f>IF(OR(D85="场景母图",D85="场景多视角"),0,1)</x:f>
        <x:v>0</x:v>
      </x:c>
      <x:c r="X85" s="55" t="n">
        <x:f>IF(LEFT(U85,2)="历史",0,1)</x:f>
        <x:v>1</x:v>
      </x:c>
    </x:row>
    <x:row r="86" ht="44" customHeight="1">
      <x:c r="A86" s="50" t="str">
        <x:v>场景资产</x:v>
      </x:c>
      <x:c r="B86" s="50" t="n">
        <x:v>57</x:v>
      </x:c>
      <x:c r="C86" s="50" t="n">
        <x:v>1</x:v>
      </x:c>
      <x:c r="D86" s="50" t="str">
        <x:v>场景资产组</x:v>
      </x:c>
      <x:c r="E86" s="36" t="str">
        <x:v>返回舱再入视觉环境</x:v>
      </x:c>
      <x:c r="F86" s="36" t="str">
        <x:v>BY-SCN-P0-007-返回舱再入视觉环境</x:v>
      </x:c>
      <x:c r="G86" s="36" t="str"/>
      <x:c r="H86" s="50" t="str"/>
      <x:c r="I86" s="50" t="str">
        <x:v>SCN</x:v>
      </x:c>
      <x:c r="J86" s="50" t="str">
        <x:v>P0</x:v>
      </x:c>
      <x:c r="K86" s="36" t="str">
        <x:v>V1.2逐镜映射见data/阶段1_114镜资产调用映射_V1.2.csv</x:v>
      </x:c>
      <x:c r="L86" s="36" t="str">
        <x:v>场15；镜102,104,105,106,108</x:v>
      </x:c>
      <x:c r="M86" s="36" t="str">
        <x:v>近地空间、高层大气、地球弧面和返回舱跳跃式再入的统一视觉环境。</x:v>
      </x:c>
      <x:c r="N86" s="36" t="str">
        <x:v>第一次擦入、短暂跃出、第二次再入、黑障和开伞属于同一连续轨迹。</x:v>
      </x:c>
      <x:c r="O86" s="36" t="str">
        <x:v>服务舱分离；第一次再入；跃出；第二次再入；辉光减弱；开伞</x:v>
      </x:c>
      <x:c r="P86" s="36" t="str">
        <x:v>地球蓝白层次、黑色近地空间、受控等离子辉光</x:v>
      </x:c>
      <x:c r="Q86" s="36" t="str">
        <x:v>太阳光、地球反照与等离子自发光来源清楚</x:v>
      </x:c>
      <x:c r="R86" s="36" t="str">
        <x:v>再入MASTER及关键状态视图</x:v>
      </x:c>
      <x:c r="S86" s="36" t="str">
        <x:v>第15场</x:v>
      </x:c>
      <x:c r="T86" s="36" t="str">
        <x:v>V1.2剧本明确＋项目锁定＋公开工程资料边界</x:v>
      </x:c>
      <x:c r="U86" s="36" t="str">
        <x:v>已确认生产方向</x:v>
      </x:c>
      <x:c r="V86" s="36" t="str">
        <x:v>阶段2A重入后按生产包执行</x:v>
      </x:c>
      <x:c r="W86" s="50" t="n">
        <x:f>IF(OR(D86="场景母图",D86="场景多视角"),0,1)</x:f>
        <x:v>1</x:v>
      </x:c>
      <x:c r="X86" s="50" t="n">
        <x:f>IF(LEFT(U86,2)="历史",0,1)</x:f>
        <x:v>1</x:v>
      </x:c>
    </x:row>
    <x:row r="87" ht="44" customHeight="1">
      <x:c r="A87" s="54" t="str">
        <x:v>场景资产</x:v>
      </x:c>
      <x:c r="B87" s="54" t="n">
        <x:v>58</x:v>
      </x:c>
      <x:c r="C87" s="54" t="n">
        <x:v>2</x:v>
      </x:c>
      <x:c r="D87" s="54" t="str">
        <x:v>场景母图</x:v>
      </x:c>
      <x:c r="E87" s="46" t="str">
        <x:v>↳ 母图｜返回舱再入视觉环境</x:v>
      </x:c>
      <x:c r="F87" s="46" t="str">
        <x:v>BY-SCN-P0-007-返回舱再入视觉环境-V-MASTER</x:v>
      </x:c>
      <x:c r="G87" s="46" t="str">
        <x:v>BY-SCN-P0-007-返回舱再入视觉环境</x:v>
      </x:c>
      <x:c r="H87" s="54" t="str">
        <x:v>MASTER</x:v>
      </x:c>
      <x:c r="I87" s="54" t="str">
        <x:v>SCN-VIEW</x:v>
      </x:c>
      <x:c r="J87" s="54" t="str">
        <x:v>P0</x:v>
      </x:c>
      <x:c r="K87" s="46" t="str">
        <x:v>阶段1_场景视图需求表_V1.3.1</x:v>
      </x:c>
      <x:c r="L87" s="46" t="str">
        <x:v>场15；镜102,104,105,106,108</x:v>
      </x:c>
      <x:c r="M87" s="46" t="str">
        <x:v>该场景的统一母图，锁定空间、尺度、材料、光向和主构图。</x:v>
      </x:c>
      <x:c r="N87" s="46" t="str">
        <x:v>后续全部视图均以本母图为唯一空间依据。</x:v>
      </x:c>
      <x:c r="O87" s="46" t="str">
        <x:v>MASTER</x:v>
      </x:c>
      <x:c r="P87" s="46" t="str">
        <x:v>地球蓝白层次、黑色近地空间、受控等离子辉光</x:v>
      </x:c>
      <x:c r="Q87" s="46" t="str">
        <x:v>太阳光、地球反照与等离子自发光来源清楚</x:v>
      </x:c>
      <x:c r="R87" s="46" t="str">
        <x:v>先确认母图，再进入多视角和状态图生产。</x:v>
      </x:c>
      <x:c r="S87" s="46" t="str">
        <x:v>第15场</x:v>
      </x:c>
      <x:c r="T87" s="46" t="str">
        <x:v>V1.3.1场景视图锁定</x:v>
      </x:c>
      <x:c r="U87" s="46" t="str">
        <x:v>V1.3.1重校已确认</x:v>
      </x:c>
      <x:c r="V87" s="46" t="str">
        <x:v>阶段2B先生成并确认本母图。</x:v>
      </x:c>
      <x:c r="W87" s="54" t="n">
        <x:f>IF(OR(D87="场景母图",D87="场景多视角"),0,1)</x:f>
        <x:v>0</x:v>
      </x:c>
      <x:c r="X87" s="54" t="n">
        <x:f>IF(LEFT(U87,2)="历史",0,1)</x:f>
        <x:v>1</x:v>
      </x:c>
    </x:row>
    <x:row r="88" ht="36" customHeight="1">
      <x:c r="A88" s="55" t="str">
        <x:v>场景资产</x:v>
      </x:c>
      <x:c r="B88" s="55" t="n">
        <x:v>59</x:v>
      </x:c>
      <x:c r="C88" s="55" t="n">
        <x:v>3</x:v>
      </x:c>
      <x:c r="D88" s="55" t="str">
        <x:v>场景多视角</x:v>
      </x:c>
      <x:c r="E88" s="47" t="str">
        <x:v>  ↳ 视图｜第一次再入</x:v>
      </x:c>
      <x:c r="F88" s="47" t="str">
        <x:v>BY-SCN-P0-007-返回舱再入视觉环境-V-FIRST-ENTRY</x:v>
      </x:c>
      <x:c r="G88" s="47" t="str">
        <x:v>BY-SCN-P0-007-返回舱再入视觉环境-V-MASTER</x:v>
      </x:c>
      <x:c r="H88" s="55" t="str">
        <x:v>FIRST-ENTRY</x:v>
      </x:c>
      <x:c r="I88" s="55" t="str">
        <x:v>SCN-VIEW</x:v>
      </x:c>
      <x:c r="J88" s="55" t="str">
        <x:v>P0</x:v>
      </x:c>
      <x:c r="K88" s="47" t="str">
        <x:v>阶段1_场景视图需求表_V1.3.1</x:v>
      </x:c>
      <x:c r="L88" s="47" t="str">
        <x:v>场15；镜102,104,105,106,108</x:v>
      </x:c>
      <x:c r="M88" s="47" t="str">
        <x:v>相对母图的第一次再入，用于镜头连续和空间核验。</x:v>
      </x:c>
      <x:c r="N88" s="47" t="str">
        <x:v>继承BY-SCN-P0-007-返回舱再入视觉环境-V-MASTER，不重新发明舱室、设备、地貌或光向。</x:v>
      </x:c>
      <x:c r="O88" s="47" t="str">
        <x:v>FIRST-ENTRY</x:v>
      </x:c>
      <x:c r="P88" s="47" t="str">
        <x:v>地球蓝白层次、黑色近地空间、受控等离子辉光</x:v>
      </x:c>
      <x:c r="Q88" s="47" t="str">
        <x:v>太阳光、地球反照与等离子自发光来源清楚</x:v>
      </x:c>
      <x:c r="R88" s="47" t="str">
        <x:v>母图确认后生成；与母图做几何、材料、光影和设备位置一致性检查。</x:v>
      </x:c>
      <x:c r="S88" s="47" t="str">
        <x:v>第15场</x:v>
      </x:c>
      <x:c r="T88" s="47" t="str">
        <x:v>V1.3.1场景视图锁定</x:v>
      </x:c>
      <x:c r="U88" s="47" t="str">
        <x:v>V1.3.1重校已确认</x:v>
      </x:c>
      <x:c r="V88" s="47" t="str">
        <x:v>阶段2B在母图确认后生成本视图。</x:v>
      </x:c>
      <x:c r="W88" s="55" t="n">
        <x:f>IF(OR(D88="场景母图",D88="场景多视角"),0,1)</x:f>
        <x:v>0</x:v>
      </x:c>
      <x:c r="X88" s="55" t="n">
        <x:f>IF(LEFT(U88,2)="历史",0,1)</x:f>
        <x:v>1</x:v>
      </x:c>
    </x:row>
    <x:row r="89" ht="36" customHeight="1">
      <x:c r="A89" s="55" t="str">
        <x:v>场景资产</x:v>
      </x:c>
      <x:c r="B89" s="55" t="n">
        <x:v>60</x:v>
      </x:c>
      <x:c r="C89" s="55" t="n">
        <x:v>3</x:v>
      </x:c>
      <x:c r="D89" s="55" t="str">
        <x:v>场景多视角</x:v>
      </x:c>
      <x:c r="E89" s="47" t="str">
        <x:v>  ↳ 视图｜跃出段</x:v>
      </x:c>
      <x:c r="F89" s="47" t="str">
        <x:v>BY-SCN-P0-007-返回舱再入视觉环境-V-SKIP</x:v>
      </x:c>
      <x:c r="G89" s="47" t="str">
        <x:v>BY-SCN-P0-007-返回舱再入视觉环境-V-MASTER</x:v>
      </x:c>
      <x:c r="H89" s="55" t="str">
        <x:v>SKIP</x:v>
      </x:c>
      <x:c r="I89" s="55" t="str">
        <x:v>SCN-VIEW</x:v>
      </x:c>
      <x:c r="J89" s="55" t="str">
        <x:v>P0</x:v>
      </x:c>
      <x:c r="K89" s="47" t="str">
        <x:v>阶段1_场景视图需求表_V1.3.1</x:v>
      </x:c>
      <x:c r="L89" s="47" t="str">
        <x:v>场15；镜102,104,105,106,108</x:v>
      </x:c>
      <x:c r="M89" s="47" t="str">
        <x:v>相对母图的跃出段，用于镜头连续和空间核验。</x:v>
      </x:c>
      <x:c r="N89" s="47" t="str">
        <x:v>继承BY-SCN-P0-007-返回舱再入视觉环境-V-MASTER，不重新发明舱室、设备、地貌或光向。</x:v>
      </x:c>
      <x:c r="O89" s="47" t="str">
        <x:v>SKIP</x:v>
      </x:c>
      <x:c r="P89" s="47" t="str">
        <x:v>地球蓝白层次、黑色近地空间、受控等离子辉光</x:v>
      </x:c>
      <x:c r="Q89" s="47" t="str">
        <x:v>太阳光、地球反照与等离子自发光来源清楚</x:v>
      </x:c>
      <x:c r="R89" s="47" t="str">
        <x:v>母图确认后生成；与母图做几何、材料、光影和设备位置一致性检查。</x:v>
      </x:c>
      <x:c r="S89" s="47" t="str">
        <x:v>第15场</x:v>
      </x:c>
      <x:c r="T89" s="47" t="str">
        <x:v>V1.3.1场景视图锁定</x:v>
      </x:c>
      <x:c r="U89" s="47" t="str">
        <x:v>V1.3.1重校已确认</x:v>
      </x:c>
      <x:c r="V89" s="47" t="str">
        <x:v>阶段2B在母图确认后生成本视图。</x:v>
      </x:c>
      <x:c r="W89" s="55" t="n">
        <x:f>IF(OR(D89="场景母图",D89="场景多视角"),0,1)</x:f>
        <x:v>0</x:v>
      </x:c>
      <x:c r="X89" s="55" t="n">
        <x:f>IF(LEFT(U89,2)="历史",0,1)</x:f>
        <x:v>1</x:v>
      </x:c>
    </x:row>
    <x:row r="90" ht="36" customHeight="1">
      <x:c r="A90" s="55" t="str">
        <x:v>场景资产</x:v>
      </x:c>
      <x:c r="B90" s="55" t="n">
        <x:v>61</x:v>
      </x:c>
      <x:c r="C90" s="55" t="n">
        <x:v>3</x:v>
      </x:c>
      <x:c r="D90" s="55" t="str">
        <x:v>场景多视角</x:v>
      </x:c>
      <x:c r="E90" s="47" t="str">
        <x:v>  ↳ 视图｜第二次再入</x:v>
      </x:c>
      <x:c r="F90" s="47" t="str">
        <x:v>BY-SCN-P0-007-返回舱再入视觉环境-V-SECOND-ENTRY</x:v>
      </x:c>
      <x:c r="G90" s="47" t="str">
        <x:v>BY-SCN-P0-007-返回舱再入视觉环境-V-MASTER</x:v>
      </x:c>
      <x:c r="H90" s="55" t="str">
        <x:v>SECOND-ENTRY</x:v>
      </x:c>
      <x:c r="I90" s="55" t="str">
        <x:v>SCN-VIEW</x:v>
      </x:c>
      <x:c r="J90" s="55" t="str">
        <x:v>P0</x:v>
      </x:c>
      <x:c r="K90" s="47" t="str">
        <x:v>阶段1_场景视图需求表_V1.3.1</x:v>
      </x:c>
      <x:c r="L90" s="47" t="str">
        <x:v>场15；镜102,104,105,106,108</x:v>
      </x:c>
      <x:c r="M90" s="47" t="str">
        <x:v>相对母图的第二次再入，用于镜头连续和空间核验。</x:v>
      </x:c>
      <x:c r="N90" s="47" t="str">
        <x:v>继承BY-SCN-P0-007-返回舱再入视觉环境-V-MASTER，不重新发明舱室、设备、地貌或光向。</x:v>
      </x:c>
      <x:c r="O90" s="47" t="str">
        <x:v>SECOND-ENTRY</x:v>
      </x:c>
      <x:c r="P90" s="47" t="str">
        <x:v>地球蓝白层次、黑色近地空间、受控等离子辉光</x:v>
      </x:c>
      <x:c r="Q90" s="47" t="str">
        <x:v>太阳光、地球反照与等离子自发光来源清楚</x:v>
      </x:c>
      <x:c r="R90" s="47" t="str">
        <x:v>母图确认后生成；与母图做几何、材料、光影和设备位置一致性检查。</x:v>
      </x:c>
      <x:c r="S90" s="47" t="str">
        <x:v>第15场</x:v>
      </x:c>
      <x:c r="T90" s="47" t="str">
        <x:v>V1.3.1场景视图锁定</x:v>
      </x:c>
      <x:c r="U90" s="47" t="str">
        <x:v>V1.3.1重校已确认</x:v>
      </x:c>
      <x:c r="V90" s="47" t="str">
        <x:v>阶段2B在母图确认后生成本视图。</x:v>
      </x:c>
      <x:c r="W90" s="55" t="n">
        <x:f>IF(OR(D90="场景母图",D90="场景多视角"),0,1)</x:f>
        <x:v>0</x:v>
      </x:c>
      <x:c r="X90" s="55" t="n">
        <x:f>IF(LEFT(U90,2)="历史",0,1)</x:f>
        <x:v>1</x:v>
      </x:c>
    </x:row>
    <x:row r="91" ht="36" customHeight="1">
      <x:c r="A91" s="55" t="str">
        <x:v>场景资产</x:v>
      </x:c>
      <x:c r="B91" s="55" t="n">
        <x:v>62</x:v>
      </x:c>
      <x:c r="C91" s="55" t="n">
        <x:v>3</x:v>
      </x:c>
      <x:c r="D91" s="55" t="str">
        <x:v>场景多视角</x:v>
      </x:c>
      <x:c r="E91" s="47" t="str">
        <x:v>  ↳ 视图｜伞降状态</x:v>
      </x:c>
      <x:c r="F91" s="47" t="str">
        <x:v>BY-SCN-P0-007-返回舱再入视觉环境-V-PARACHUTE</x:v>
      </x:c>
      <x:c r="G91" s="47" t="str">
        <x:v>BY-SCN-P0-007-返回舱再入视觉环境-V-MASTER</x:v>
      </x:c>
      <x:c r="H91" s="55" t="str">
        <x:v>PARACHUTE</x:v>
      </x:c>
      <x:c r="I91" s="55" t="str">
        <x:v>SCN-VIEW</x:v>
      </x:c>
      <x:c r="J91" s="55" t="str">
        <x:v>P0</x:v>
      </x:c>
      <x:c r="K91" s="47" t="str">
        <x:v>阶段1_场景视图需求表_V1.3.1</x:v>
      </x:c>
      <x:c r="L91" s="47" t="str">
        <x:v>场15；镜102,104,105,106,108</x:v>
      </x:c>
      <x:c r="M91" s="47" t="str">
        <x:v>相对母图的伞降状态，用于镜头连续和空间核验。</x:v>
      </x:c>
      <x:c r="N91" s="47" t="str">
        <x:v>继承BY-SCN-P0-007-返回舱再入视觉环境-V-MASTER，不重新发明舱室、设备、地貌或光向。</x:v>
      </x:c>
      <x:c r="O91" s="47" t="str">
        <x:v>PARACHUTE</x:v>
      </x:c>
      <x:c r="P91" s="47" t="str">
        <x:v>地球蓝白层次、黑色近地空间、受控等离子辉光</x:v>
      </x:c>
      <x:c r="Q91" s="47" t="str">
        <x:v>太阳光、地球反照与等离子自发光来源清楚</x:v>
      </x:c>
      <x:c r="R91" s="47" t="str">
        <x:v>母图确认后生成；与母图做几何、材料、光影和设备位置一致性检查。</x:v>
      </x:c>
      <x:c r="S91" s="47" t="str">
        <x:v>第15场</x:v>
      </x:c>
      <x:c r="T91" s="47" t="str">
        <x:v>V1.3.1场景视图锁定</x:v>
      </x:c>
      <x:c r="U91" s="47" t="str">
        <x:v>V1.3.1重校已确认</x:v>
      </x:c>
      <x:c r="V91" s="47" t="str">
        <x:v>阶段2B在母图确认后生成本视图。</x:v>
      </x:c>
      <x:c r="W91" s="55" t="n">
        <x:f>IF(OR(D91="场景母图",D91="场景多视角"),0,1)</x:f>
        <x:v>0</x:v>
      </x:c>
      <x:c r="X91" s="55" t="n">
        <x:f>IF(LEFT(U91,2)="历史",0,1)</x:f>
        <x:v>1</x:v>
      </x:c>
    </x:row>
    <x:row r="92" ht="44" customHeight="1">
      <x:c r="A92" s="50" t="str">
        <x:v>场景资产</x:v>
      </x:c>
      <x:c r="B92" s="50" t="n">
        <x:v>63</x:v>
      </x:c>
      <x:c r="C92" s="50" t="n">
        <x:v>1</x:v>
      </x:c>
      <x:c r="D92" s="50" t="str">
        <x:v>场景资产组</x:v>
      </x:c>
      <x:c r="E92" s="36" t="str">
        <x:v>返回器搜救指挥中心</x:v>
      </x:c>
      <x:c r="F92" s="36" t="str">
        <x:v>BY-SCN-P1-011-搜救指挥中心</x:v>
      </x:c>
      <x:c r="G92" s="36" t="str"/>
      <x:c r="H92" s="50" t="str"/>
      <x:c r="I92" s="50" t="str">
        <x:v>SCN</x:v>
      </x:c>
      <x:c r="J92" s="50" t="str">
        <x:v>P1</x:v>
      </x:c>
      <x:c r="K92" s="36" t="str">
        <x:v>V1.2逐镜映射见data/阶段1_114镜资产调用映射_V1.2.csv</x:v>
      </x:c>
      <x:c r="L92" s="36" t="str">
        <x:v>场16；镜110</x:v>
      </x:c>
      <x:c r="M92" s="36" t="str">
        <x:v>落点预测、空地接力和回收状态闭合的指挥空间。</x:v>
      </x:c>
      <x:c r="N92" s="36" t="str">
        <x:v>与北京飞控可剪辑区分，界面后期添加。</x:v>
      </x:c>
      <x:c r="O92" s="36" t="str">
        <x:v>落点收敛；队伍接近；舱体与乘组状态闭合</x:v>
      </x:c>
      <x:c r="P92" s="36" t="str">
        <x:v>真实调度席、通信设备、地图屏底图</x:v>
      </x:c>
      <x:c r="Q92" s="36" t="str">
        <x:v>克制任务光</x:v>
      </x:c>
      <x:c r="R92" s="36" t="str">
        <x:v>MASTER、主屏／席位局部</x:v>
      </x:c>
      <x:c r="S92" s="36" t="str">
        <x:v>第15—16场</x:v>
      </x:c>
      <x:c r="T92" s="36" t="str">
        <x:v>V1.2剧本明确＋项目锁定＋公开工程资料边界</x:v>
      </x:c>
      <x:c r="U92" s="36" t="str">
        <x:v>已确认生产方向</x:v>
      </x:c>
      <x:c r="V92" s="36" t="str">
        <x:v>阶段2A重入后按生产包执行</x:v>
      </x:c>
      <x:c r="W92" s="50" t="n">
        <x:f>IF(OR(D92="场景母图",D92="场景多视角"),0,1)</x:f>
        <x:v>1</x:v>
      </x:c>
      <x:c r="X92" s="50" t="n">
        <x:f>IF(LEFT(U92,2)="历史",0,1)</x:f>
        <x:v>1</x:v>
      </x:c>
    </x:row>
    <x:row r="93" ht="44" customHeight="1">
      <x:c r="A93" s="54" t="str">
        <x:v>场景资产</x:v>
      </x:c>
      <x:c r="B93" s="54" t="n">
        <x:v>64</x:v>
      </x:c>
      <x:c r="C93" s="54" t="n">
        <x:v>2</x:v>
      </x:c>
      <x:c r="D93" s="54" t="str">
        <x:v>场景母图</x:v>
      </x:c>
      <x:c r="E93" s="46" t="str">
        <x:v>↳ 母图｜返回器搜救指挥中心</x:v>
      </x:c>
      <x:c r="F93" s="46" t="str">
        <x:v>BY-SCN-P1-011-搜救指挥中心-V-MASTER</x:v>
      </x:c>
      <x:c r="G93" s="46" t="str">
        <x:v>BY-SCN-P1-011-搜救指挥中心</x:v>
      </x:c>
      <x:c r="H93" s="54" t="str">
        <x:v>MASTER</x:v>
      </x:c>
      <x:c r="I93" s="54" t="str">
        <x:v>SCN-VIEW</x:v>
      </x:c>
      <x:c r="J93" s="54" t="str">
        <x:v>P1</x:v>
      </x:c>
      <x:c r="K93" s="46" t="str">
        <x:v>阶段1_场景视图需求表_V1.3.1</x:v>
      </x:c>
      <x:c r="L93" s="46" t="str">
        <x:v>场16；镜110</x:v>
      </x:c>
      <x:c r="M93" s="46" t="str">
        <x:v>该场景的统一母图，锁定空间、尺度、材料、光向和主构图。</x:v>
      </x:c>
      <x:c r="N93" s="46" t="str">
        <x:v>后续全部视图均以本母图为唯一空间依据。</x:v>
      </x:c>
      <x:c r="O93" s="46" t="str">
        <x:v>MASTER</x:v>
      </x:c>
      <x:c r="P93" s="46" t="str">
        <x:v>真实调度席、通信设备、地图屏底图</x:v>
      </x:c>
      <x:c r="Q93" s="46" t="str">
        <x:v>克制任务光</x:v>
      </x:c>
      <x:c r="R93" s="46" t="str">
        <x:v>先确认母图，再进入多视角和状态图生产。</x:v>
      </x:c>
      <x:c r="S93" s="46" t="str">
        <x:v>第15—16场</x:v>
      </x:c>
      <x:c r="T93" s="46" t="str">
        <x:v>V1.3.1场景视图锁定</x:v>
      </x:c>
      <x:c r="U93" s="46" t="str">
        <x:v>已确认推荐口径</x:v>
      </x:c>
      <x:c r="V93" s="46" t="str">
        <x:v>阶段2B先生成并确认本母图。</x:v>
      </x:c>
      <x:c r="W93" s="54" t="n">
        <x:f>IF(OR(D93="场景母图",D93="场景多视角"),0,1)</x:f>
        <x:v>0</x:v>
      </x:c>
      <x:c r="X93" s="54" t="n">
        <x:f>IF(LEFT(U93,2)="历史",0,1)</x:f>
        <x:v>1</x:v>
      </x:c>
    </x:row>
    <x:row r="94" ht="44" customHeight="1">
      <x:c r="A94" s="50" t="str">
        <x:v>场景资产</x:v>
      </x:c>
      <x:c r="B94" s="50" t="n">
        <x:v>65</x:v>
      </x:c>
      <x:c r="C94" s="50" t="n">
        <x:v>1</x:v>
      </x:c>
      <x:c r="D94" s="50" t="str">
        <x:v>场景资产组</x:v>
      </x:c>
      <x:c r="E94" s="36" t="str">
        <x:v>东风着陆场与搜救现场</x:v>
      </x:c>
      <x:c r="F94" s="36" t="str">
        <x:v>BY-SCN-P0-008-预定着陆区与搜救现场</x:v>
      </x:c>
      <x:c r="G94" s="36" t="str"/>
      <x:c r="H94" s="50" t="str"/>
      <x:c r="I94" s="50" t="str">
        <x:v>SCN</x:v>
      </x:c>
      <x:c r="J94" s="50" t="str">
        <x:v>P0</x:v>
      </x:c>
      <x:c r="K94" s="36" t="str">
        <x:v>V1.2逐镜映射见data/阶段1_114镜资产调用映射_V1.2.csv</x:v>
      </x:c>
      <x:c r="L94" s="36" t="str">
        <x:v>第13—15场</x:v>
      </x:c>
      <x:c r="M94" s="36" t="str">
        <x:v>东风着陆场荒漠回收区、预报走廊、直升机与车组、警戒区、返回舱开舱区。</x:v>
      </x:c>
      <x:c r="N94" s="36" t="str">
        <x:v>着陆地点保持泛化，不制造具体未公布地名。</x:v>
      </x:c>
      <x:c r="O94" s="36" t="str">
        <x:v>再入待命；目标跟踪；返回舱着陆；搜救抵达；安全处置；开舱与转移</x:v>
      </x:c>
      <x:c r="P94" s="36" t="str">
        <x:v>真实荒漠／草原地表、工程车辆、医疗与安全装备</x:v>
      </x:c>
      <x:c r="Q94" s="36" t="str">
        <x:v>黎明至清晨的自然光连续；风沙、尘土和远距能见度真实。</x:v>
      </x:c>
      <x:c r="R94" s="36" t="str">
        <x:v>MASTER、航拍、手持长焦、舱门医疗视图</x:v>
      </x:c>
      <x:c r="S94" s="36" t="str">
        <x:v>第15—16场</x:v>
      </x:c>
      <x:c r="T94" s="36" t="str">
        <x:v>V1.2剧本明确＋项目锁定＋公开工程资料边界</x:v>
      </x:c>
      <x:c r="U94" s="36" t="str">
        <x:v>已确认生产方向</x:v>
      </x:c>
      <x:c r="V94" s="36" t="str">
        <x:v>阶段2A重入后按生产包执行</x:v>
      </x:c>
      <x:c r="W94" s="50" t="n">
        <x:f>IF(OR(D94="场景母图",D94="场景多视角"),0,1)</x:f>
        <x:v>1</x:v>
      </x:c>
      <x:c r="X94" s="50" t="n">
        <x:f>IF(LEFT(U94,2)="历史",0,1)</x:f>
        <x:v>1</x:v>
      </x:c>
    </x:row>
    <x:row r="95" ht="44" customHeight="1">
      <x:c r="A95" s="54" t="str">
        <x:v>场景资产</x:v>
      </x:c>
      <x:c r="B95" s="54" t="n">
        <x:v>66</x:v>
      </x:c>
      <x:c r="C95" s="54" t="n">
        <x:v>2</x:v>
      </x:c>
      <x:c r="D95" s="54" t="str">
        <x:v>场景母图</x:v>
      </x:c>
      <x:c r="E95" s="46" t="str">
        <x:v>↳ 母图｜东风着陆场与搜救现场</x:v>
      </x:c>
      <x:c r="F95" s="46" t="str">
        <x:v>BY-SCN-P0-008-预定着陆区与搜救现场-V-MASTER</x:v>
      </x:c>
      <x:c r="G95" s="46" t="str">
        <x:v>BY-SCN-P0-008-预定着陆区与搜救现场</x:v>
      </x:c>
      <x:c r="H95" s="54" t="str">
        <x:v>MASTER</x:v>
      </x:c>
      <x:c r="I95" s="54" t="str">
        <x:v>SCN-VIEW</x:v>
      </x:c>
      <x:c r="J95" s="54" t="str">
        <x:v>P0</x:v>
      </x:c>
      <x:c r="K95" s="46" t="str">
        <x:v>阶段1_场景视图需求表_V1.3.1</x:v>
      </x:c>
      <x:c r="L95" s="46" t="str">
        <x:v>第13—15场</x:v>
      </x:c>
      <x:c r="M95" s="46" t="str">
        <x:v>该场景的统一母图，锁定空间、尺度、材料、光向和主构图。</x:v>
      </x:c>
      <x:c r="N95" s="46" t="str">
        <x:v>后续全部视图均以本母图为唯一空间依据。</x:v>
      </x:c>
      <x:c r="O95" s="46" t="str">
        <x:v>MASTER</x:v>
      </x:c>
      <x:c r="P95" s="46" t="str">
        <x:v>真实荒漠／草原地表、工程车辆、医疗与安全装备</x:v>
      </x:c>
      <x:c r="Q95" s="46" t="str">
        <x:v>黎明至清晨的自然光连续；风沙、尘土和远距能见度真实。</x:v>
      </x:c>
      <x:c r="R95" s="46" t="str">
        <x:v>先确认母图，再进入多视角和状态图生产。</x:v>
      </x:c>
      <x:c r="S95" s="46" t="str">
        <x:v>第15—16场</x:v>
      </x:c>
      <x:c r="T95" s="46" t="str">
        <x:v>V1.3.1场景视图锁定</x:v>
      </x:c>
      <x:c r="U95" s="46" t="str">
        <x:v>V1.3.1重校已确认</x:v>
      </x:c>
      <x:c r="V95" s="46" t="str">
        <x:v>阶段2B先生成并确认本母图。</x:v>
      </x:c>
      <x:c r="W95" s="54" t="n">
        <x:f>IF(OR(D95="场景母图",D95="场景多视角"),0,1)</x:f>
        <x:v>0</x:v>
      </x:c>
      <x:c r="X95" s="54" t="n">
        <x:f>IF(LEFT(U95,2)="历史",0,1)</x:f>
        <x:v>1</x:v>
      </x:c>
    </x:row>
    <x:row r="96" ht="36" customHeight="1">
      <x:c r="A96" s="55" t="str">
        <x:v>场景资产</x:v>
      </x:c>
      <x:c r="B96" s="55" t="n">
        <x:v>67</x:v>
      </x:c>
      <x:c r="C96" s="55" t="n">
        <x:v>3</x:v>
      </x:c>
      <x:c r="D96" s="55" t="str">
        <x:v>场景多视角</x:v>
      </x:c>
      <x:c r="E96" s="47" t="str">
        <x:v>  ↳ 视图｜航拍总览</x:v>
      </x:c>
      <x:c r="F96" s="47" t="str">
        <x:v>BY-SCN-P0-008-预定着陆区与搜救现场-V-AERIAL</x:v>
      </x:c>
      <x:c r="G96" s="47" t="str">
        <x:v>BY-SCN-P0-008-预定着陆区与搜救现场-V-MASTER</x:v>
      </x:c>
      <x:c r="H96" s="55" t="str">
        <x:v>AERIAL</x:v>
      </x:c>
      <x:c r="I96" s="55" t="str">
        <x:v>SCN-VIEW</x:v>
      </x:c>
      <x:c r="J96" s="55" t="str">
        <x:v>P0</x:v>
      </x:c>
      <x:c r="K96" s="47" t="str">
        <x:v>阶段1_场景视图需求表_V1.3.1</x:v>
      </x:c>
      <x:c r="L96" s="47" t="str">
        <x:v>第13—15场</x:v>
      </x:c>
      <x:c r="M96" s="47" t="str">
        <x:v>相对母图的航拍总览，用于镜头连续和空间核验。</x:v>
      </x:c>
      <x:c r="N96" s="47" t="str">
        <x:v>继承BY-SCN-P0-008-预定着陆区与搜救现场-V-MASTER，不重新发明舱室、设备、地貌或光向。</x:v>
      </x:c>
      <x:c r="O96" s="47" t="str">
        <x:v>AERIAL</x:v>
      </x:c>
      <x:c r="P96" s="47" t="str">
        <x:v>真实荒漠／草原地表、工程车辆、医疗与安全装备</x:v>
      </x:c>
      <x:c r="Q96" s="47" t="str">
        <x:v>黎明至清晨的自然光连续；风沙、尘土和远距能见度真实。</x:v>
      </x:c>
      <x:c r="R96" s="47" t="str">
        <x:v>母图确认后生成；与母图做几何、材料、光影和设备位置一致性检查。</x:v>
      </x:c>
      <x:c r="S96" s="47" t="str">
        <x:v>第15—16场</x:v>
      </x:c>
      <x:c r="T96" s="47" t="str">
        <x:v>V1.3.1场景视图锁定</x:v>
      </x:c>
      <x:c r="U96" s="47" t="str">
        <x:v>V1.3.1重校已确认</x:v>
      </x:c>
      <x:c r="V96" s="47" t="str">
        <x:v>阶段2B在母图确认后生成本视图。</x:v>
      </x:c>
      <x:c r="W96" s="55" t="n">
        <x:f>IF(OR(D96="场景母图",D96="场景多视角"),0,1)</x:f>
        <x:v>0</x:v>
      </x:c>
      <x:c r="X96" s="55" t="n">
        <x:f>IF(LEFT(U96,2)="历史",0,1)</x:f>
        <x:v>1</x:v>
      </x:c>
    </x:row>
    <x:row r="97" ht="36" customHeight="1">
      <x:c r="A97" s="55" t="str">
        <x:v>场景资产</x:v>
      </x:c>
      <x:c r="B97" s="55" t="n">
        <x:v>68</x:v>
      </x:c>
      <x:c r="C97" s="55" t="n">
        <x:v>3</x:v>
      </x:c>
      <x:c r="D97" s="55" t="str">
        <x:v>场景多视角</x:v>
      </x:c>
      <x:c r="E97" s="47" t="str">
        <x:v>  ↳ 视图｜长焦跟踪</x:v>
      </x:c>
      <x:c r="F97" s="47" t="str">
        <x:v>BY-SCN-P0-008-预定着陆区与搜救现场-V-LONG-LENS</x:v>
      </x:c>
      <x:c r="G97" s="47" t="str">
        <x:v>BY-SCN-P0-008-预定着陆区与搜救现场-V-MASTER</x:v>
      </x:c>
      <x:c r="H97" s="55" t="str">
        <x:v>LONG-LENS</x:v>
      </x:c>
      <x:c r="I97" s="55" t="str">
        <x:v>SCN-VIEW</x:v>
      </x:c>
      <x:c r="J97" s="55" t="str">
        <x:v>P0</x:v>
      </x:c>
      <x:c r="K97" s="47" t="str">
        <x:v>阶段1_场景视图需求表_V1.3.1</x:v>
      </x:c>
      <x:c r="L97" s="47" t="str">
        <x:v>第13—15场</x:v>
      </x:c>
      <x:c r="M97" s="47" t="str">
        <x:v>相对母图的长焦跟踪，用于镜头连续和空间核验。</x:v>
      </x:c>
      <x:c r="N97" s="47" t="str">
        <x:v>继承BY-SCN-P0-008-预定着陆区与搜救现场-V-MASTER，不重新发明舱室、设备、地貌或光向。</x:v>
      </x:c>
      <x:c r="O97" s="47" t="str">
        <x:v>LONG-LENS</x:v>
      </x:c>
      <x:c r="P97" s="47" t="str">
        <x:v>真实荒漠／草原地表、工程车辆、医疗与安全装备</x:v>
      </x:c>
      <x:c r="Q97" s="47" t="str">
        <x:v>黎明至清晨的自然光连续；风沙、尘土和远距能见度真实。</x:v>
      </x:c>
      <x:c r="R97" s="47" t="str">
        <x:v>母图确认后生成；与母图做几何、材料、光影和设备位置一致性检查。</x:v>
      </x:c>
      <x:c r="S97" s="47" t="str">
        <x:v>第15—16场</x:v>
      </x:c>
      <x:c r="T97" s="47" t="str">
        <x:v>V1.3.1场景视图锁定</x:v>
      </x:c>
      <x:c r="U97" s="47" t="str">
        <x:v>V1.3.1重校已确认</x:v>
      </x:c>
      <x:c r="V97" s="47" t="str">
        <x:v>阶段2B在母图确认后生成本视图。</x:v>
      </x:c>
      <x:c r="W97" s="55" t="n">
        <x:f>IF(OR(D97="场景母图",D97="场景多视角"),0,1)</x:f>
        <x:v>0</x:v>
      </x:c>
      <x:c r="X97" s="55" t="n">
        <x:f>IF(LEFT(U97,2)="历史",0,1)</x:f>
        <x:v>1</x:v>
      </x:c>
    </x:row>
    <x:row r="98" ht="36" customHeight="1">
      <x:c r="A98" s="55" t="str">
        <x:v>场景资产</x:v>
      </x:c>
      <x:c r="B98" s="55" t="n">
        <x:v>69</x:v>
      </x:c>
      <x:c r="C98" s="55" t="n">
        <x:v>3</x:v>
      </x:c>
      <x:c r="D98" s="55" t="str">
        <x:v>场景多视角</x:v>
      </x:c>
      <x:c r="E98" s="47" t="str">
        <x:v>  ↳ 视图｜开舱医监关系</x:v>
      </x:c>
      <x:c r="F98" s="47" t="str">
        <x:v>BY-SCN-P0-008-预定着陆区与搜救现场-V-HATCH-MEDICAL</x:v>
      </x:c>
      <x:c r="G98" s="47" t="str">
        <x:v>BY-SCN-P0-008-预定着陆区与搜救现场-V-MASTER</x:v>
      </x:c>
      <x:c r="H98" s="55" t="str">
        <x:v>HATCH-MEDICAL</x:v>
      </x:c>
      <x:c r="I98" s="55" t="str">
        <x:v>SCN-VIEW</x:v>
      </x:c>
      <x:c r="J98" s="55" t="str">
        <x:v>P0</x:v>
      </x:c>
      <x:c r="K98" s="47" t="str">
        <x:v>阶段1_场景视图需求表_V1.3.1</x:v>
      </x:c>
      <x:c r="L98" s="47" t="str">
        <x:v>第13—15场</x:v>
      </x:c>
      <x:c r="M98" s="47" t="str">
        <x:v>相对母图的开舱医监关系，用于镜头连续和空间核验。</x:v>
      </x:c>
      <x:c r="N98" s="47" t="str">
        <x:v>继承BY-SCN-P0-008-预定着陆区与搜救现场-V-MASTER，不重新发明舱室、设备、地貌或光向。</x:v>
      </x:c>
      <x:c r="O98" s="47" t="str">
        <x:v>HATCH-MEDICAL</x:v>
      </x:c>
      <x:c r="P98" s="47" t="str">
        <x:v>真实荒漠／草原地表、工程车辆、医疗与安全装备</x:v>
      </x:c>
      <x:c r="Q98" s="47" t="str">
        <x:v>黎明至清晨的自然光连续；风沙、尘土和远距能见度真实。</x:v>
      </x:c>
      <x:c r="R98" s="47" t="str">
        <x:v>母图确认后生成；与母图做几何、材料、光影和设备位置一致性检查。</x:v>
      </x:c>
      <x:c r="S98" s="47" t="str">
        <x:v>第15—16场</x:v>
      </x:c>
      <x:c r="T98" s="47" t="str">
        <x:v>V1.3.1场景视图锁定</x:v>
      </x:c>
      <x:c r="U98" s="47" t="str">
        <x:v>V1.3.1重校已确认</x:v>
      </x:c>
      <x:c r="V98" s="47" t="str">
        <x:v>阶段2B在母图确认后生成本视图。</x:v>
      </x:c>
      <x:c r="W98" s="55" t="n">
        <x:f>IF(OR(D98="场景母图",D98="场景多视角"),0,1)</x:f>
        <x:v>0</x:v>
      </x:c>
      <x:c r="X98" s="55" t="n">
        <x:f>IF(LEFT(U98,2)="历史",0,1)</x:f>
        <x:v>1</x:v>
      </x:c>
    </x:row>
    <x:row r="99" ht="44" customHeight="1">
      <x:c r="A99" s="50" t="str">
        <x:v>场景资产</x:v>
      </x:c>
      <x:c r="B99" s="50" t="n">
        <x:v>70</x:v>
      </x:c>
      <x:c r="C99" s="50" t="n">
        <x:v>1</x:v>
      </x:c>
      <x:c r="D99" s="50" t="str">
        <x:v>场景资产组</x:v>
      </x:c>
      <x:c r="E99" s="36" t="str">
        <x:v>东风医监医保与开舱作业区</x:v>
      </x:c>
      <x:c r="F99" s="36" t="str">
        <x:v>BY-SCN-P1-012-东风医监开舱作业区</x:v>
      </x:c>
      <x:c r="G99" s="36" t="str"/>
      <x:c r="H99" s="50" t="str"/>
      <x:c r="I99" s="50" t="str">
        <x:v>SCN</x:v>
      </x:c>
      <x:c r="J99" s="50" t="str">
        <x:v>P1</x:v>
      </x:c>
      <x:c r="K99" s="36" t="str">
        <x:v>镜112—117</x:v>
      </x:c>
      <x:c r="L99" s="36" t="str">
        <x:v>第15场</x:v>
      </x:c>
      <x:c r="M99" s="36" t="str">
        <x:v>返回舱外警戒、开舱、人员评估、支撑转移与样品交接的连续工作区。</x:v>
      </x:c>
      <x:c r="N99" s="36" t="str">
        <x:v>保持返回舱、医监点、座椅／担架、样品接收和车辆通道的空间关系。</x:v>
      </x:c>
      <x:c r="O99" s="36" t="str">
        <x:v>安全处置；开舱；逐人评估；座椅／担架转移；样品交接</x:v>
      </x:c>
      <x:c r="P99" s="36" t="str">
        <x:v>荒漠地表、专业救援器材、低反射工作服</x:v>
      </x:c>
      <x:c r="Q99" s="36" t="str">
        <x:v>黎明至清晨自然光</x:v>
      </x:c>
      <x:c r="R99" s="36" t="str">
        <x:v>建立俯视总图、开舱侧视、医疗转移和样品交接四类视图</x:v>
      </x:c>
      <x:c r="S99" s="36" t="str">
        <x:v>东风回收段</x:v>
      </x:c>
      <x:c r="T99" s="36" t="str">
        <x:v>V1.3.1正式分镜稿＋公开资料边界内艺术推演</x:v>
      </x:c>
      <x:c r="U99" s="36" t="str">
        <x:v>阶段1已确认生产方向</x:v>
      </x:c>
      <x:c r="V99" s="36" t="str">
        <x:v>阶段2B建立母资产并按镜头状态派生</x:v>
      </x:c>
      <x:c r="W99" s="50" t="n">
        <x:f>IF(OR(D99="场景母图",D99="场景多视角"),0,1)</x:f>
        <x:v>1</x:v>
      </x:c>
      <x:c r="X99" s="50" t="n">
        <x:f>IF(LEFT(U99,2)="历史",0,1)</x:f>
        <x:v>1</x:v>
      </x:c>
    </x:row>
    <x:row r="100" ht="44" customHeight="1">
      <x:c r="A100" s="54" t="str">
        <x:v>场景资产</x:v>
      </x:c>
      <x:c r="B100" s="54" t="n">
        <x:v>71</x:v>
      </x:c>
      <x:c r="C100" s="54" t="n">
        <x:v>2</x:v>
      </x:c>
      <x:c r="D100" s="54" t="str">
        <x:v>场景母图</x:v>
      </x:c>
      <x:c r="E100" s="46" t="str">
        <x:v>↳ 母图｜东风医监医保与开舱作业区</x:v>
      </x:c>
      <x:c r="F100" s="46" t="str">
        <x:v>BY-SCN-P1-012-SV-MASTER</x:v>
      </x:c>
      <x:c r="G100" s="46" t="str">
        <x:v>BY-SCN-P1-012-东风医监开舱作业区</x:v>
      </x:c>
      <x:c r="H100" s="54" t="str">
        <x:v>MASTER</x:v>
      </x:c>
      <x:c r="I100" s="54" t="str">
        <x:v>SCN-VIEW</x:v>
      </x:c>
      <x:c r="J100" s="54" t="str">
        <x:v>P1</x:v>
      </x:c>
      <x:c r="K100" s="46" t="str">
        <x:v>阶段1_场景视图需求表_V1.3.1</x:v>
      </x:c>
      <x:c r="L100" s="46" t="str">
        <x:v>第15场</x:v>
      </x:c>
      <x:c r="M100" s="46" t="str">
        <x:v>该场景的统一母图，锁定空间、尺度、材料、光向和主构图。</x:v>
      </x:c>
      <x:c r="N100" s="46" t="str">
        <x:v>后续全部视图均以本母图为唯一空间依据。</x:v>
      </x:c>
      <x:c r="O100" s="46" t="str">
        <x:v>MASTER</x:v>
      </x:c>
      <x:c r="P100" s="46" t="str">
        <x:v>荒漠地表、专业救援器材、低反射工作服</x:v>
      </x:c>
      <x:c r="Q100" s="46" t="str">
        <x:v>黎明至清晨自然光</x:v>
      </x:c>
      <x:c r="R100" s="46" t="str">
        <x:v>先确认母图，再进入多视角和状态图生产。</x:v>
      </x:c>
      <x:c r="S100" s="46" t="str">
        <x:v>东风回收段</x:v>
      </x:c>
      <x:c r="T100" s="46" t="str">
        <x:v>V1.3.1场景视图锁定</x:v>
      </x:c>
      <x:c r="U100" s="46" t="str">
        <x:v>V1.3.1层级化登记完成｜阶段2B待生成</x:v>
      </x:c>
      <x:c r="V100" s="46" t="str">
        <x:v>阶段2B先生成并确认本母图。</x:v>
      </x:c>
      <x:c r="W100" s="54" t="n">
        <x:f>IF(OR(D100="场景母图",D100="场景多视角"),0,1)</x:f>
        <x:v>0</x:v>
      </x:c>
      <x:c r="X100" s="54" t="n">
        <x:f>IF(LEFT(U100,2)="历史",0,1)</x:f>
        <x:v>1</x:v>
      </x:c>
    </x:row>
    <x:row r="101" ht="36" customHeight="1">
      <x:c r="A101" s="55" t="str">
        <x:v>场景资产</x:v>
      </x:c>
      <x:c r="B101" s="55" t="n">
        <x:v>72</x:v>
      </x:c>
      <x:c r="C101" s="55" t="n">
        <x:v>3</x:v>
      </x:c>
      <x:c r="D101" s="55" t="str">
        <x:v>场景多视角</x:v>
      </x:c>
      <x:c r="E101" s="47" t="str">
        <x:v>  ↳ 视图｜开舱口</x:v>
      </x:c>
      <x:c r="F101" s="47" t="str">
        <x:v>BY-SCN-P1-012-SV-HATCH</x:v>
      </x:c>
      <x:c r="G101" s="47" t="str">
        <x:v>BY-SCN-P1-012-SV-MASTER</x:v>
      </x:c>
      <x:c r="H101" s="55" t="str">
        <x:v>HATCH</x:v>
      </x:c>
      <x:c r="I101" s="55" t="str">
        <x:v>SCN-VIEW</x:v>
      </x:c>
      <x:c r="J101" s="55" t="str">
        <x:v>P1</x:v>
      </x:c>
      <x:c r="K101" s="47" t="str">
        <x:v>阶段1_场景视图需求表_V1.3.1</x:v>
      </x:c>
      <x:c r="L101" s="47" t="str">
        <x:v>第15场</x:v>
      </x:c>
      <x:c r="M101" s="47" t="str">
        <x:v>相对母图的开舱口，用于镜头连续和空间核验。</x:v>
      </x:c>
      <x:c r="N101" s="47" t="str">
        <x:v>继承BY-SCN-P1-012-SV-MASTER，不重新发明舱室、设备、地貌或光向。</x:v>
      </x:c>
      <x:c r="O101" s="47" t="str">
        <x:v>HATCH</x:v>
      </x:c>
      <x:c r="P101" s="47" t="str">
        <x:v>荒漠地表、专业救援器材、低反射工作服</x:v>
      </x:c>
      <x:c r="Q101" s="47" t="str">
        <x:v>黎明至清晨自然光</x:v>
      </x:c>
      <x:c r="R101" s="47" t="str">
        <x:v>母图确认后生成；与母图做几何、材料、光影和设备位置一致性检查。</x:v>
      </x:c>
      <x:c r="S101" s="47" t="str">
        <x:v>东风回收段</x:v>
      </x:c>
      <x:c r="T101" s="47" t="str">
        <x:v>V1.3.1场景视图锁定</x:v>
      </x:c>
      <x:c r="U101" s="47" t="str">
        <x:v>V1.3.1层级化登记完成｜阶段2B待生成</x:v>
      </x:c>
      <x:c r="V101" s="47" t="str">
        <x:v>阶段2B在母图确认后生成本视图。</x:v>
      </x:c>
      <x:c r="W101" s="55" t="n">
        <x:f>IF(OR(D101="场景母图",D101="场景多视角"),0,1)</x:f>
        <x:v>0</x:v>
      </x:c>
      <x:c r="X101" s="55" t="n">
        <x:f>IF(LEFT(U101,2)="历史",0,1)</x:f>
        <x:v>1</x:v>
      </x:c>
    </x:row>
    <x:row r="102" ht="36" customHeight="1">
      <x:c r="A102" s="55" t="str">
        <x:v>场景资产</x:v>
      </x:c>
      <x:c r="B102" s="55" t="n">
        <x:v>73</x:v>
      </x:c>
      <x:c r="C102" s="55" t="n">
        <x:v>3</x:v>
      </x:c>
      <x:c r="D102" s="55" t="str">
        <x:v>场景多视角</x:v>
      </x:c>
      <x:c r="E102" s="47" t="str">
        <x:v>  ↳ 视图｜医监作业区</x:v>
      </x:c>
      <x:c r="F102" s="47" t="str">
        <x:v>BY-SCN-P1-012-SV-MEDICAL</x:v>
      </x:c>
      <x:c r="G102" s="47" t="str">
        <x:v>BY-SCN-P1-012-SV-MASTER</x:v>
      </x:c>
      <x:c r="H102" s="55" t="str">
        <x:v>MEDICAL</x:v>
      </x:c>
      <x:c r="I102" s="55" t="str">
        <x:v>SCN-VIEW</x:v>
      </x:c>
      <x:c r="J102" s="55" t="str">
        <x:v>P1</x:v>
      </x:c>
      <x:c r="K102" s="47" t="str">
        <x:v>阶段1_场景视图需求表_V1.3.1</x:v>
      </x:c>
      <x:c r="L102" s="47" t="str">
        <x:v>第15场</x:v>
      </x:c>
      <x:c r="M102" s="47" t="str">
        <x:v>相对母图的医监作业区，用于镜头连续和空间核验。</x:v>
      </x:c>
      <x:c r="N102" s="47" t="str">
        <x:v>继承BY-SCN-P1-012-SV-MASTER，不重新发明舱室、设备、地貌或光向。</x:v>
      </x:c>
      <x:c r="O102" s="47" t="str">
        <x:v>MEDICAL</x:v>
      </x:c>
      <x:c r="P102" s="47" t="str">
        <x:v>荒漠地表、专业救援器材、低反射工作服</x:v>
      </x:c>
      <x:c r="Q102" s="47" t="str">
        <x:v>黎明至清晨自然光</x:v>
      </x:c>
      <x:c r="R102" s="47" t="str">
        <x:v>母图确认后生成；与母图做几何、材料、光影和设备位置一致性检查。</x:v>
      </x:c>
      <x:c r="S102" s="47" t="str">
        <x:v>东风回收段</x:v>
      </x:c>
      <x:c r="T102" s="47" t="str">
        <x:v>V1.3.1场景视图锁定</x:v>
      </x:c>
      <x:c r="U102" s="47" t="str">
        <x:v>V1.3.1层级化登记完成｜阶段2B待生成</x:v>
      </x:c>
      <x:c r="V102" s="47" t="str">
        <x:v>阶段2B在母图确认后生成本视图。</x:v>
      </x:c>
      <x:c r="W102" s="55" t="n">
        <x:f>IF(OR(D102="场景母图",D102="场景多视角"),0,1)</x:f>
        <x:v>0</x:v>
      </x:c>
      <x:c r="X102" s="55" t="n">
        <x:f>IF(LEFT(U102,2)="历史",0,1)</x:f>
        <x:v>1</x:v>
      </x:c>
    </x:row>
    <x:row r="103" ht="36" customHeight="1">
      <x:c r="A103" s="55" t="str">
        <x:v>场景资产</x:v>
      </x:c>
      <x:c r="B103" s="55" t="n">
        <x:v>74</x:v>
      </x:c>
      <x:c r="C103" s="55" t="n">
        <x:v>3</x:v>
      </x:c>
      <x:c r="D103" s="55" t="str">
        <x:v>场景多视角</x:v>
      </x:c>
      <x:c r="E103" s="47" t="str">
        <x:v>  ↳ 视图｜人员／物资转移</x:v>
      </x:c>
      <x:c r="F103" s="47" t="str">
        <x:v>BY-SCN-P1-012-SV-TRANSFER</x:v>
      </x:c>
      <x:c r="G103" s="47" t="str">
        <x:v>BY-SCN-P1-012-SV-MASTER</x:v>
      </x:c>
      <x:c r="H103" s="55" t="str">
        <x:v>TRANSFER</x:v>
      </x:c>
      <x:c r="I103" s="55" t="str">
        <x:v>SCN-VIEW</x:v>
      </x:c>
      <x:c r="J103" s="55" t="str">
        <x:v>P1</x:v>
      </x:c>
      <x:c r="K103" s="47" t="str">
        <x:v>阶段1_场景视图需求表_V1.3.1</x:v>
      </x:c>
      <x:c r="L103" s="47" t="str">
        <x:v>第15场</x:v>
      </x:c>
      <x:c r="M103" s="47" t="str">
        <x:v>相对母图的人员／物资转移，用于镜头连续和空间核验。</x:v>
      </x:c>
      <x:c r="N103" s="47" t="str">
        <x:v>继承BY-SCN-P1-012-SV-MASTER，不重新发明舱室、设备、地貌或光向。</x:v>
      </x:c>
      <x:c r="O103" s="47" t="str">
        <x:v>TRANSFER</x:v>
      </x:c>
      <x:c r="P103" s="47" t="str">
        <x:v>荒漠地表、专业救援器材、低反射工作服</x:v>
      </x:c>
      <x:c r="Q103" s="47" t="str">
        <x:v>黎明至清晨自然光</x:v>
      </x:c>
      <x:c r="R103" s="47" t="str">
        <x:v>母图确认后生成；与母图做几何、材料、光影和设备位置一致性检查。</x:v>
      </x:c>
      <x:c r="S103" s="47" t="str">
        <x:v>东风回收段</x:v>
      </x:c>
      <x:c r="T103" s="47" t="str">
        <x:v>V1.3.1场景视图锁定</x:v>
      </x:c>
      <x:c r="U103" s="47" t="str">
        <x:v>V1.3.1层级化登记完成｜阶段2B待生成</x:v>
      </x:c>
      <x:c r="V103" s="47" t="str">
        <x:v>阶段2B在母图确认后生成本视图。</x:v>
      </x:c>
      <x:c r="W103" s="55" t="n">
        <x:f>IF(OR(D103="场景母图",D103="场景多视角"),0,1)</x:f>
        <x:v>0</x:v>
      </x:c>
      <x:c r="X103" s="55" t="n">
        <x:f>IF(LEFT(U103,2)="历史",0,1)</x:f>
        <x:v>1</x:v>
      </x:c>
    </x:row>
    <x:row r="104" ht="36" customHeight="1">
      <x:c r="A104" s="55" t="str">
        <x:v>场景资产</x:v>
      </x:c>
      <x:c r="B104" s="55" t="n">
        <x:v>75</x:v>
      </x:c>
      <x:c r="C104" s="55" t="n">
        <x:v>3</x:v>
      </x:c>
      <x:c r="D104" s="55" t="str">
        <x:v>场景多视角</x:v>
      </x:c>
      <x:c r="E104" s="47" t="str">
        <x:v>  ↳ 视图｜样品交接</x:v>
      </x:c>
      <x:c r="F104" s="47" t="str">
        <x:v>BY-SCN-P1-012-SV-SAMPLE-HANDOFF</x:v>
      </x:c>
      <x:c r="G104" s="47" t="str">
        <x:v>BY-SCN-P1-012-SV-MASTER</x:v>
      </x:c>
      <x:c r="H104" s="55" t="str">
        <x:v>SAMPLE-HANDOFF</x:v>
      </x:c>
      <x:c r="I104" s="55" t="str">
        <x:v>SCN-VIEW</x:v>
      </x:c>
      <x:c r="J104" s="55" t="str">
        <x:v>P1</x:v>
      </x:c>
      <x:c r="K104" s="47" t="str">
        <x:v>阶段1_场景视图需求表_V1.3.1</x:v>
      </x:c>
      <x:c r="L104" s="47" t="str">
        <x:v>第15场</x:v>
      </x:c>
      <x:c r="M104" s="47" t="str">
        <x:v>相对母图的样品交接，用于镜头连续和空间核验。</x:v>
      </x:c>
      <x:c r="N104" s="47" t="str">
        <x:v>继承BY-SCN-P1-012-SV-MASTER，不重新发明舱室、设备、地貌或光向。</x:v>
      </x:c>
      <x:c r="O104" s="47" t="str">
        <x:v>SAMPLE-HANDOFF</x:v>
      </x:c>
      <x:c r="P104" s="47" t="str">
        <x:v>荒漠地表、专业救援器材、低反射工作服</x:v>
      </x:c>
      <x:c r="Q104" s="47" t="str">
        <x:v>黎明至清晨自然光</x:v>
      </x:c>
      <x:c r="R104" s="47" t="str">
        <x:v>母图确认后生成；与母图做几何、材料、光影和设备位置一致性检查。</x:v>
      </x:c>
      <x:c r="S104" s="47" t="str">
        <x:v>东风回收段</x:v>
      </x:c>
      <x:c r="T104" s="47" t="str">
        <x:v>V1.3.1场景视图锁定</x:v>
      </x:c>
      <x:c r="U104" s="47" t="str">
        <x:v>V1.3.1层级化登记完成｜阶段2B待生成</x:v>
      </x:c>
      <x:c r="V104" s="47" t="str">
        <x:v>阶段2B在母图确认后生成本视图。</x:v>
      </x:c>
      <x:c r="W104" s="55" t="n">
        <x:f>IF(OR(D104="场景母图",D104="场景多视角"),0,1)</x:f>
        <x:v>0</x:v>
      </x:c>
      <x:c r="X104" s="55" t="n">
        <x:f>IF(LEFT(U104,2)="历史",0,1)</x:f>
        <x:v>1</x:v>
      </x:c>
    </x:row>
    <x:row r="105" ht="44" customHeight="1">
      <x:c r="A105" s="52" t="str">
        <x:v>场景资产</x:v>
      </x:c>
      <x:c r="B105" s="52" t="n">
        <x:v>76</x:v>
      </x:c>
      <x:c r="C105" s="52" t="n">
        <x:v>1</x:v>
      </x:c>
      <x:c r="D105" s="52" t="str">
        <x:v>场景资产组</x:v>
      </x:c>
      <x:c r="E105" s="41" t="str">
        <x:v>未来新闻演播室</x:v>
      </x:c>
      <x:c r="F105" s="41" t="str">
        <x:v>BY-SCN-P1-001-未来新闻演播室</x:v>
      </x:c>
      <x:c r="G105" s="41" t="str"/>
      <x:c r="H105" s="52" t="str"/>
      <x:c r="I105" s="52" t="str">
        <x:v>SCN</x:v>
      </x:c>
      <x:c r="J105" s="52" t="str">
        <x:v>P1</x:v>
      </x:c>
      <x:c r="K105" s="41" t="str">
        <x:v>01-02场</x:v>
      </x:c>
      <x:c r="L105" s="41" t="str">
        <x:v>历史V1.1</x:v>
      </x:c>
      <x:c r="M105" s="41" t="str">
        <x:v>主播台、专家双人位和后方大屏</x:v>
      </x:c>
      <x:c r="N105" s="41" t="str">
        <x:v>克制未来感，文字后期添加</x:v>
      </x:c>
      <x:c r="O105" s="41" t="str">
        <x:v>主播;专家访谈</x:v>
      </x:c>
      <x:c r="P105" s="41" t="str">
        <x:v>建筑内装、屏幕、桌面</x:v>
      </x:c>
      <x:c r="Q105" s="41" t="str">
        <x:v>中性直播光</x:v>
      </x:c>
      <x:c r="R105" s="41" t="str">
        <x:v>母图与SV1指定视图</x:v>
      </x:c>
      <x:c r="S105" s="41" t="str">
        <x:v>01-02</x:v>
      </x:c>
      <x:c r="T105" s="41" t="str">
        <x:v>剧本明确;创作者建议</x:v>
      </x:c>
      <x:c r="U105" s="41" t="str">
        <x:v>历史停用（V1.2不调用）</x:v>
      </x:c>
      <x:c r="V105" s="41" t="str">
        <x:v>V1.2不使用演播室</x:v>
      </x:c>
      <x:c r="W105" s="52" t="n">
        <x:f>IF(OR(D105="场景母图",D105="场景多视角"),0,1)</x:f>
        <x:v>1</x:v>
      </x:c>
      <x:c r="X105" s="52" t="n">
        <x:f>IF(LEFT(U105,2)="历史",0,1)</x:f>
        <x:v>0</x:v>
      </x:c>
    </x:row>
    <x:row r="106" ht="44" customHeight="1">
      <x:c r="A106" s="52" t="str">
        <x:v>场景资产</x:v>
      </x:c>
      <x:c r="B106" s="52" t="n">
        <x:v>77</x:v>
      </x:c>
      <x:c r="C106" s="52" t="n">
        <x:v>1</x:v>
      </x:c>
      <x:c r="D106" s="52" t="str">
        <x:v>场景资产组</x:v>
      </x:c>
      <x:c r="E106" s="41" t="str">
        <x:v>文昌发射场夜景</x:v>
      </x:c>
      <x:c r="F106" s="41" t="str">
        <x:v>BY-SCN-P1-002-文昌发射场夜景</x:v>
      </x:c>
      <x:c r="G106" s="41" t="str"/>
      <x:c r="H106" s="52" t="str"/>
      <x:c r="I106" s="52" t="str">
        <x:v>SCN</x:v>
      </x:c>
      <x:c r="J106" s="52" t="str">
        <x:v>P1</x:v>
      </x:c>
      <x:c r="K106" s="41" t="str">
        <x:v>01场两次发射</x:v>
      </x:c>
      <x:c r="L106" s="41" t="str">
        <x:v>历史V1.1</x:v>
      </x:c>
      <x:c r="M106" s="41" t="str">
        <x:v>发射塔、箭体、安全区和夜景设施</x:v>
      </x:c>
      <x:c r="N106" s="41" t="str">
        <x:v>两次发射共用空间母图</x:v>
      </x:c>
      <x:c r="O106" s="41" t="str">
        <x:v>首发;第二次发射</x:v>
      </x:c>
      <x:c r="P106" s="41" t="str">
        <x:v>金属塔架、混凝土地面、烟气</x:v>
      </x:c>
      <x:c r="Q106" s="41" t="str">
        <x:v>夜间照明与发动机火焰</x:v>
      </x:c>
      <x:c r="R106" s="41" t="str">
        <x:v>母图、PAD-WIDE、LOW</x:v>
      </x:c>
      <x:c r="S106" s="41" t="str">
        <x:v>01</x:v>
      </x:c>
      <x:c r="T106" s="41" t="str">
        <x:v>剧本明确;公开资料;创作者建议</x:v>
      </x:c>
      <x:c r="U106" s="41" t="str">
        <x:v>历史停用（V1.2不调用）</x:v>
      </x:c>
      <x:c r="V106" s="41" t="str">
        <x:v>V1.2从月轨相遇起片，不含发射</x:v>
      </x:c>
      <x:c r="W106" s="52" t="n">
        <x:f>IF(OR(D106="场景母图",D106="场景多视角"),0,1)</x:f>
        <x:v>1</x:v>
      </x:c>
      <x:c r="X106" s="52" t="n">
        <x:f>IF(LEFT(U106,2)="历史",0,1)</x:f>
        <x:v>0</x:v>
      </x:c>
    </x:row>
    <x:row r="107" ht="44" customHeight="1">
      <x:c r="A107" s="52" t="str">
        <x:v>场景资产</x:v>
      </x:c>
      <x:c r="B107" s="52" t="n">
        <x:v>78</x:v>
      </x:c>
      <x:c r="C107" s="52" t="n">
        <x:v>1</x:v>
      </x:c>
      <x:c r="D107" s="52" t="str">
        <x:v>场景资产组</x:v>
      </x:c>
      <x:c r="E107" s="41" t="str">
        <x:v>北京飞控中心大厅</x:v>
      </x:c>
      <x:c r="F107" s="41" t="str">
        <x:v>BY-SCN-P1-004-北京飞控中心大厅</x:v>
      </x:c>
      <x:c r="G107" s="41" t="str"/>
      <x:c r="H107" s="52" t="str"/>
      <x:c r="I107" s="52" t="str">
        <x:v>SCN</x:v>
      </x:c>
      <x:c r="J107" s="52" t="str">
        <x:v>P1</x:v>
      </x:c>
      <x:c r="K107" s="41" t="str">
        <x:v>03-05;07;11;13场</x:v>
      </x:c>
      <x:c r="L107" s="41" t="str">
        <x:v>历史V1.1</x:v>
      </x:c>
      <x:c r="M107" s="41" t="str">
        <x:v>核心飞控席、群像和屏幕墙</x:v>
      </x:c>
      <x:c r="N107" s="41" t="str">
        <x:v>屏幕参数后期添加，岗位层级清楚</x:v>
      </x:c>
      <x:c r="O107" s="41" t="str">
        <x:v>任务常态;触月确认;第一步;返程</x:v>
      </x:c>
      <x:c r="P107" s="41" t="str">
        <x:v>办公内装、控制台、屏幕</x:v>
      </x:c>
      <x:c r="Q107" s="41" t="str">
        <x:v>冷色办公光与屏幕反射</x:v>
      </x:c>
      <x:c r="R107" s="41" t="str">
        <x:v>母图与SV1指定视图</x:v>
      </x:c>
      <x:c r="S107" s="41" t="str">
        <x:v>多场</x:v>
      </x:c>
      <x:c r="T107" s="41" t="str">
        <x:v>剧本明确;创作者建议</x:v>
      </x:c>
      <x:c r="U107" s="41" t="str">
        <x:v>历史停用（V1.2不调用）</x:v>
      </x:c>
      <x:c r="V107" s="41" t="str">
        <x:v>由P0新资产BY-SCN-P0-006替代</x:v>
      </x:c>
      <x:c r="W107" s="52" t="n">
        <x:f>IF(OR(D107="场景母图",D107="场景多视角"),0,1)</x:f>
        <x:v>1</x:v>
      </x:c>
      <x:c r="X107" s="52" t="n">
        <x:f>IF(LEFT(U107,2)="历史",0,1)</x:f>
        <x:v>0</x:v>
      </x:c>
    </x:row>
    <x:row r="108" ht="44" customHeight="1">
      <x:c r="A108" s="52" t="str">
        <x:v>道具资产</x:v>
      </x:c>
      <x:c r="B108" s="52" t="n">
        <x:v>1</x:v>
      </x:c>
      <x:c r="C108" s="52" t="n">
        <x:v>1</x:v>
      </x:c>
      <x:c r="D108" s="52" t="str">
        <x:v>载具／航天器</x:v>
      </x:c>
      <x:c r="E108" s="41" t="str">
        <x:v>长征十号揽月发射构型</x:v>
      </x:c>
      <x:c r="F108" s="41" t="str">
        <x:v>BY-VEH-P1-001-长征十号揽月发射构型</x:v>
      </x:c>
      <x:c r="G108" s="41" t="str"/>
      <x:c r="H108" s="52" t="str"/>
      <x:c r="I108" s="52" t="str">
        <x:v>VEH</x:v>
      </x:c>
      <x:c r="J108" s="52" t="str">
        <x:v>P1</x:v>
      </x:c>
      <x:c r="K108" s="41" t="str">
        <x:v>01-02镜头</x:v>
      </x:c>
      <x:c r="L108" s="41" t="str">
        <x:v>历史V1.1</x:v>
      </x:c>
      <x:c r="M108" s="41" t="str">
        <x:v>首枚长征十号搭载揽月</x:v>
      </x:c>
      <x:c r="N108" s="41" t="str">
        <x:v>公开结构范围内补全</x:v>
      </x:c>
      <x:c r="O108" s="41" t="str">
        <x:v>发射前;点火;离架</x:v>
      </x:c>
      <x:c r="P108" s="41" t="str">
        <x:v>箭体、整流罩、发动机</x:v>
      </x:c>
      <x:c r="Q108" s="41" t="str">
        <x:v>文昌夜间发射光</x:v>
      </x:c>
      <x:c r="R108" s="41" t="str">
        <x:v>外部多角度与发射参考</x:v>
      </x:c>
      <x:c r="S108" s="41" t="str">
        <x:v>01</x:v>
      </x:c>
      <x:c r="T108" s="41" t="str">
        <x:v>剧本明确;公开资料</x:v>
      </x:c>
      <x:c r="U108" s="41" t="str">
        <x:v>历史停用（V1.2不调用）</x:v>
      </x:c>
      <x:c r="V108" s="41" t="str">
        <x:v>V1.2不含发射</x:v>
      </x:c>
      <x:c r="W108" s="52" t="n">
        <x:f>IF(OR(D108="场景母图",D108="场景多视角"),0,1)</x:f>
        <x:v>1</x:v>
      </x:c>
      <x:c r="X108" s="52" t="n">
        <x:f>IF(LEFT(U108,2)="历史",0,1)</x:f>
        <x:v>0</x:v>
      </x:c>
    </x:row>
    <x:row r="109" ht="44" customHeight="1">
      <x:c r="A109" s="52" t="str">
        <x:v>道具资产</x:v>
      </x:c>
      <x:c r="B109" s="52" t="n">
        <x:v>2</x:v>
      </x:c>
      <x:c r="C109" s="52" t="n">
        <x:v>1</x:v>
      </x:c>
      <x:c r="D109" s="52" t="str">
        <x:v>载具／航天器</x:v>
      </x:c>
      <x:c r="E109" s="41" t="str">
        <x:v>长征十号梦舟发射构型</x:v>
      </x:c>
      <x:c r="F109" s="41" t="str">
        <x:v>BY-VEH-P1-002-长征十号梦舟发射构型</x:v>
      </x:c>
      <x:c r="G109" s="41" t="str"/>
      <x:c r="H109" s="52" t="str"/>
      <x:c r="I109" s="52" t="str">
        <x:v>VEH</x:v>
      </x:c>
      <x:c r="J109" s="52" t="str">
        <x:v>P1</x:v>
      </x:c>
      <x:c r="K109" s="41" t="str">
        <x:v>01-03镜头</x:v>
      </x:c>
      <x:c r="L109" s="41" t="str">
        <x:v>历史V1.1</x:v>
      </x:c>
      <x:c r="M109" s="41" t="str">
        <x:v>第二枚长征十号搭载梦舟与三人</x:v>
      </x:c>
      <x:c r="N109" s="41" t="str">
        <x:v>与首发共用火箭体系，锁定载荷构型差异</x:v>
      </x:c>
      <x:c r="O109" s="41" t="str">
        <x:v>发射前;点火;离架</x:v>
      </x:c>
      <x:c r="P109" s="41" t="str">
        <x:v>箭体、整流罩、发动机</x:v>
      </x:c>
      <x:c r="Q109" s="41" t="str">
        <x:v>文昌夜间发射光</x:v>
      </x:c>
      <x:c r="R109" s="41" t="str">
        <x:v>外部多角度与发射参考</x:v>
      </x:c>
      <x:c r="S109" s="41" t="str">
        <x:v>01</x:v>
      </x:c>
      <x:c r="T109" s="41" t="str">
        <x:v>剧本明确;公开资料</x:v>
      </x:c>
      <x:c r="U109" s="41" t="str">
        <x:v>历史停用（V1.2不调用）</x:v>
      </x:c>
      <x:c r="V109" s="41" t="str">
        <x:v>V1.2不含发射</x:v>
      </x:c>
      <x:c r="W109" s="52" t="n">
        <x:f>IF(OR(D109="场景母图",D109="场景多视角"),0,1)</x:f>
        <x:v>1</x:v>
      </x:c>
      <x:c r="X109" s="52" t="n">
        <x:f>IF(LEFT(U109,2)="历史",0,1)</x:f>
        <x:v>0</x:v>
      </x:c>
    </x:row>
    <x:row r="110" ht="44" customHeight="1">
      <x:c r="A110" s="50" t="str">
        <x:v>道具资产</x:v>
      </x:c>
      <x:c r="B110" s="50" t="n">
        <x:v>3</x:v>
      </x:c>
      <x:c r="C110" s="50" t="n">
        <x:v>1</x:v>
      </x:c>
      <x:c r="D110" s="50" t="str">
        <x:v>载具／航天器</x:v>
      </x:c>
      <x:c r="E110" s="36" t="str">
        <x:v>梦舟载人飞船</x:v>
      </x:c>
      <x:c r="F110" s="36" t="str">
        <x:v>BY-VEH-P0-001-梦舟载人飞船</x:v>
      </x:c>
      <x:c r="G110" s="36" t="str"/>
      <x:c r="H110" s="50" t="str"/>
      <x:c r="I110" s="50" t="str">
        <x:v>VEH</x:v>
      </x:c>
      <x:c r="J110" s="50" t="str">
        <x:v>P0</x:v>
      </x:c>
      <x:c r="K110" s="36" t="str">
        <x:v>V1.2逐镜映射见data/阶段1_114镜资产调用映射_V1.2.csv</x:v>
      </x:c>
      <x:c r="L110" s="36" t="str">
        <x:v>01;03;11;13</x:v>
      </x:c>
      <x:c r="M110" s="36" t="str">
        <x:v>三人环月飞船，含返回舱、服务舱和对接口</x:v>
      </x:c>
      <x:c r="N110" s="36" t="str">
        <x:v>以公开资料为上限，不宣称官方复原</x:v>
      </x:c>
      <x:c r="O110" s="36" t="str">
        <x:v>交会;分离;月地转移</x:v>
      </x:c>
      <x:c r="P110" s="36" t="str">
        <x:v>金属、隔热材料、低反光表面</x:v>
      </x:c>
      <x:c r="Q110" s="36" t="str">
        <x:v>环月轨道太阳光</x:v>
      </x:c>
      <x:c r="R110" s="36" t="str">
        <x:v>外部多视图、对接轴视图</x:v>
      </x:c>
      <x:c r="S110" s="36" t="str">
        <x:v>轨道场次</x:v>
      </x:c>
      <x:c r="T110" s="36" t="str">
        <x:v>剧本明确;公开资料;创作者建议</x:v>
      </x:c>
      <x:c r="U110" s="36" t="str">
        <x:v>已确认</x:v>
      </x:c>
      <x:c r="V110" s="36" t="str">
        <x:v>P0航天器首批</x:v>
      </x:c>
      <x:c r="W110" s="50" t="n">
        <x:f>IF(OR(D110="场景母图",D110="场景多视角"),0,1)</x:f>
        <x:v>1</x:v>
      </x:c>
      <x:c r="X110" s="50" t="n">
        <x:f>IF(LEFT(U110,2)="历史",0,1)</x:f>
        <x:v>1</x:v>
      </x:c>
    </x:row>
    <x:row r="111" ht="44" customHeight="1">
      <x:c r="A111" s="50" t="str">
        <x:v>道具资产</x:v>
      </x:c>
      <x:c r="B111" s="50" t="n">
        <x:v>4</x:v>
      </x:c>
      <x:c r="C111" s="50" t="n">
        <x:v>1</x:v>
      </x:c>
      <x:c r="D111" s="50" t="str">
        <x:v>载具／航天器</x:v>
      </x:c>
      <x:c r="E111" s="36" t="str">
        <x:v>揽月着陆器＋推进舱月轨组合体</x:v>
      </x:c>
      <x:c r="F111" s="36" t="str">
        <x:v>BY-VEH-P0-002-揽月完整构型</x:v>
      </x:c>
      <x:c r="G111" s="36" t="str"/>
      <x:c r="H111" s="50" t="str"/>
      <x:c r="I111" s="50" t="str">
        <x:v>VEH</x:v>
      </x:c>
      <x:c r="J111" s="50" t="str">
        <x:v>P0</x:v>
      </x:c>
      <x:c r="K111" s="36" t="str">
        <x:v>V1.2逐镜映射见data/阶段1_114镜资产调用映射_V1.2.csv</x:v>
      </x:c>
      <x:c r="L111" s="36" t="str">
        <x:v>场1,2,4；镜002,005,008,010,011,020,021,024,025</x:v>
      </x:c>
      <x:c r="M111" s="36" t="str">
        <x:v>登月舱与推进舱组成的下降前构型</x:v>
      </x:c>
      <x:c r="N111" s="36" t="str">
        <x:v>锁定两舱尺度和与梦舟对接关系</x:v>
      </x:c>
      <x:c r="O111" s="36" t="str">
        <x:v>交会接近；对接；分离；降轨点火；推进舱任务完成</x:v>
      </x:c>
      <x:c r="P111" s="36" t="str">
        <x:v>金属、隔热与推进结构</x:v>
      </x:c>
      <x:c r="Q111" s="36" t="str">
        <x:v>环月轨道太阳光</x:v>
      </x:c>
      <x:c r="R111" s="36" t="str">
        <x:v>外部多视图与尺度图</x:v>
      </x:c>
      <x:c r="S111" s="36" t="str">
        <x:v>下降前</x:v>
      </x:c>
      <x:c r="T111" s="36" t="str">
        <x:v>剧本明确;公开资料</x:v>
      </x:c>
      <x:c r="U111" s="36" t="str">
        <x:v>已确认</x:v>
      </x:c>
      <x:c r="V111" s="36" t="str">
        <x:v>V1.2外部构型链首要验证资产</x:v>
      </x:c>
      <x:c r="W111" s="50" t="n">
        <x:f>IF(OR(D111="场景母图",D111="场景多视角"),0,1)</x:f>
        <x:v>1</x:v>
      </x:c>
      <x:c r="X111" s="50" t="n">
        <x:f>IF(LEFT(U111,2)="历史",0,1)</x:f>
        <x:v>1</x:v>
      </x:c>
    </x:row>
    <x:row r="112" ht="44" customHeight="1">
      <x:c r="A112" s="50" t="str">
        <x:v>道具资产</x:v>
      </x:c>
      <x:c r="B112" s="50" t="n">
        <x:v>5</x:v>
      </x:c>
      <x:c r="C112" s="50" t="n">
        <x:v>1</x:v>
      </x:c>
      <x:c r="D112" s="50" t="str">
        <x:v>载具／航天器</x:v>
      </x:c>
      <x:c r="E112" s="36" t="str">
        <x:v>揽月登月舱</x:v>
      </x:c>
      <x:c r="F112" s="36" t="str">
        <x:v>BY-VEH-P0-003-揽月登月舱</x:v>
      </x:c>
      <x:c r="G112" s="36" t="str"/>
      <x:c r="H112" s="50" t="str"/>
      <x:c r="I112" s="50" t="str">
        <x:v>VEH</x:v>
      </x:c>
      <x:c r="J112" s="50" t="str">
        <x:v>P0</x:v>
      </x:c>
      <x:c r="K112" s="36" t="str">
        <x:v>V1.2逐镜映射见data/阶段1_114镜资产调用映射_V1.2.csv</x:v>
      </x:c>
      <x:c r="L112" s="36" t="str">
        <x:v>场4,5,6,7,8,9,10,11；镜025,027,033,037,038,039,042,047,051,054,055,057,058,067,068,074,075</x:v>
      </x:c>
      <x:c r="M112" s="36" t="str">
        <x:v>推进舱分离后完成着陆、月面驻留、起飞与对接</x:v>
      </x:c>
      <x:c r="N112" s="36" t="str">
        <x:v>统一舷梯、支架、舱门和对接口</x:v>
      </x:c>
      <x:c r="O112" s="36" t="str">
        <x:v>下降姿态；触月承载；月面驻留；整器起飞；环月交会</x:v>
      </x:c>
      <x:c r="P112" s="36" t="str">
        <x:v>金属、隔热、支架与舷梯结构</x:v>
      </x:c>
      <x:c r="Q112" s="36" t="str">
        <x:v>轨道光与月面太阳光</x:v>
      </x:c>
      <x:c r="R112" s="36" t="str">
        <x:v>外部多视图、着陆与起飞状态</x:v>
      </x:c>
      <x:c r="S112" s="36" t="str">
        <x:v>04-12</x:v>
      </x:c>
      <x:c r="T112" s="36" t="str">
        <x:v>剧本明确;公开资料;创作者建议</x:v>
      </x:c>
      <x:c r="U112" s="36" t="str">
        <x:v>已确认</x:v>
      </x:c>
      <x:c r="V112" s="36" t="str">
        <x:v>P0航天器首批</x:v>
      </x:c>
      <x:c r="W112" s="50" t="n">
        <x:f>IF(OR(D112="场景母图",D112="场景多视角"),0,1)</x:f>
        <x:v>1</x:v>
      </x:c>
      <x:c r="X112" s="50" t="n">
        <x:f>IF(LEFT(U112,2)="历史",0,1)</x:f>
        <x:v>1</x:v>
      </x:c>
    </x:row>
    <x:row r="113" ht="44" customHeight="1">
      <x:c r="A113" s="50" t="str">
        <x:v>道具资产</x:v>
      </x:c>
      <x:c r="B113" s="50" t="n">
        <x:v>6</x:v>
      </x:c>
      <x:c r="C113" s="50" t="n">
        <x:v>1</x:v>
      </x:c>
      <x:c r="D113" s="50" t="str">
        <x:v>载具／航天器</x:v>
      </x:c>
      <x:c r="E113" s="36" t="str">
        <x:v>揽月推进舱分离状态</x:v>
      </x:c>
      <x:c r="F113" s="36" t="str">
        <x:v>BY-VEH-P1-003-揽月推进舱分离状态</x:v>
      </x:c>
      <x:c r="G113" s="36" t="str"/>
      <x:c r="H113" s="50" t="str"/>
      <x:c r="I113" s="50" t="str">
        <x:v>VEH</x:v>
      </x:c>
      <x:c r="J113" s="50" t="str">
        <x:v>P1</x:v>
      </x:c>
      <x:c r="K113" s="36" t="str">
        <x:v>V1.2逐镜映射见data/阶段1_114镜资产调用映射_V1.2.csv</x:v>
      </x:c>
      <x:c r="L113" s="36" t="str">
        <x:v>场4；镜025</x:v>
      </x:c>
      <x:c r="M113" s="36" t="str">
        <x:v>公开流程的推进舱分离结果</x:v>
      </x:c>
      <x:c r="N113" s="36" t="str">
        <x:v>不虚构高度、速度、机构和精确时序</x:v>
      </x:c>
      <x:c r="O113" s="36" t="str">
        <x:v>分离前;分离后</x:v>
      </x:c>
      <x:c r="P113" s="36" t="str">
        <x:v>推进结构</x:v>
      </x:c>
      <x:c r="Q113" s="36" t="str">
        <x:v>环月至下降环境</x:v>
      </x:c>
      <x:c r="R113" s="36" t="str">
        <x:v>状态对照资产</x:v>
      </x:c>
      <x:c r="S113" s="36" t="str">
        <x:v>04</x:v>
      </x:c>
      <x:c r="T113" s="36" t="str">
        <x:v>剧本明确;公开资料</x:v>
      </x:c>
      <x:c r="U113" s="36" t="str">
        <x:v>已确认采用</x:v>
      </x:c>
      <x:c r="V113" s="36" t="str">
        <x:v>随完整构型制作</x:v>
      </x:c>
      <x:c r="W113" s="50" t="n">
        <x:f>IF(OR(D113="场景母图",D113="场景多视角"),0,1)</x:f>
        <x:v>1</x:v>
      </x:c>
      <x:c r="X113" s="50" t="n">
        <x:f>IF(LEFT(U113,2)="历史",0,1)</x:f>
        <x:v>1</x:v>
      </x:c>
    </x:row>
    <x:row r="114" ht="44" customHeight="1">
      <x:c r="A114" s="50" t="str">
        <x:v>道具资产</x:v>
      </x:c>
      <x:c r="B114" s="50" t="n">
        <x:v>7</x:v>
      </x:c>
      <x:c r="C114" s="50" t="n">
        <x:v>1</x:v>
      </x:c>
      <x:c r="D114" s="50" t="str">
        <x:v>载具／航天器</x:v>
      </x:c>
      <x:c r="E114" s="36" t="str">
        <x:v>探索载人月球车</x:v>
      </x:c>
      <x:c r="F114" s="36" t="str">
        <x:v>BY-VEH-P0-004-探索载人月球车</x:v>
      </x:c>
      <x:c r="G114" s="36" t="str"/>
      <x:c r="H114" s="50" t="str"/>
      <x:c r="I114" s="50" t="str">
        <x:v>VEH</x:v>
      </x:c>
      <x:c r="J114" s="50" t="str">
        <x:v>P0</x:v>
      </x:c>
      <x:c r="K114" s="36" t="str">
        <x:v>V1.2逐镜映射见data/阶段1_114镜资产调用映射_V1.2.csv</x:v>
      </x:c>
      <x:c r="L114" s="36" t="str">
        <x:v>场9；镜058,059,066,067</x:v>
      </x:c>
      <x:c r="M114" s="36" t="str">
        <x:v>双人驾乘月面移动与探测辅助载具</x:v>
      </x:c>
      <x:c r="N114" s="36" t="str">
        <x:v>公开方向上补全驾驶位、车轮和载荷接口</x:v>
      </x:c>
      <x:c r="O114" s="36" t="str">
        <x:v>折叠或驻车;双人行驶</x:v>
      </x:c>
      <x:c r="P114" s="36" t="str">
        <x:v>金属、复合材料、月尘附着</x:v>
      </x:c>
      <x:c r="Q114" s="36" t="str">
        <x:v>月面固定太阳光</x:v>
      </x:c>
      <x:c r="R114" s="36" t="str">
        <x:v>多视图、双人尺度、行驶状态</x:v>
      </x:c>
      <x:c r="S114" s="36" t="str">
        <x:v>09</x:v>
      </x:c>
      <x:c r="T114" s="36" t="str">
        <x:v>剧本明确;公开资料;创作者建议</x:v>
      </x:c>
      <x:c r="U114" s="36" t="str">
        <x:v>已确认</x:v>
      </x:c>
      <x:c r="V114" s="36" t="str">
        <x:v>月面设备包</x:v>
      </x:c>
      <x:c r="W114" s="50" t="n">
        <x:f>IF(OR(D114="场景母图",D114="场景多视角"),0,1)</x:f>
        <x:v>1</x:v>
      </x:c>
      <x:c r="X114" s="50" t="n">
        <x:f>IF(LEFT(U114,2)="历史",0,1)</x:f>
        <x:v>1</x:v>
      </x:c>
    </x:row>
    <x:row r="115" ht="44" customHeight="1">
      <x:c r="A115" s="50" t="str">
        <x:v>道具资产</x:v>
      </x:c>
      <x:c r="B115" s="50" t="n">
        <x:v>8</x:v>
      </x:c>
      <x:c r="C115" s="50" t="n">
        <x:v>1</x:v>
      </x:c>
      <x:c r="D115" s="50" t="str">
        <x:v>载具／航天器</x:v>
      </x:c>
      <x:c r="E115" s="36" t="str">
        <x:v>梦舟返回舱＋服务舱月轨组合体</x:v>
      </x:c>
      <x:c r="F115" s="36" t="str">
        <x:v>BY-VEH-P0-005-梦舟月轨组合体</x:v>
      </x:c>
      <x:c r="G115" s="36" t="str"/>
      <x:c r="H115" s="50" t="str"/>
      <x:c r="I115" s="50" t="str">
        <x:v>VEH</x:v>
      </x:c>
      <x:c r="J115" s="50" t="str">
        <x:v>P0</x:v>
      </x:c>
      <x:c r="K115" s="36" t="str">
        <x:v>V1.2逐镜映射见data/阶段1_114镜资产调用映射_V1.2.csv</x:v>
      </x:c>
      <x:c r="L115" s="36" t="str">
        <x:v>场1,2,4,12,13,14；镜002,005,008,010,011,020,021,084,085,087,093,095,096,098</x:v>
      </x:c>
      <x:c r="M115" s="36" t="str">
        <x:v>返回舱、无人服务舱、太阳翼和前向对接口可辨认的完整组合体。</x:v>
      </x:c>
      <x:c r="N115" s="36" t="str">
        <x:v>服务舱不可出现载人舷窗或观察室。</x:v>
      </x:c>
      <x:c r="O115" s="36" t="str">
        <x:v>环月待机；两次对接；地月转移姿态</x:v>
      </x:c>
      <x:c r="P115" s="36" t="str">
        <x:v>隔热材料、太阳翼、推进与热控外部设备</x:v>
      </x:c>
      <x:c r="Q115" s="36" t="str">
        <x:v>继承环月轨道光</x:v>
      </x:c>
      <x:c r="R115" s="36" t="str">
        <x:v>完整组合体结构验证和关键状态视图</x:v>
      </x:c>
      <x:c r="S115" s="36" t="str">
        <x:v>第1—4、12—14场</x:v>
      </x:c>
      <x:c r="T115" s="36" t="str">
        <x:v>V1.2剧本明确＋项目锁定＋公开工程资料边界</x:v>
      </x:c>
      <x:c r="U115" s="36" t="str">
        <x:v>已确认生产方向</x:v>
      </x:c>
      <x:c r="V115" s="36" t="str">
        <x:v>阶段2A重入后按生产包执行</x:v>
      </x:c>
      <x:c r="W115" s="50" t="n">
        <x:f>IF(OR(D115="场景母图",D115="场景多视角"),0,1)</x:f>
        <x:v>1</x:v>
      </x:c>
      <x:c r="X115" s="50" t="n">
        <x:f>IF(LEFT(U115,2)="历史",0,1)</x:f>
        <x:v>1</x:v>
      </x:c>
    </x:row>
    <x:row r="116" ht="44" customHeight="1">
      <x:c r="A116" s="50" t="str">
        <x:v>道具资产</x:v>
      </x:c>
      <x:c r="B116" s="50" t="n">
        <x:v>9</x:v>
      </x:c>
      <x:c r="C116" s="50" t="n">
        <x:v>1</x:v>
      </x:c>
      <x:c r="D116" s="50" t="str">
        <x:v>载具／航天器</x:v>
      </x:c>
      <x:c r="E116" s="36" t="str">
        <x:v>梦舟返回舱独立再入构型</x:v>
      </x:c>
      <x:c r="F116" s="36" t="str">
        <x:v>BY-VEH-P0-006-梦舟返回舱独立再入构型</x:v>
      </x:c>
      <x:c r="G116" s="36" t="str"/>
      <x:c r="H116" s="50" t="str"/>
      <x:c r="I116" s="50" t="str">
        <x:v>VEH</x:v>
      </x:c>
      <x:c r="J116" s="50" t="str">
        <x:v>P0</x:v>
      </x:c>
      <x:c r="K116" s="36" t="str">
        <x:v>V1.2逐镜映射见data/阶段1_114镜资产调用映射_V1.2.csv</x:v>
      </x:c>
      <x:c r="L116" s="36" t="str">
        <x:v>场15；镜102,104,105,106,108</x:v>
      </x:c>
      <x:c r="M116" s="36" t="str">
        <x:v>服务舱分离后的独立返回舱，防热大底朝向清楚。</x:v>
      </x:c>
      <x:c r="N116" s="36" t="str">
        <x:v>外形以公开返回舱方向为锚，未公开细部克制补全。</x:v>
      </x:c>
      <x:c r="O116" s="36" t="str">
        <x:v>分离；姿态调整；等离子再入；开伞前</x:v>
      </x:c>
      <x:c r="P116" s="36" t="str">
        <x:v>烧蚀防热材料、耐高温外表、天线区域</x:v>
      </x:c>
      <x:c r="Q116" s="36" t="str">
        <x:v>再入辉光与高层大气</x:v>
      </x:c>
      <x:c r="R116" s="36" t="str">
        <x:v>结构验证＋再入状态继承</x:v>
      </x:c>
      <x:c r="S116" s="36" t="str">
        <x:v>第15场</x:v>
      </x:c>
      <x:c r="T116" s="36" t="str">
        <x:v>V1.2剧本明确＋项目锁定＋公开工程资料边界</x:v>
      </x:c>
      <x:c r="U116" s="36" t="str">
        <x:v>已确认生产方向</x:v>
      </x:c>
      <x:c r="V116" s="36" t="str">
        <x:v>阶段2A重入后按生产包执行</x:v>
      </x:c>
      <x:c r="W116" s="50" t="n">
        <x:f>IF(OR(D116="场景母图",D116="场景多视角"),0,1)</x:f>
        <x:v>1</x:v>
      </x:c>
      <x:c r="X116" s="50" t="n">
        <x:f>IF(LEFT(U116,2)="历史",0,1)</x:f>
        <x:v>1</x:v>
      </x:c>
    </x:row>
    <x:row r="117" ht="44" customHeight="1">
      <x:c r="A117" s="50" t="str">
        <x:v>道具资产</x:v>
      </x:c>
      <x:c r="B117" s="50" t="n">
        <x:v>10</x:v>
      </x:c>
      <x:c r="C117" s="50" t="n">
        <x:v>1</x:v>
      </x:c>
      <x:c r="D117" s="50" t="str">
        <x:v>载具／航天器</x:v>
      </x:c>
      <x:c r="E117" s="36" t="str">
        <x:v>返回舱群伞／气囊着陆构型</x:v>
      </x:c>
      <x:c r="F117" s="36" t="str">
        <x:v>BY-VEH-P0-007-返回舱群伞气囊着陆构型</x:v>
      </x:c>
      <x:c r="G117" s="36" t="str"/>
      <x:c r="H117" s="50" t="str"/>
      <x:c r="I117" s="50" t="str">
        <x:v>VEH</x:v>
      </x:c>
      <x:c r="J117" s="50" t="str">
        <x:v>P0</x:v>
      </x:c>
      <x:c r="K117" s="36" t="str">
        <x:v>V1.2逐镜映射见data/阶段1_114镜资产调用映射_V1.2.csv</x:v>
      </x:c>
      <x:c r="L117" s="36" t="str">
        <x:v>场15,16；镜108,109,110,111,112,113,114</x:v>
      </x:c>
      <x:c r="M117" s="36" t="str">
        <x:v>返回舱稳定伞、主伞、充气气囊和陆上着陆状态。</x:v>
      </x:c>
      <x:c r="N117" s="36" t="str">
        <x:v>明确属于公开技术基础上的艺术方案。</x:v>
      </x:c>
      <x:c r="O117" s="36" t="str">
        <x:v>稳定伞；主伞；气囊充气；触地滚摆；着陆稳定</x:v>
      </x:c>
      <x:c r="P117" s="36" t="str">
        <x:v>高强织物伞具、烧蚀舱体、工程气囊</x:v>
      </x:c>
      <x:c r="Q117" s="36" t="str">
        <x:v>地球大气与日间现场光</x:v>
      </x:c>
      <x:c r="R117" s="36" t="str">
        <x:v>与开伞、气囊VFX和搜救场景联合验证</x:v>
      </x:c>
      <x:c r="S117" s="36" t="str">
        <x:v>第15—16场</x:v>
      </x:c>
      <x:c r="T117" s="36" t="str">
        <x:v>V1.2剧本明确＋项目锁定＋公开工程资料边界</x:v>
      </x:c>
      <x:c r="U117" s="36" t="str">
        <x:v>已确认生产方向</x:v>
      </x:c>
      <x:c r="V117" s="36" t="str">
        <x:v>阶段2A重入后按生产包执行</x:v>
      </x:c>
      <x:c r="W117" s="50" t="n">
        <x:f>IF(OR(D117="场景母图",D117="场景多视角"),0,1)</x:f>
        <x:v>1</x:v>
      </x:c>
      <x:c r="X117" s="50" t="n">
        <x:f>IF(LEFT(U117,2)="历史",0,1)</x:f>
        <x:v>1</x:v>
      </x:c>
    </x:row>
    <x:row r="118" ht="44" customHeight="1">
      <x:c r="A118" s="50" t="str">
        <x:v>道具资产</x:v>
      </x:c>
      <x:c r="B118" s="50" t="n">
        <x:v>11</x:v>
      </x:c>
      <x:c r="C118" s="50" t="n">
        <x:v>1</x:v>
      </x:c>
      <x:c r="D118" s="50" t="str">
        <x:v>载具／航天器</x:v>
      </x:c>
      <x:c r="E118" s="36" t="str">
        <x:v>揽月整器月面起飞状态</x:v>
      </x:c>
      <x:c r="F118" s="36" t="str">
        <x:v>BY-VEH-P1-004-揽月月面起飞状态</x:v>
      </x:c>
      <x:c r="G118" s="36" t="str"/>
      <x:c r="H118" s="50" t="str"/>
      <x:c r="I118" s="50" t="str">
        <x:v>VEH</x:v>
      </x:c>
      <x:c r="J118" s="50" t="str">
        <x:v>P1</x:v>
      </x:c>
      <x:c r="K118" s="36" t="str">
        <x:v>V1.2逐镜映射见data/阶段1_114镜资产调用映射_V1.2.csv</x:v>
      </x:c>
      <x:c r="L118" s="36" t="str">
        <x:v>场11；镜074,075,078</x:v>
      </x:c>
      <x:c r="M118" s="36" t="str">
        <x:v>四条着陆腿随着陆器整体离月的构型。</x:v>
      </x:c>
      <x:c r="N118" s="36" t="str">
        <x:v>禁止阿波罗式留月下降级。</x:v>
      </x:c>
      <x:c r="O118" s="36" t="str">
        <x:v>点火；垂直上升；俯仰转弯；入轨</x:v>
      </x:c>
      <x:c r="P118" s="36" t="str">
        <x:v>继承已确认揽月材料</x:v>
      </x:c>
      <x:c r="Q118" s="36" t="str">
        <x:v>艺术化月面日光与贴地羽流</x:v>
      </x:c>
      <x:c r="R118" s="36" t="str">
        <x:v>由揽月基础资产派生状态</x:v>
      </x:c>
      <x:c r="S118" s="36" t="str">
        <x:v>第11场</x:v>
      </x:c>
      <x:c r="T118" s="36" t="str">
        <x:v>V1.2剧本明确＋项目锁定＋公开工程资料边界</x:v>
      </x:c>
      <x:c r="U118" s="36" t="str">
        <x:v>已确认生产方向</x:v>
      </x:c>
      <x:c r="V118" s="36" t="str">
        <x:v>阶段2A重入后按生产包执行</x:v>
      </x:c>
      <x:c r="W118" s="50" t="n">
        <x:f>IF(OR(D118="场景母图",D118="场景多视角"),0,1)</x:f>
        <x:v>1</x:v>
      </x:c>
      <x:c r="X118" s="50" t="n">
        <x:f>IF(LEFT(U118,2)="历史",0,1)</x:f>
        <x:v>1</x:v>
      </x:c>
    </x:row>
    <x:row r="119" ht="44" customHeight="1">
      <x:c r="A119" s="50" t="str">
        <x:v>道具资产</x:v>
      </x:c>
      <x:c r="B119" s="50" t="n">
        <x:v>12</x:v>
      </x:c>
      <x:c r="C119" s="50" t="n">
        <x:v>1</x:v>
      </x:c>
      <x:c r="D119" s="50" t="str">
        <x:v>载具／航天器</x:v>
      </x:c>
      <x:c r="E119" s="36" t="str">
        <x:v>揽月月轨再交会对接状态</x:v>
      </x:c>
      <x:c r="F119" s="36" t="str">
        <x:v>BY-VEH-P1-005-揽月月轨再对接状态</x:v>
      </x:c>
      <x:c r="G119" s="36" t="str"/>
      <x:c r="H119" s="50" t="str"/>
      <x:c r="I119" s="50" t="str">
        <x:v>VEH</x:v>
      </x:c>
      <x:c r="J119" s="50" t="str">
        <x:v>P1</x:v>
      </x:c>
      <x:c r="K119" s="36" t="str">
        <x:v>V1.2逐镜映射见data/阶段1_114镜资产调用映射_V1.2.csv</x:v>
      </x:c>
      <x:c r="L119" s="36" t="str">
        <x:v>场12；镜084,085,087</x:v>
      </x:c>
      <x:c r="M119" s="36" t="str">
        <x:v>月面起飞后的揽月与梦舟轴向接近、捕获和硬连接。</x:v>
      </x:c>
      <x:c r="N119" s="36" t="str">
        <x:v>与首次对接使用同一接口家族。</x:v>
      </x:c>
      <x:c r="O119" s="36" t="str">
        <x:v>近程导引；百米点；最终接近；捕获；硬连接</x:v>
      </x:c>
      <x:c r="P119" s="36" t="str">
        <x:v>继承揽月和梦舟外部材料</x:v>
      </x:c>
      <x:c r="Q119" s="36" t="str">
        <x:v>环月轨道光</x:v>
      </x:c>
      <x:c r="R119" s="36" t="str">
        <x:v>两器尺度与对接轴线验证</x:v>
      </x:c>
      <x:c r="S119" s="36" t="str">
        <x:v>第12—13场</x:v>
      </x:c>
      <x:c r="T119" s="36" t="str">
        <x:v>V1.2剧本明确＋项目锁定＋公开工程资料边界</x:v>
      </x:c>
      <x:c r="U119" s="36" t="str">
        <x:v>已确认生产方向</x:v>
      </x:c>
      <x:c r="V119" s="36" t="str">
        <x:v>阶段2A重入后按生产包执行</x:v>
      </x:c>
      <x:c r="W119" s="50" t="n">
        <x:f>IF(OR(D119="场景母图",D119="场景多视角"),0,1)</x:f>
        <x:v>1</x:v>
      </x:c>
      <x:c r="X119" s="50" t="n">
        <x:f>IF(LEFT(U119,2)="历史",0,1)</x:f>
        <x:v>1</x:v>
      </x:c>
    </x:row>
    <x:row r="120" ht="44" customHeight="1">
      <x:c r="A120" s="50" t="str">
        <x:v>道具资产</x:v>
      </x:c>
      <x:c r="B120" s="50" t="n">
        <x:v>13</x:v>
      </x:c>
      <x:c r="C120" s="50" t="n">
        <x:v>1</x:v>
      </x:c>
      <x:c r="D120" s="50" t="str">
        <x:v>载具／航天器</x:v>
      </x:c>
      <x:c r="E120" s="36" t="str">
        <x:v>揽月受控分离处置状态</x:v>
      </x:c>
      <x:c r="F120" s="36" t="str">
        <x:v>BY-VEH-P1-006-揽月受控处置状态</x:v>
      </x:c>
      <x:c r="G120" s="36" t="str"/>
      <x:c r="H120" s="50" t="str"/>
      <x:c r="I120" s="50" t="str">
        <x:v>VEH</x:v>
      </x:c>
      <x:c r="J120" s="50" t="str">
        <x:v>P1</x:v>
      </x:c>
      <x:c r="K120" s="36" t="str">
        <x:v>V1.2逐镜映射见data/阶段1_114镜资产调用映射_V1.2.csv</x:v>
      </x:c>
      <x:c r="L120" s="36" t="str">
        <x:v>场13；镜093,095</x:v>
      </x:c>
      <x:c r="M120" s="36" t="str">
        <x:v>人员与样品转移完成后，揽月与梦舟分离并进入另一条处置轨迹。</x:v>
      </x:c>
      <x:c r="N120" s="36" t="str">
        <x:v>不锁定具体撞击点。</x:v>
      </x:c>
      <x:c r="O120" s="36" t="str">
        <x:v>分离；安全距离；轨迹分叉；远离</x:v>
      </x:c>
      <x:c r="P120" s="36" t="str">
        <x:v>继承揽月基础构型</x:v>
      </x:c>
      <x:c r="Q120" s="36" t="str">
        <x:v>环月轨道光</x:v>
      </x:c>
      <x:c r="R120" s="36" t="str">
        <x:v>与处置轨迹VFX联合制作</x:v>
      </x:c>
      <x:c r="S120" s="36" t="str">
        <x:v>第13场</x:v>
      </x:c>
      <x:c r="T120" s="36" t="str">
        <x:v>V1.2剧本明确＋项目锁定＋公开工程资料边界</x:v>
      </x:c>
      <x:c r="U120" s="36" t="str">
        <x:v>已确认生产方向</x:v>
      </x:c>
      <x:c r="V120" s="36" t="str">
        <x:v>阶段2A重入后按生产包执行</x:v>
      </x:c>
      <x:c r="W120" s="50" t="n">
        <x:f>IF(OR(D120="场景母图",D120="场景多视角"),0,1)</x:f>
        <x:v>1</x:v>
      </x:c>
      <x:c r="X120" s="50" t="n">
        <x:f>IF(LEFT(U120,2)="历史",0,1)</x:f>
        <x:v>1</x:v>
      </x:c>
    </x:row>
    <x:row r="121" ht="44" customHeight="1">
      <x:c r="A121" s="50" t="str">
        <x:v>道具资产</x:v>
      </x:c>
      <x:c r="B121" s="50" t="n">
        <x:v>14</x:v>
      </x:c>
      <x:c r="C121" s="50" t="n">
        <x:v>1</x:v>
      </x:c>
      <x:c r="D121" s="50" t="str">
        <x:v>载具／航天器</x:v>
      </x:c>
      <x:c r="E121" s="36" t="str">
        <x:v>梦舟服务舱近地分离状态</x:v>
      </x:c>
      <x:c r="F121" s="36" t="str">
        <x:v>BY-VEH-P1-007-梦舟服务舱近地分离状态</x:v>
      </x:c>
      <x:c r="G121" s="36" t="str"/>
      <x:c r="H121" s="50" t="str"/>
      <x:c r="I121" s="50" t="str">
        <x:v>VEH</x:v>
      </x:c>
      <x:c r="J121" s="50" t="str">
        <x:v>P1</x:v>
      </x:c>
      <x:c r="K121" s="36" t="str">
        <x:v>V1.2逐镜映射见data/阶段1_114镜资产调用映射_V1.2.csv</x:v>
      </x:c>
      <x:c r="L121" s="36" t="str">
        <x:v>场15；镜102</x:v>
      </x:c>
      <x:c r="M121" s="36" t="str">
        <x:v>近地再入前服务舱与返回舱分离，只有返回舱进入大气。</x:v>
      </x:c>
      <x:c r="N121" s="36" t="str">
        <x:v>服务舱保持无人非密封外部结构。</x:v>
      </x:c>
      <x:c r="O121" s="36" t="str">
        <x:v>主供能关闭；分离；返回舱调姿</x:v>
      </x:c>
      <x:c r="P121" s="36" t="str">
        <x:v>继承梦舟组合体材料</x:v>
      </x:c>
      <x:c r="Q121" s="36" t="str">
        <x:v>近地空间与地球反照</x:v>
      </x:c>
      <x:c r="R121" s="36" t="str">
        <x:v>外部构型状态验证</x:v>
      </x:c>
      <x:c r="S121" s="36" t="str">
        <x:v>第15场</x:v>
      </x:c>
      <x:c r="T121" s="36" t="str">
        <x:v>V1.2剧本明确＋项目锁定＋公开工程资料边界</x:v>
      </x:c>
      <x:c r="U121" s="36" t="str">
        <x:v>已确认生产方向</x:v>
      </x:c>
      <x:c r="V121" s="36" t="str">
        <x:v>阶段2A重入后按生产包执行</x:v>
      </x:c>
      <x:c r="W121" s="50" t="n">
        <x:f>IF(OR(D121="场景母图",D121="场景多视角"),0,1)</x:f>
        <x:v>1</x:v>
      </x:c>
      <x:c r="X121" s="50" t="n">
        <x:f>IF(LEFT(U121,2)="历史",0,1)</x:f>
        <x:v>1</x:v>
      </x:c>
    </x:row>
    <x:row r="122" ht="44" customHeight="1">
      <x:c r="A122" s="50" t="str">
        <x:v>道具资产</x:v>
      </x:c>
      <x:c r="B122" s="50" t="n">
        <x:v>15</x:v>
      </x:c>
      <x:c r="C122" s="50" t="n">
        <x:v>1</x:v>
      </x:c>
      <x:c r="D122" s="50" t="str">
        <x:v>载具／航天器</x:v>
      </x:c>
      <x:c r="E122" s="36" t="str">
        <x:v>搜救直升机与地面车辆配置</x:v>
      </x:c>
      <x:c r="F122" s="36" t="str">
        <x:v>BY-VEH-P1-008-搜救直升机与地面车辆</x:v>
      </x:c>
      <x:c r="G122" s="36" t="str"/>
      <x:c r="H122" s="50" t="str"/>
      <x:c r="I122" s="50" t="str">
        <x:v>VEH</x:v>
      </x:c>
      <x:c r="J122" s="50" t="str">
        <x:v>P1</x:v>
      </x:c>
      <x:c r="K122" s="36" t="str">
        <x:v>V1.2逐镜映射见data/阶段1_114镜资产调用映射_V1.2.csv</x:v>
      </x:c>
      <x:c r="L122" s="36" t="str">
        <x:v>场16；镜110</x:v>
      </x:c>
      <x:c r="M122" s="36" t="str">
        <x:v>空中和地面两路接近返回舱的搜救载具。</x:v>
      </x:c>
      <x:c r="N122" s="36" t="str">
        <x:v>不绑定未公布型号和涂装细节。</x:v>
      </x:c>
      <x:c r="O122" s="36" t="str">
        <x:v>远距接近；抵达；医疗／样品转运</x:v>
      </x:c>
      <x:c r="P122" s="36" t="str">
        <x:v>真实搜救工程装备</x:v>
      </x:c>
      <x:c r="Q122" s="36" t="str">
        <x:v>着陆区自然光</x:v>
      </x:c>
      <x:c r="R122" s="36" t="str">
        <x:v>载具配置与尺度验证</x:v>
      </x:c>
      <x:c r="S122" s="36" t="str">
        <x:v>第16场</x:v>
      </x:c>
      <x:c r="T122" s="36" t="str">
        <x:v>V1.2剧本明确＋项目锁定＋公开工程资料边界</x:v>
      </x:c>
      <x:c r="U122" s="36" t="str">
        <x:v>已确认生产方向</x:v>
      </x:c>
      <x:c r="V122" s="36" t="str">
        <x:v>阶段2A重入后按生产包执行</x:v>
      </x:c>
      <x:c r="W122" s="50" t="n">
        <x:f>IF(OR(D122="场景母图",D122="场景多视角"),0,1)</x:f>
        <x:v>1</x:v>
      </x:c>
      <x:c r="X122" s="50" t="n">
        <x:f>IF(LEFT(U122,2)="历史",0,1)</x:f>
        <x:v>1</x:v>
      </x:c>
    </x:row>
    <x:row r="123" ht="44" customHeight="1">
      <x:c r="A123" s="50" t="str">
        <x:v>道具资产</x:v>
      </x:c>
      <x:c r="B123" s="50" t="n">
        <x:v>16</x:v>
      </x:c>
      <x:c r="C123" s="50" t="n">
        <x:v>1</x:v>
      </x:c>
      <x:c r="D123" s="50" t="str">
        <x:v>设备／道具</x:v>
      </x:c>
      <x:c r="E123" s="36" t="str">
        <x:v>梦舟三座椅与束缚系统</x:v>
      </x:c>
      <x:c r="F123" s="36" t="str">
        <x:v>BY-PRP-P0-001-梦舟三座椅与束缚系统</x:v>
      </x:c>
      <x:c r="G123" s="36" t="str"/>
      <x:c r="H123" s="50" t="str"/>
      <x:c r="I123" s="50" t="str">
        <x:v>PRP</x:v>
      </x:c>
      <x:c r="J123" s="50" t="str">
        <x:v>P0</x:v>
      </x:c>
      <x:c r="K123" s="36" t="str">
        <x:v>V1.2逐镜映射见data/阶段1_114镜资产调用映射_V1.2.csv</x:v>
      </x:c>
      <x:c r="L123" s="36" t="str">
        <x:v>第1—3、5、11、14—15场</x:v>
      </x:c>
      <x:c r="M123" s="36" t="str">
        <x:v>两张空座椅视觉母题和三人座位</x:v>
      </x:c>
      <x:c r="N123" s="36" t="str">
        <x:v>座位归属、束缚带和相对位置固定</x:v>
      </x:c>
      <x:c r="O123" s="36" t="str">
        <x:v>三座满员；两座空置锁定；三人重聚；再入载荷承载；着陆缓冲</x:v>
      </x:c>
      <x:c r="P123" s="36" t="str">
        <x:v>金属框架、功能织物、软约束</x:v>
      </x:c>
      <x:c r="Q123" s="36" t="str">
        <x:v>梦舟舱内任务光</x:v>
      </x:c>
      <x:c r="R123" s="36" t="str">
        <x:v>同一套座椅保持承力骨架、基座和朝向稳定，四种状态只改变人员、束缚、靠背角度与载荷状态。</x:v>
      </x:c>
      <x:c r="S123" s="36" t="str">
        <x:v>梦舟舱内</x:v>
      </x:c>
      <x:c r="T123" s="36" t="str">
        <x:v>剧本明确</x:v>
      </x:c>
      <x:c r="U123" s="36" t="str">
        <x:v>功能与补全口径已确认;形制由阶段2设计</x:v>
      </x:c>
      <x:c r="V123" s="36" t="str">
        <x:v>与梦舟舱内母资产同步设计，禁止独立生成三张互不兼容座椅图</x:v>
      </x:c>
      <x:c r="W123" s="50" t="n">
        <x:f>IF(OR(D123="场景母图",D123="场景多视角"),0,1)</x:f>
        <x:v>1</x:v>
      </x:c>
      <x:c r="X123" s="50" t="n">
        <x:f>IF(LEFT(U123,2)="历史",0,1)</x:f>
        <x:v>1</x:v>
      </x:c>
    </x:row>
    <x:row r="124" ht="44" customHeight="1">
      <x:c r="A124" s="50" t="str">
        <x:v>道具资产</x:v>
      </x:c>
      <x:c r="B124" s="50" t="n">
        <x:v>17</x:v>
      </x:c>
      <x:c r="C124" s="50" t="n">
        <x:v>1</x:v>
      </x:c>
      <x:c r="D124" s="50" t="str">
        <x:v>设备／道具</x:v>
      </x:c>
      <x:c r="E124" s="36" t="str">
        <x:v>揽月舷梯与扶手系统</x:v>
      </x:c>
      <x:c r="F124" s="36" t="str">
        <x:v>BY-PRP-P0-002-揽月舷梯与扶手系统</x:v>
      </x:c>
      <x:c r="G124" s="36" t="str"/>
      <x:c r="H124" s="50" t="str"/>
      <x:c r="I124" s="50" t="str">
        <x:v>PRP</x:v>
      </x:c>
      <x:c r="J124" s="50" t="str">
        <x:v>P0</x:v>
      </x:c>
      <x:c r="K124" s="36" t="str">
        <x:v>V1.2逐镜映射见data/阶段1_114镜资产调用映射_V1.2.csv</x:v>
      </x:c>
      <x:c r="L124" s="36" t="str">
        <x:v>场7,8,10；镜047,048,049,052,069</x:v>
      </x:c>
      <x:c r="M124" s="36" t="str">
        <x:v>出舱、下降与第一步动作路径</x:v>
      </x:c>
      <x:c r="N124" s="36" t="str">
        <x:v>具体级数后置，锁定舱门、扶手和落脚逻辑</x:v>
      </x:c>
      <x:c r="O124" s="36" t="str">
        <x:v>收纳;展开;使用</x:v>
      </x:c>
      <x:c r="P124" s="36" t="str">
        <x:v>金属、低反光、防滑结构</x:v>
      </x:c>
      <x:c r="Q124" s="36" t="str">
        <x:v>月面固定太阳光</x:v>
      </x:c>
      <x:c r="R124" s="36" t="str">
        <x:v>结构多视图、人物动作尺度</x:v>
      </x:c>
      <x:c r="S124" s="36" t="str">
        <x:v>06-07</x:v>
      </x:c>
      <x:c r="T124" s="36" t="str">
        <x:v>剧本明确;公开资料;创作者建议</x:v>
      </x:c>
      <x:c r="U124" s="36" t="str">
        <x:v>已确认</x:v>
      </x:c>
      <x:c r="V124" s="36" t="str">
        <x:v>随揽月登月舱设计</x:v>
      </x:c>
      <x:c r="W124" s="50" t="n">
        <x:f>IF(OR(D124="场景母图",D124="场景多视角"),0,1)</x:f>
        <x:v>1</x:v>
      </x:c>
      <x:c r="X124" s="50" t="n">
        <x:f>IF(LEFT(U124,2)="历史",0,1)</x:f>
        <x:v>1</x:v>
      </x:c>
    </x:row>
    <x:row r="125" ht="44" customHeight="1">
      <x:c r="A125" s="50" t="str">
        <x:v>道具资产</x:v>
      </x:c>
      <x:c r="B125" s="50" t="n">
        <x:v>18</x:v>
      </x:c>
      <x:c r="C125" s="50" t="n">
        <x:v>1</x:v>
      </x:c>
      <x:c r="D125" s="50" t="str">
        <x:v>设备／道具</x:v>
      </x:c>
      <x:c r="E125" s="36" t="str">
        <x:v>便携式月面摄像机</x:v>
      </x:c>
      <x:c r="F125" s="36" t="str">
        <x:v>BY-PRP-P0-003-便携式月面摄像机</x:v>
      </x:c>
      <x:c r="G125" s="36" t="str"/>
      <x:c r="H125" s="50" t="str"/>
      <x:c r="I125" s="50" t="str">
        <x:v>PRP</x:v>
      </x:c>
      <x:c r="J125" s="50" t="str">
        <x:v>P0</x:v>
      </x:c>
      <x:c r="K125" s="36" t="str">
        <x:v>V1.2逐镜映射见data/阶段1_114镜资产调用映射_V1.2.csv</x:v>
      </x:c>
      <x:c r="L125" s="36" t="str">
        <x:v>第8—11场</x:v>
      </x:c>
      <x:c r="M125" s="36" t="str">
        <x:v>建立国旗与月面起飞固定摄影来源</x:v>
      </x:c>
      <x:c r="N125" s="36" t="str">
        <x:v>折叠三脚架、可戴手套操作的锁止件、服外图像链路确认界面；部署于揽月侧前方安全距离。</x:v>
      </x:c>
      <x:c r="O125" s="36" t="str">
        <x:v>舱外取出；双人部署；固定全景；延时记录；起飞留场空镜</x:v>
      </x:c>
      <x:c r="P125" s="36" t="str">
        <x:v>金属、复合材料、镜头与短支架</x:v>
      </x:c>
      <x:c r="Q125" s="36" t="str">
        <x:v>月面固定太阳光</x:v>
      </x:c>
      <x:c r="R125" s="36" t="str">
        <x:v>镜60部署后，镜61、63—64、69、76、81必须复用同一机位与同一设备。</x:v>
      </x:c>
      <x:c r="S125" s="36" t="str">
        <x:v>08-10</x:v>
      </x:c>
      <x:c r="T125" s="36" t="str">
        <x:v>剧本明确;创作者建议</x:v>
      </x:c>
      <x:c r="U125" s="36" t="str">
        <x:v>已确认</x:v>
      </x:c>
      <x:c r="V125" s="36" t="str">
        <x:v>月面设备包</x:v>
      </x:c>
      <x:c r="W125" s="50" t="n">
        <x:f>IF(OR(D125="场景母图",D125="场景多视角"),0,1)</x:f>
        <x:v>1</x:v>
      </x:c>
      <x:c r="X125" s="50" t="n">
        <x:f>IF(LEFT(U125,2)="历史",0,1)</x:f>
        <x:v>1</x:v>
      </x:c>
    </x:row>
    <x:row r="126" ht="44" customHeight="1">
      <x:c r="A126" s="50" t="str">
        <x:v>道具资产</x:v>
      </x:c>
      <x:c r="B126" s="50" t="n">
        <x:v>19</x:v>
      </x:c>
      <x:c r="C126" s="50" t="n">
        <x:v>1</x:v>
      </x:c>
      <x:c r="D126" s="50" t="str">
        <x:v>设备／道具</x:v>
      </x:c>
      <x:c r="E126" s="36" t="str">
        <x:v>工程化国旗展示装置</x:v>
      </x:c>
      <x:c r="F126" s="36" t="str">
        <x:v>BY-PRP-P0-004-工程化国旗展示装置</x:v>
      </x:c>
      <x:c r="G126" s="36" t="str"/>
      <x:c r="H126" s="50" t="str"/>
      <x:c r="I126" s="50" t="str">
        <x:v>PRP</x:v>
      </x:c>
      <x:c r="J126" s="50" t="str">
        <x:v>P0</x:v>
      </x:c>
      <x:c r="K126" s="36" t="str">
        <x:v>V1.2逐镜映射见data/阶段1_114镜资产调用映射_V1.2.csv</x:v>
      </x:c>
      <x:c r="L126" s="36" t="str">
        <x:v>场7,8,9,11；镜045,054,055,056,057,067,074</x:v>
      </x:c>
      <x:c r="M126" s="36" t="str">
        <x:v>底座、立杆、横向支撑和锁止结构</x:v>
      </x:c>
      <x:c r="N126" s="36" t="str">
        <x:v>不采用普通旗杆插地动作，旗面无风摆动</x:v>
      </x:c>
      <x:c r="O126" s="36" t="str">
        <x:v>折叠;搬运;展开;静止</x:v>
      </x:c>
      <x:c r="P126" s="36" t="str">
        <x:v>金属支撑、织物旗面</x:v>
      </x:c>
      <x:c r="Q126" s="36" t="str">
        <x:v>月面固定太阳光</x:v>
      </x:c>
      <x:c r="R126" s="36" t="str">
        <x:v>结构多视图、双人部署尺度</x:v>
      </x:c>
      <x:c r="S126" s="36" t="str">
        <x:v>08</x:v>
      </x:c>
      <x:c r="T126" s="36" t="str">
        <x:v>剧本明确;创作者建议</x:v>
      </x:c>
      <x:c r="U126" s="36" t="str">
        <x:v>已确认</x:v>
      </x:c>
      <x:c r="V126" s="36" t="str">
        <x:v>阶段2关键道具测试</x:v>
      </x:c>
      <x:c r="W126" s="50" t="n">
        <x:f>IF(OR(D126="场景母图",D126="场景多视角"),0,1)</x:f>
        <x:v>1</x:v>
      </x:c>
      <x:c r="X126" s="50" t="n">
        <x:f>IF(LEFT(U126,2)="历史",0,1)</x:f>
        <x:v>1</x:v>
      </x:c>
    </x:row>
    <x:row r="127" ht="44" customHeight="1">
      <x:c r="A127" s="50" t="str">
        <x:v>道具资产</x:v>
      </x:c>
      <x:c r="B127" s="50" t="n">
        <x:v>20</x:v>
      </x:c>
      <x:c r="C127" s="50" t="n">
        <x:v>1</x:v>
      </x:c>
      <x:c r="D127" s="50" t="str">
        <x:v>设备／道具</x:v>
      </x:c>
      <x:c r="E127" s="36" t="str">
        <x:v>主样品密封转移容器</x:v>
      </x:c>
      <x:c r="F127" s="36" t="str">
        <x:v>BY-PRP-P0-005-密封样品转移容器</x:v>
      </x:c>
      <x:c r="G127" s="36" t="str"/>
      <x:c r="H127" s="50" t="str"/>
      <x:c r="I127" s="50" t="str">
        <x:v>PRP</x:v>
      </x:c>
      <x:c r="J127" s="50" t="str">
        <x:v>P0</x:v>
      </x:c>
      <x:c r="K127" s="36" t="str">
        <x:v>V1.2逐镜映射见data/阶段1_114镜资产调用映射_V1.2.csv</x:v>
      </x:c>
      <x:c r="L127" s="36" t="str">
        <x:v>场10,11,13,14,16；镜068,071,076,089,101,113</x:v>
      </x:c>
      <x:c r="M127" s="36" t="str">
        <x:v>样品从月面到梦舟的稳定容器</x:v>
      </x:c>
      <x:c r="N127" s="36" t="str">
        <x:v>可固定、可通过对接通道、外部状态可检查</x:v>
      </x:c>
      <x:c r="O127" s="36" t="str">
        <x:v>空载固定；装样封闭；外平台转移；揽月舱内锁止；跨舱转移；梦舟样品柜锁止</x:v>
      </x:c>
      <x:c r="P127" s="36" t="str">
        <x:v>金属与密封结构、低反光</x:v>
      </x:c>
      <x:c r="Q127" s="36" t="str">
        <x:v>月面与舱内实际光源</x:v>
      </x:c>
      <x:c r="R127" s="36" t="str">
        <x:v>多视图、手套与双手交接尺度</x:v>
      </x:c>
      <x:c r="S127" s="36" t="str">
        <x:v>09-12</x:v>
      </x:c>
      <x:c r="T127" s="36" t="str">
        <x:v>剧本明确;创作者建议</x:v>
      </x:c>
      <x:c r="U127" s="36" t="str">
        <x:v>已确认</x:v>
      </x:c>
      <x:c r="V127" s="36" t="str">
        <x:v>样品链核心资产</x:v>
      </x:c>
      <x:c r="W127" s="50" t="n">
        <x:f>IF(OR(D127="场景母图",D127="场景多视角"),0,1)</x:f>
        <x:v>1</x:v>
      </x:c>
      <x:c r="X127" s="50" t="n">
        <x:f>IF(LEFT(U127,2)="历史",0,1)</x:f>
        <x:v>1</x:v>
      </x:c>
    </x:row>
    <x:row r="128" ht="44" customHeight="1">
      <x:c r="A128" s="50" t="str">
        <x:v>道具资产</x:v>
      </x:c>
      <x:c r="B128" s="50" t="n">
        <x:v>21</x:v>
      </x:c>
      <x:c r="C128" s="50" t="n">
        <x:v>1</x:v>
      </x:c>
      <x:c r="D128" s="50" t="str">
        <x:v>设备／道具</x:v>
      </x:c>
      <x:c r="E128" s="36" t="str">
        <x:v>月面采样工具</x:v>
      </x:c>
      <x:c r="F128" s="36" t="str">
        <x:v>BY-PRP-P1-001-月面采样工具</x:v>
      </x:c>
      <x:c r="G128" s="36" t="str"/>
      <x:c r="H128" s="50" t="str"/>
      <x:c r="I128" s="50" t="str">
        <x:v>PRP</x:v>
      </x:c>
      <x:c r="J128" s="50" t="str">
        <x:v>P1</x:v>
      </x:c>
      <x:c r="K128" s="36" t="str">
        <x:v>V1.2逐镜映射见data/阶段1_114镜资产调用映射_V1.2.csv</x:v>
      </x:c>
      <x:c r="L128" s="36" t="str">
        <x:v>场7,9；镜045,059,062</x:v>
      </x:c>
      <x:c r="M128" s="36" t="str">
        <x:v>手套可操作的月壤采样工具</x:v>
      </x:c>
      <x:c r="N128" s="36" t="str">
        <x:v>与样品容器和人体尺度匹配</x:v>
      </x:c>
      <x:c r="O128" s="36" t="str">
        <x:v>收纳;使用</x:v>
      </x:c>
      <x:c r="P128" s="36" t="str">
        <x:v>金属、复合材料、低反光</x:v>
      </x:c>
      <x:c r="Q128" s="36" t="str">
        <x:v>月面固定太阳光</x:v>
      </x:c>
      <x:c r="R128" s="36" t="str">
        <x:v>多视图与使用动作参考</x:v>
      </x:c>
      <x:c r="S128" s="36" t="str">
        <x:v>09</x:v>
      </x:c>
      <x:c r="T128" s="36" t="str">
        <x:v>剧本明确;创作者建议</x:v>
      </x:c>
      <x:c r="U128" s="36" t="str">
        <x:v>已确认采用</x:v>
      </x:c>
      <x:c r="V128" s="36" t="str">
        <x:v>月面设备包</x:v>
      </x:c>
      <x:c r="W128" s="50" t="n">
        <x:f>IF(OR(D128="场景母图",D128="场景多视角"),0,1)</x:f>
        <x:v>1</x:v>
      </x:c>
      <x:c r="X128" s="50" t="n">
        <x:f>IF(LEFT(U128,2)="历史",0,1)</x:f>
        <x:v>1</x:v>
      </x:c>
    </x:row>
    <x:row r="129" ht="44" customHeight="1">
      <x:c r="A129" s="50" t="str">
        <x:v>道具资产</x:v>
      </x:c>
      <x:c r="B129" s="50" t="n">
        <x:v>22</x:v>
      </x:c>
      <x:c r="C129" s="50" t="n">
        <x:v>1</x:v>
      </x:c>
      <x:c r="D129" s="50" t="str">
        <x:v>设备／道具</x:v>
      </x:c>
      <x:c r="E129" s="36" t="str">
        <x:v>月壤样品容器</x:v>
      </x:c>
      <x:c r="F129" s="36" t="str">
        <x:v>BY-PRP-P1-002-月壤样品容器</x:v>
      </x:c>
      <x:c r="G129" s="36" t="str"/>
      <x:c r="H129" s="50" t="str"/>
      <x:c r="I129" s="50" t="str">
        <x:v>PRP</x:v>
      </x:c>
      <x:c r="J129" s="50" t="str">
        <x:v>P1</x:v>
      </x:c>
      <x:c r="K129" s="36" t="str">
        <x:v>V1.2逐镜映射见data/阶段1_114镜资产调用映射_V1.2.csv</x:v>
      </x:c>
      <x:c r="L129" s="36" t="str">
        <x:v>场7,9；镜045,059,062</x:v>
      </x:c>
      <x:c r="M129" s="36" t="str">
        <x:v>接收月壤并封闭的内层容器</x:v>
      </x:c>
      <x:c r="N129" s="36" t="str">
        <x:v>可装入密封转移容器</x:v>
      </x:c>
      <x:c r="O129" s="36" t="str">
        <x:v>开启;装样;关闭</x:v>
      </x:c>
      <x:c r="P129" s="36" t="str">
        <x:v>密封结构、低反光</x:v>
      </x:c>
      <x:c r="Q129" s="36" t="str">
        <x:v>月面固定太阳光</x:v>
      </x:c>
      <x:c r="R129" s="36" t="str">
        <x:v>多视图与手套操作参考</x:v>
      </x:c>
      <x:c r="S129" s="36" t="str">
        <x:v>09</x:v>
      </x:c>
      <x:c r="T129" s="36" t="str">
        <x:v>剧本明确;创作者建议</x:v>
      </x:c>
      <x:c r="U129" s="36" t="str">
        <x:v>已确认采用</x:v>
      </x:c>
      <x:c r="V129" s="36" t="str">
        <x:v>样品链资产</x:v>
      </x:c>
      <x:c r="W129" s="50" t="n">
        <x:f>IF(OR(D129="场景母图",D129="场景多视角"),0,1)</x:f>
        <x:v>1</x:v>
      </x:c>
      <x:c r="X129" s="50" t="n">
        <x:f>IF(LEFT(U129,2)="历史",0,1)</x:f>
        <x:v>1</x:v>
      </x:c>
    </x:row>
    <x:row r="130" ht="44" customHeight="1">
      <x:c r="A130" s="50" t="str">
        <x:v>道具资产</x:v>
      </x:c>
      <x:c r="B130" s="50" t="n">
        <x:v>23</x:v>
      </x:c>
      <x:c r="C130" s="50" t="n">
        <x:v>1</x:v>
      </x:c>
      <x:c r="D130" s="50" t="str">
        <x:v>设备／道具</x:v>
      </x:c>
      <x:c r="E130" s="36" t="str">
        <x:v>小型月面科学载荷</x:v>
      </x:c>
      <x:c r="F130" s="36" t="str">
        <x:v>BY-PRP-P1-003-月面科学观测设备</x:v>
      </x:c>
      <x:c r="G130" s="36" t="str"/>
      <x:c r="H130" s="50" t="str"/>
      <x:c r="I130" s="50" t="str">
        <x:v>PRP</x:v>
      </x:c>
      <x:c r="J130" s="50" t="str">
        <x:v>P1</x:v>
      </x:c>
      <x:c r="K130" s="36" t="str">
        <x:v>V1.2逐镜映射见data/阶段1_114镜资产调用映射_V1.2.csv</x:v>
      </x:c>
      <x:c r="L130" s="36" t="str">
        <x:v>场9；镜064</x:v>
      </x:c>
      <x:c r="M130" s="36" t="str">
        <x:v>折叠部署的泛化科学设备</x:v>
      </x:c>
      <x:c r="N130" s="36" t="str">
        <x:v>不锁定未公开型号，动作逻辑可执行</x:v>
      </x:c>
      <x:c r="O130" s="36" t="str">
        <x:v>收纳；搬运；布放；安装后；遥测上线</x:v>
      </x:c>
      <x:c r="P130" s="36" t="str">
        <x:v>金属、复合材料、支撑结构</x:v>
      </x:c>
      <x:c r="Q130" s="36" t="str">
        <x:v>月面固定太阳光</x:v>
      </x:c>
      <x:c r="R130" s="36" t="str">
        <x:v>多视图与双人部署参考</x:v>
      </x:c>
      <x:c r="S130" s="36" t="str">
        <x:v>09</x:v>
      </x:c>
      <x:c r="T130" s="36" t="str">
        <x:v>剧本明确;创作者建议</x:v>
      </x:c>
      <x:c r="U130" s="36" t="str">
        <x:v>已确认</x:v>
      </x:c>
      <x:c r="V130" s="36" t="str">
        <x:v>月面设备包</x:v>
      </x:c>
      <x:c r="W130" s="50" t="n">
        <x:f>IF(OR(D130="场景母图",D130="场景多视角"),0,1)</x:f>
        <x:v>1</x:v>
      </x:c>
      <x:c r="X130" s="50" t="n">
        <x:f>IF(LEFT(U130,2)="历史",0,1)</x:f>
        <x:v>1</x:v>
      </x:c>
    </x:row>
    <x:row r="131" ht="44" customHeight="1">
      <x:c r="A131" s="50" t="str">
        <x:v>道具资产</x:v>
      </x:c>
      <x:c r="B131" s="50" t="n">
        <x:v>24</x:v>
      </x:c>
      <x:c r="C131" s="50" t="n">
        <x:v>1</x:v>
      </x:c>
      <x:c r="D131" s="50" t="str">
        <x:v>设备／道具</x:v>
      </x:c>
      <x:c r="E131" s="36" t="str">
        <x:v>月面工具包与载荷固定系统</x:v>
      </x:c>
      <x:c r="F131" s="36" t="str">
        <x:v>BY-PRP-P1-004-月面工具包与载荷固定系统</x:v>
      </x:c>
      <x:c r="G131" s="36" t="str"/>
      <x:c r="H131" s="50" t="str"/>
      <x:c r="I131" s="50" t="str">
        <x:v>PRP</x:v>
      </x:c>
      <x:c r="J131" s="50" t="str">
        <x:v>P1</x:v>
      </x:c>
      <x:c r="K131" s="36" t="str">
        <x:v>V1.2逐镜映射见data/阶段1_114镜资产调用映射_V1.2.csv</x:v>
      </x:c>
      <x:c r="L131" s="36" t="str">
        <x:v>场7；镜045</x:v>
      </x:c>
      <x:c r="M131" s="36" t="str">
        <x:v>工具、国旗、摄像机和采样载荷的收纳与固定</x:v>
      </x:c>
      <x:c r="N131" s="36" t="str">
        <x:v>与揽月设备舱和登月服动作匹配</x:v>
      </x:c>
      <x:c r="O131" s="36" t="str">
        <x:v>固定;取出;回收</x:v>
      </x:c>
      <x:c r="P131" s="36" t="str">
        <x:v>功能织物、绑带、金属锁止</x:v>
      </x:c>
      <x:c r="Q131" s="36" t="str">
        <x:v>舱内与月面实际光源</x:v>
      </x:c>
      <x:c r="R131" s="36" t="str">
        <x:v>结构图与关系参考</x:v>
      </x:c>
      <x:c r="S131" s="36" t="str">
        <x:v>月面任务</x:v>
      </x:c>
      <x:c r="T131" s="36" t="str">
        <x:v>剧本明确;创作者建议</x:v>
      </x:c>
      <x:c r="U131" s="36" t="str">
        <x:v>已确认</x:v>
      </x:c>
      <x:c r="V131" s="36" t="str">
        <x:v>揽月设备关系切片</x:v>
      </x:c>
      <x:c r="W131" s="50" t="n">
        <x:f>IF(OR(D131="场景母图",D131="场景多视角"),0,1)</x:f>
        <x:v>1</x:v>
      </x:c>
      <x:c r="X131" s="50" t="n">
        <x:f>IF(LEFT(U131,2)="历史",0,1)</x:f>
        <x:v>1</x:v>
      </x:c>
    </x:row>
    <x:row r="132" ht="44" customHeight="1">
      <x:c r="A132" s="50" t="str">
        <x:v>道具资产</x:v>
      </x:c>
      <x:c r="B132" s="50" t="n">
        <x:v>25</x:v>
      </x:c>
      <x:c r="C132" s="50" t="n">
        <x:v>1</x:v>
      </x:c>
      <x:c r="D132" s="50" t="str">
        <x:v>设备／道具</x:v>
      </x:c>
      <x:c r="E132" s="36" t="str">
        <x:v>两器舱门与对接锁止结果件</x:v>
      </x:c>
      <x:c r="F132" s="36" t="str">
        <x:v>BY-PRP-P1-005-两器舱门与对接锁止结果件</x:v>
      </x:c>
      <x:c r="G132" s="36" t="str"/>
      <x:c r="H132" s="50" t="str"/>
      <x:c r="I132" s="50" t="str">
        <x:v>PRP</x:v>
      </x:c>
      <x:c r="J132" s="50" t="str">
        <x:v>P1</x:v>
      </x:c>
      <x:c r="K132" s="36" t="str">
        <x:v>V1.2逐镜映射见data/阶段1_114镜资产调用映射_V1.2.csv</x:v>
      </x:c>
      <x:c r="L132" s="36" t="str">
        <x:v>场3,13；镜013,014,016,018,019,089,092</x:v>
      </x:c>
      <x:c r="M132" s="36" t="str">
        <x:v>梦舟侧与揽月侧舱门、对接锁和密封结果</x:v>
      </x:c>
      <x:c r="N132" s="36" t="str">
        <x:v>明确关闭顺序和两侧差异</x:v>
      </x:c>
      <x:c r="O132" s="36" t="str">
        <x:v>开启;关闭;锁闭;密封;解除</x:v>
      </x:c>
      <x:c r="P132" s="36" t="str">
        <x:v>金属、密封圈、锁止机构</x:v>
      </x:c>
      <x:c r="Q132" s="36" t="str">
        <x:v>舱内与轨道实际光源</x:v>
      </x:c>
      <x:c r="R132" s="36" t="str">
        <x:v>结构局部与状态对照</x:v>
      </x:c>
      <x:c r="S132" s="36" t="str">
        <x:v>对接场次</x:v>
      </x:c>
      <x:c r="T132" s="36" t="str">
        <x:v>剧本明确;创作者建议</x:v>
      </x:c>
      <x:c r="U132" s="36" t="str">
        <x:v>已确认</x:v>
      </x:c>
      <x:c r="V132" s="36" t="str">
        <x:v>与两个舱内场景同步设计</x:v>
      </x:c>
      <x:c r="W132" s="50" t="n">
        <x:f>IF(OR(D132="场景母图",D132="场景多视角"),0,1)</x:f>
        <x:v>1</x:v>
      </x:c>
      <x:c r="X132" s="50" t="n">
        <x:f>IF(LEFT(U132,2)="历史",0,1)</x:f>
        <x:v>1</x:v>
      </x:c>
    </x:row>
    <x:row r="133" ht="44" customHeight="1">
      <x:c r="A133" s="50" t="str">
        <x:v>道具资产</x:v>
      </x:c>
      <x:c r="B133" s="50" t="n">
        <x:v>26</x:v>
      </x:c>
      <x:c r="C133" s="50" t="n">
        <x:v>1</x:v>
      </x:c>
      <x:c r="D133" s="50" t="str">
        <x:v>设备／道具</x:v>
      </x:c>
      <x:c r="E133" s="36" t="str">
        <x:v>舱内操作界面与任务屏</x:v>
      </x:c>
      <x:c r="F133" s="36" t="str">
        <x:v>BY-PRP-P1-006-舱内操作界面与任务屏</x:v>
      </x:c>
      <x:c r="G133" s="36" t="str"/>
      <x:c r="H133" s="50" t="str"/>
      <x:c r="I133" s="50" t="str">
        <x:v>PRP</x:v>
      </x:c>
      <x:c r="J133" s="50" t="str">
        <x:v>P1</x:v>
      </x:c>
      <x:c r="K133" s="36" t="str">
        <x:v>V1.2逐镜映射见data/阶段1_114镜资产调用映射_V1.2.csv</x:v>
      </x:c>
      <x:c r="L133" s="36" t="str">
        <x:v>梦舟、揽月与飞控任务镜头</x:v>
      </x:c>
      <x:c r="M133" s="36" t="str">
        <x:v>无可读参数的结构与光影底图</x:v>
      </x:c>
      <x:c r="N133" s="36" t="str">
        <x:v>显示轨道、姿态、相对导航、生命保障、样品固定与再入参数；信息密度真实但不伪造官方界面。</x:v>
      </x:c>
      <x:c r="O133" s="36" t="str">
        <x:v>常态;状态变化</x:v>
      </x:c>
      <x:c r="P133" s="36" t="str">
        <x:v>低反光屏幕、实体操作区</x:v>
      </x:c>
      <x:c r="Q133" s="36" t="str">
        <x:v>各场实际光源</x:v>
      </x:c>
      <x:c r="R133" s="36" t="str">
        <x:v>建立可读但非官方复刻的统一任务UI组件库；屏幕保持工作状态。</x:v>
      </x:c>
      <x:c r="S133" s="36" t="str">
        <x:v>多场</x:v>
      </x:c>
      <x:c r="T133" s="36" t="str">
        <x:v>项目锁定;创作者建议</x:v>
      </x:c>
      <x:c r="U133" s="36" t="str">
        <x:v>已确认锁定原则</x:v>
      </x:c>
      <x:c r="V133" s="36" t="str">
        <x:v>阶段2只做无文字资产</x:v>
      </x:c>
      <x:c r="W133" s="50" t="n">
        <x:f>IF(OR(D133="场景母图",D133="场景多视角"),0,1)</x:f>
        <x:v>1</x:v>
      </x:c>
      <x:c r="X133" s="50" t="n">
        <x:f>IF(LEFT(U133,2)="历史",0,1)</x:f>
        <x:v>1</x:v>
      </x:c>
    </x:row>
    <x:row r="134" ht="44" customHeight="1">
      <x:c r="A134" s="50" t="str">
        <x:v>道具资产</x:v>
      </x:c>
      <x:c r="B134" s="50" t="n">
        <x:v>27</x:v>
      </x:c>
      <x:c r="C134" s="50" t="n">
        <x:v>1</x:v>
      </x:c>
      <x:c r="D134" s="50" t="str">
        <x:v>设备／道具</x:v>
      </x:c>
      <x:c r="E134" s="36" t="str">
        <x:v>任务数据盒与随身救生包</x:v>
      </x:c>
      <x:c r="F134" s="36" t="str">
        <x:v>BY-PRP-P1-007-任务数据盒与随身救生包</x:v>
      </x:c>
      <x:c r="G134" s="36" t="str"/>
      <x:c r="H134" s="50" t="str"/>
      <x:c r="I134" s="50" t="str">
        <x:v>PRP</x:v>
      </x:c>
      <x:c r="J134" s="50" t="str">
        <x:v>P1</x:v>
      </x:c>
      <x:c r="K134" s="36" t="str">
        <x:v>V1.2逐镜映射见data/阶段1_114镜资产调用映射_V1.2.csv</x:v>
      </x:c>
      <x:c r="L134" s="36" t="str">
        <x:v>场3；镜014</x:v>
      </x:c>
      <x:c r="M134" s="36" t="str">
        <x:v>人员转移前先行跨舱的小型固定任务物品。</x:v>
      </x:c>
      <x:c r="N134" s="36" t="str">
        <x:v>可由戴手套人员沿固定索传递。</x:v>
      </x:c>
      <x:c r="O134" s="36" t="str">
        <x:v>梦舟固定；通道传递；揽月固定</x:v>
      </x:c>
      <x:c r="P134" s="36" t="str">
        <x:v>耐磨织物包、硬壳数据盒、系留点</x:v>
      </x:c>
      <x:c r="Q134" s="36" t="str">
        <x:v>舱内任务光</x:v>
      </x:c>
      <x:c r="R134" s="36" t="str">
        <x:v>道具结构与手套尺度验证</x:v>
      </x:c>
      <x:c r="S134" s="36" t="str">
        <x:v>第3场</x:v>
      </x:c>
      <x:c r="T134" s="36" t="str">
        <x:v>V1.2剧本明确＋项目锁定＋公开工程资料边界</x:v>
      </x:c>
      <x:c r="U134" s="36" t="str">
        <x:v>已确认生产方向</x:v>
      </x:c>
      <x:c r="V134" s="36" t="str">
        <x:v>阶段2A重入后按生产包执行</x:v>
      </x:c>
      <x:c r="W134" s="50" t="n">
        <x:f>IF(OR(D134="场景母图",D134="场景多视角"),0,1)</x:f>
        <x:v>1</x:v>
      </x:c>
      <x:c r="X134" s="50" t="n">
        <x:f>IF(LEFT(U134,2)="历史",0,1)</x:f>
        <x:v>1</x:v>
      </x:c>
    </x:row>
    <x:row r="135" ht="44" customHeight="1">
      <x:c r="A135" s="50" t="str">
        <x:v>道具资产</x:v>
      </x:c>
      <x:c r="B135" s="50" t="n">
        <x:v>28</x:v>
      </x:c>
      <x:c r="C135" s="50" t="n">
        <x:v>1</x:v>
      </x:c>
      <x:c r="D135" s="50" t="str">
        <x:v>设备／道具</x:v>
      </x:c>
      <x:c r="E135" s="36" t="str">
        <x:v>主样品容器编号、封签与固定座</x:v>
      </x:c>
      <x:c r="F135" s="36" t="str">
        <x:v>BY-PRP-P1-008-主样品容器编号与固定座</x:v>
      </x:c>
      <x:c r="G135" s="36" t="str"/>
      <x:c r="H135" s="50" t="str"/>
      <x:c r="I135" s="50" t="str">
        <x:v>PRP</x:v>
      </x:c>
      <x:c r="J135" s="50" t="str">
        <x:v>P1</x:v>
      </x:c>
      <x:c r="K135" s="36" t="str">
        <x:v>V1.2逐镜映射见data/阶段1_114镜资产调用映射_V1.2.csv</x:v>
      </x:c>
      <x:c r="L135" s="36" t="str">
        <x:v>场10,11,13,14,16；镜068,071,076,089,101,113</x:v>
      </x:c>
      <x:c r="M135" s="36" t="str">
        <x:v>承载采样袋并贯穿月面—揽月—梦舟—回收链。</x:v>
      </x:c>
      <x:c r="N135" s="36" t="str">
        <x:v>编号、封签和可读信息后期添加。</x:v>
      </x:c>
      <x:c r="O135" s="36" t="str">
        <x:v>空载；接近上限；封闭；外平台锁止；舱内锁止；跨舱；回收接收</x:v>
      </x:c>
      <x:c r="P135" s="36" t="str">
        <x:v>金属／复合材料硬壳、双重锁止</x:v>
      </x:c>
      <x:c r="Q135" s="36" t="str">
        <x:v>月面与舱内光影分别继承</x:v>
      </x:c>
      <x:c r="R135" s="36" t="str">
        <x:v>与BY-PRP-P0-005形成容器系统</x:v>
      </x:c>
      <x:c r="S135" s="36" t="str">
        <x:v>第9—10、13—16场</x:v>
      </x:c>
      <x:c r="T135" s="36" t="str">
        <x:v>V1.2剧本明确＋项目锁定＋公开工程资料边界</x:v>
      </x:c>
      <x:c r="U135" s="36" t="str">
        <x:v>已确认生产方向</x:v>
      </x:c>
      <x:c r="V135" s="36" t="str">
        <x:v>阶段2A重入后按生产包执行</x:v>
      </x:c>
      <x:c r="W135" s="50" t="n">
        <x:f>IF(OR(D135="场景母图",D135="场景多视角"),0,1)</x:f>
        <x:v>1</x:v>
      </x:c>
      <x:c r="X135" s="50" t="n">
        <x:f>IF(LEFT(U135,2)="历史",0,1)</x:f>
        <x:v>1</x:v>
      </x:c>
    </x:row>
    <x:row r="136" ht="44" customHeight="1">
      <x:c r="A136" s="50" t="str">
        <x:v>道具资产</x:v>
      </x:c>
      <x:c r="B136" s="50" t="n">
        <x:v>29</x:v>
      </x:c>
      <x:c r="C136" s="50" t="n">
        <x:v>1</x:v>
      </x:c>
      <x:c r="D136" s="50" t="str">
        <x:v>设备／道具</x:v>
      </x:c>
      <x:c r="E136" s="36" t="str">
        <x:v>月尘污染控制用品</x:v>
      </x:c>
      <x:c r="F136" s="36" t="str">
        <x:v>BY-PRP-P1-009-污染控制用品</x:v>
      </x:c>
      <x:c r="G136" s="36" t="str"/>
      <x:c r="H136" s="50" t="str"/>
      <x:c r="I136" s="50" t="str">
        <x:v>PRP</x:v>
      </x:c>
      <x:c r="J136" s="50" t="str">
        <x:v>P1</x:v>
      </x:c>
      <x:c r="K136" s="36" t="str">
        <x:v>V1.2逐镜映射见data/阶段1_114镜资产调用映射_V1.2.csv</x:v>
      </x:c>
      <x:c r="L136" s="36" t="str">
        <x:v>场10；镜071</x:v>
      </x:c>
      <x:c r="M136" s="36" t="str">
        <x:v>返舱后擦拭登月服接口和样品容器的工具。</x:v>
      </x:c>
      <x:c r="N136" s="36" t="str">
        <x:v>不表现扬尘和随意脱服。</x:v>
      </x:c>
      <x:c r="O136" s="36" t="str">
        <x:v>收纳；擦拭；封存</x:v>
      </x:c>
      <x:c r="P136" s="36" t="str">
        <x:v>低掉屑擦拭材料、密封袋、固定夹</x:v>
      </x:c>
      <x:c r="Q136" s="36" t="str">
        <x:v>揽月舱内任务光</x:v>
      </x:c>
      <x:c r="R136" s="36" t="str">
        <x:v>道具组轻量结构验证</x:v>
      </x:c>
      <x:c r="S136" s="36" t="str">
        <x:v>第10场</x:v>
      </x:c>
      <x:c r="T136" s="36" t="str">
        <x:v>V1.2剧本明确＋项目锁定＋公开工程资料边界</x:v>
      </x:c>
      <x:c r="U136" s="36" t="str">
        <x:v>已确认生产方向</x:v>
      </x:c>
      <x:c r="V136" s="36" t="str">
        <x:v>阶段2A重入后按生产包执行</x:v>
      </x:c>
      <x:c r="W136" s="50" t="n">
        <x:f>IF(OR(D136="场景母图",D136="场景多视角"),0,1)</x:f>
        <x:v>1</x:v>
      </x:c>
      <x:c r="X136" s="50" t="n">
        <x:f>IF(LEFT(U136,2)="历史",0,1)</x:f>
        <x:v>1</x:v>
      </x:c>
    </x:row>
    <x:row r="137" ht="44" customHeight="1">
      <x:c r="A137" s="50" t="str">
        <x:v>道具资产</x:v>
      </x:c>
      <x:c r="B137" s="50" t="n">
        <x:v>30</x:v>
      </x:c>
      <x:c r="C137" s="50" t="n">
        <x:v>1</x:v>
      </x:c>
      <x:c r="D137" s="50" t="str">
        <x:v>设备／道具</x:v>
      </x:c>
      <x:c r="E137" s="36" t="str">
        <x:v>梦舟返回舱样品柜与锁止</x:v>
      </x:c>
      <x:c r="F137" s="36" t="str">
        <x:v>BY-PRP-P1-010-返回舱样品柜与锁止</x:v>
      </x:c>
      <x:c r="G137" s="36" t="str"/>
      <x:c r="H137" s="50" t="str"/>
      <x:c r="I137" s="50" t="str">
        <x:v>PRP</x:v>
      </x:c>
      <x:c r="J137" s="50" t="str">
        <x:v>P1</x:v>
      </x:c>
      <x:c r="K137" s="36" t="str">
        <x:v>V1.2逐镜映射见data/阶段1_114镜资产调用映射_V1.2.csv</x:v>
      </x:c>
      <x:c r="L137" s="36" t="str">
        <x:v>场14；镜101</x:v>
      </x:c>
      <x:c r="M137" s="36" t="str">
        <x:v>返航时独立固定主样品容器的紧凑柜体。</x:v>
      </x:c>
      <x:c r="N137" s="36" t="str">
        <x:v>与三座承载区不冲突。</x:v>
      </x:c>
      <x:c r="O137" s="36" t="str">
        <x:v>空；容器锁止；回收交接</x:v>
      </x:c>
      <x:c r="P137" s="36" t="str">
        <x:v>暖白设备柜、金属锁扣、软性防撞衬垫</x:v>
      </x:c>
      <x:c r="Q137" s="36" t="str">
        <x:v>梦舟舱内任务光</x:v>
      </x:c>
      <x:c r="R137" s="36" t="str">
        <x:v>与梦舟返航构型联合验证</x:v>
      </x:c>
      <x:c r="S137" s="36" t="str">
        <x:v>第13—16场</x:v>
      </x:c>
      <x:c r="T137" s="36" t="str">
        <x:v>V1.2剧本明确＋项目锁定＋公开工程资料边界</x:v>
      </x:c>
      <x:c r="U137" s="36" t="str">
        <x:v>已确认生产方向</x:v>
      </x:c>
      <x:c r="V137" s="36" t="str">
        <x:v>阶段2A重入后按生产包执行</x:v>
      </x:c>
      <x:c r="W137" s="50" t="n">
        <x:f>IF(OR(D137="场景母图",D137="场景多视角"),0,1)</x:f>
        <x:v>1</x:v>
      </x:c>
      <x:c r="X137" s="50" t="n">
        <x:f>IF(LEFT(U137,2)="历史",0,1)</x:f>
        <x:v>1</x:v>
      </x:c>
    </x:row>
    <x:row r="138" ht="44" customHeight="1">
      <x:c r="A138" s="50" t="str">
        <x:v>道具资产</x:v>
      </x:c>
      <x:c r="B138" s="50" t="n">
        <x:v>31</x:v>
      </x:c>
      <x:c r="C138" s="50" t="n">
        <x:v>1</x:v>
      </x:c>
      <x:c r="D138" s="50" t="str">
        <x:v>设备／道具</x:v>
      </x:c>
      <x:c r="E138" s="36" t="str">
        <x:v>返回舱信标与现场安全处置工具</x:v>
      </x:c>
      <x:c r="F138" s="36" t="str">
        <x:v>BY-PRP-P1-011-返回舱信标与现场安全工具</x:v>
      </x:c>
      <x:c r="G138" s="36" t="str"/>
      <x:c r="H138" s="50" t="str"/>
      <x:c r="I138" s="50" t="str">
        <x:v>PRP</x:v>
      </x:c>
      <x:c r="J138" s="50" t="str">
        <x:v>P1</x:v>
      </x:c>
      <x:c r="K138" s="36" t="str">
        <x:v>V1.2逐镜映射见data/阶段1_114镜资产调用映射_V1.2.csv</x:v>
      </x:c>
      <x:c r="L138" s="36" t="str">
        <x:v>场16；镜111</x:v>
      </x:c>
      <x:c r="M138" s="36" t="str">
        <x:v>着陆后定位、温度／电气安全检查和舱门处置用品。</x:v>
      </x:c>
      <x:c r="N138" s="36" t="str">
        <x:v>不写可读型号和未公布程序。</x:v>
      </x:c>
      <x:c r="O138" s="36" t="str">
        <x:v>信标工作；安全检查；开舱准备</x:v>
      </x:c>
      <x:c r="P138" s="36" t="str">
        <x:v>耐候工程设备、测温和绝缘工具</x:v>
      </x:c>
      <x:c r="Q138" s="36" t="str">
        <x:v>着陆区自然光</x:v>
      </x:c>
      <x:c r="R138" s="36" t="str">
        <x:v>搜救场景道具组</x:v>
      </x:c>
      <x:c r="S138" s="36" t="str">
        <x:v>第15—16场</x:v>
      </x:c>
      <x:c r="T138" s="36" t="str">
        <x:v>V1.2剧本明确＋项目锁定＋公开工程资料边界</x:v>
      </x:c>
      <x:c r="U138" s="36" t="str">
        <x:v>已确认生产方向</x:v>
      </x:c>
      <x:c r="V138" s="36" t="str">
        <x:v>阶段2A重入后按生产包执行</x:v>
      </x:c>
      <x:c r="W138" s="50" t="n">
        <x:f>IF(OR(D138="场景母图",D138="场景多视角"),0,1)</x:f>
        <x:v>1</x:v>
      </x:c>
      <x:c r="X138" s="50" t="n">
        <x:f>IF(LEFT(U138,2)="历史",0,1)</x:f>
        <x:v>1</x:v>
      </x:c>
    </x:row>
    <x:row r="139" ht="44" customHeight="1">
      <x:c r="A139" s="50" t="str">
        <x:v>道具资产</x:v>
      </x:c>
      <x:c r="B139" s="50" t="n">
        <x:v>32</x:v>
      </x:c>
      <x:c r="C139" s="50" t="n">
        <x:v>1</x:v>
      </x:c>
      <x:c r="D139" s="50" t="str">
        <x:v>设备／道具</x:v>
      </x:c>
      <x:c r="E139" s="36" t="str">
        <x:v>东风医监支撑座椅、担架与生命体征设备</x:v>
      </x:c>
      <x:c r="F139" s="36" t="str">
        <x:v>BY-PRP-P0-006-东风医监转移设备</x:v>
      </x:c>
      <x:c r="G139" s="36" t="str"/>
      <x:c r="H139" s="50" t="str"/>
      <x:c r="I139" s="50" t="str">
        <x:v>PRP</x:v>
      </x:c>
      <x:c r="J139" s="50" t="str">
        <x:v>P0</x:v>
      </x:c>
      <x:c r="K139" s="36" t="str">
        <x:v>镜113—116</x:v>
      </x:c>
      <x:c r="L139" s="36" t="str">
        <x:v>第15场</x:v>
      </x:c>
      <x:c r="M139" s="36" t="str">
        <x:v>航天员出舱后的循环、平衡和运动状态评估及转移设备。</x:v>
      </x:c>
      <x:c r="N139" s="36" t="str">
        <x:v>座椅、担架、便携生命体征监测、遮护和固定带属于同一现场套装。</x:v>
      </x:c>
      <x:c r="O139" s="36" t="str">
        <x:v>舱外待命；逐人评估；座椅转移；担架转移；坐姿挥手</x:v>
      </x:c>
      <x:c r="P139" s="36" t="str">
        <x:v>医疗级织物、轻质金属、易消毒表面</x:v>
      </x:c>
      <x:c r="Q139" s="36" t="str">
        <x:v>东风清晨自然光</x:v>
      </x:c>
      <x:c r="R139" s="36" t="str">
        <x:v>人物状态决定座椅或担架，不允许航天员立即自行步行出舱</x:v>
      </x:c>
      <x:c r="S139" s="36" t="str">
        <x:v>返回舱医监回收</x:v>
      </x:c>
      <x:c r="T139" s="36" t="str">
        <x:v>V1.3.1正式分镜稿＋公开资料边界内艺术推演</x:v>
      </x:c>
      <x:c r="U139" s="36" t="str">
        <x:v>阶段1已确认生产方向</x:v>
      </x:c>
      <x:c r="V139" s="36" t="str">
        <x:v>阶段2B建立母资产并按镜头状态派生</x:v>
      </x:c>
      <x:c r="W139" s="50" t="n">
        <x:f>IF(OR(D139="场景母图",D139="场景多视角"),0,1)</x:f>
        <x:v>1</x:v>
      </x:c>
      <x:c r="X139" s="50" t="n">
        <x:f>IF(LEFT(U139,2)="历史",0,1)</x:f>
        <x:v>1</x:v>
      </x:c>
    </x:row>
    <x:row r="140" ht="44" customHeight="1">
      <x:c r="A140" s="50" t="str">
        <x:v>道具资产</x:v>
      </x:c>
      <x:c r="B140" s="50" t="n">
        <x:v>33</x:v>
      </x:c>
      <x:c r="C140" s="50" t="n">
        <x:v>1</x:v>
      </x:c>
      <x:c r="D140" s="50" t="str">
        <x:v>设备／道具</x:v>
      </x:c>
      <x:c r="E140" s="36" t="str">
        <x:v>月球车前向与侧后固定相机组</x:v>
      </x:c>
      <x:c r="F140" s="36" t="str">
        <x:v>BY-PRP-P1-012-月球车任务相机组</x:v>
      </x:c>
      <x:c r="G140" s="36" t="str"/>
      <x:c r="H140" s="50" t="str"/>
      <x:c r="I140" s="50" t="str">
        <x:v>PRP</x:v>
      </x:c>
      <x:c r="J140" s="50" t="str">
        <x:v>P1</x:v>
      </x:c>
      <x:c r="K140" s="36" t="str">
        <x:v>镜68、70、72、74—75</x:v>
      </x:c>
      <x:c r="L140" s="36" t="str">
        <x:v>第9—10场</x:v>
      </x:c>
      <x:c r="M140" s="36" t="str">
        <x:v>探索载人月球车的前向导航相机与侧后任务记录相机。</x:v>
      </x:c>
      <x:c r="N140" s="36" t="str">
        <x:v>机位与车体结构绑定，视野高度、畸变和遮挡稳定。</x:v>
      </x:c>
      <x:c r="O140" s="36" t="str">
        <x:v>前向行驶；侧后科研；返程</x:v>
      </x:c>
      <x:c r="P140" s="36" t="str">
        <x:v>航天级相机外壳与防尘镜罩</x:v>
      </x:c>
      <x:c r="Q140" s="36" t="str">
        <x:v>月面艺术化任务日光</x:v>
      </x:c>
      <x:c r="R140" s="36" t="str">
        <x:v>所有月球车视角复用同一标定参数</x:v>
      </x:c>
      <x:c r="S140" s="36" t="str">
        <x:v>月面科研镜头</x:v>
      </x:c>
      <x:c r="T140" s="36" t="str">
        <x:v>V1.3.1正式分镜稿＋公开资料边界内艺术推演</x:v>
      </x:c>
      <x:c r="U140" s="36" t="str">
        <x:v>阶段1已确认生产方向</x:v>
      </x:c>
      <x:c r="V140" s="36" t="str">
        <x:v>阶段2B建立母资产并按镜头状态派生</x:v>
      </x:c>
      <x:c r="W140" s="50" t="n">
        <x:f>IF(OR(D140="场景母图",D140="场景多视角"),0,1)</x:f>
        <x:v>1</x:v>
      </x:c>
      <x:c r="X140" s="50" t="n">
        <x:f>IF(LEFT(U140,2)="历史",0,1)</x:f>
        <x:v>1</x:v>
      </x:c>
    </x:row>
    <x:row r="141" ht="44" customHeight="1">
      <x:c r="A141" s="50" t="str">
        <x:v>道具资产</x:v>
      </x:c>
      <x:c r="B141" s="50" t="n">
        <x:v>34</x:v>
      </x:c>
      <x:c r="C141" s="50" t="n">
        <x:v>1</x:v>
      </x:c>
      <x:c r="D141" s="50" t="str">
        <x:v>设备／道具</x:v>
      </x:c>
      <x:c r="E141" s="36" t="str">
        <x:v>东风样品接收箱、封签与交接设备</x:v>
      </x:c>
      <x:c r="F141" s="36" t="str">
        <x:v>BY-PRP-P1-013-东风样品接收设备</x:v>
      </x:c>
      <x:c r="G141" s="36" t="str"/>
      <x:c r="H141" s="50" t="str"/>
      <x:c r="I141" s="50" t="str">
        <x:v>PRP</x:v>
      </x:c>
      <x:c r="J141" s="50" t="str">
        <x:v>P1</x:v>
      </x:c>
      <x:c r="K141" s="36" t="str">
        <x:v>镜94、117</x:v>
      </x:c>
      <x:c r="L141" s="36" t="str">
        <x:v>第13、15场</x:v>
      </x:c>
      <x:c r="M141" s="36" t="str">
        <x:v>月球样品密封转运的现场接收箱、编号、封签和交接记录件。</x:v>
      </x:c>
      <x:c r="N141" s="36" t="str">
        <x:v>与主样品容器编号链一致。</x:v>
      </x:c>
      <x:c r="O141" s="36" t="str">
        <x:v>待命检查；编号交接；转运</x:v>
      </x:c>
      <x:c r="P141" s="36" t="str">
        <x:v>密封箱、标识牌、封签和记录终端</x:v>
      </x:c>
      <x:c r="Q141" s="36" t="str">
        <x:v>东风清晨自然光</x:v>
      </x:c>
      <x:c r="R141" s="36" t="str">
        <x:v>与BY-SYM-P1-005共同使用</x:v>
      </x:c>
      <x:c r="S141" s="36" t="str">
        <x:v>样品回收段</x:v>
      </x:c>
      <x:c r="T141" s="36" t="str">
        <x:v>V1.3.1正式分镜稿＋公开资料边界内艺术推演</x:v>
      </x:c>
      <x:c r="U141" s="36" t="str">
        <x:v>阶段1已确认生产方向</x:v>
      </x:c>
      <x:c r="V141" s="36" t="str">
        <x:v>阶段2B建立母资产并按镜头状态派生</x:v>
      </x:c>
      <x:c r="W141" s="50" t="n">
        <x:f>IF(OR(D141="场景母图",D141="场景多视角"),0,1)</x:f>
        <x:v>1</x:v>
      </x:c>
      <x:c r="X141" s="50" t="n">
        <x:f>IF(LEFT(U141,2)="历史",0,1)</x:f>
        <x:v>1</x:v>
      </x:c>
    </x:row>
    <x:row r="142" ht="44" customHeight="1">
      <x:c r="A142" s="50" t="str">
        <x:v>道具资产</x:v>
      </x:c>
      <x:c r="B142" s="50" t="n">
        <x:v>35</x:v>
      </x:c>
      <x:c r="C142" s="50" t="n">
        <x:v>1</x:v>
      </x:c>
      <x:c r="D142" s="50" t="str">
        <x:v>设备／道具</x:v>
      </x:c>
      <x:c r="E142" s="36" t="str">
        <x:v>望宇登月服任务相机与图像链路</x:v>
      </x:c>
      <x:c r="F142" s="36" t="str">
        <x:v>BY-PRP-P1-014-宇航服任务相机</x:v>
      </x:c>
      <x:c r="G142" s="36" t="str"/>
      <x:c r="H142" s="50" t="str"/>
      <x:c r="I142" s="50" t="str">
        <x:v>PRP</x:v>
      </x:c>
      <x:c r="J142" s="50" t="str">
        <x:v>P1</x:v>
      </x:c>
      <x:c r="K142" s="36" t="str">
        <x:v>镜55、57、60、62、71、73—74</x:v>
      </x:c>
      <x:c r="L142" s="36" t="str">
        <x:v>第8—10场</x:v>
      </x:c>
      <x:c r="M142" s="36" t="str">
        <x:v>固定于登月服的第一视角任务记录相机。</x:v>
      </x:c>
      <x:c r="N142" s="36" t="str">
        <x:v>随人物绑定，保持视野高度、手套遮挡和运动节奏一致。</x:v>
      </x:c>
      <x:c r="O142" s="36" t="str">
        <x:v>扶梯；安全检查；采样；钻取；载荷部署</x:v>
      </x:c>
      <x:c r="P142" s="36" t="str">
        <x:v>航天级相机壳体</x:v>
      </x:c>
      <x:c r="Q142" s="36" t="str">
        <x:v>月面艺术化任务日光</x:v>
      </x:c>
      <x:c r="R142" s="36" t="str">
        <x:v>分别绑定杨凛与陈砚服装资产</x:v>
      </x:c>
      <x:c r="S142" s="36" t="str">
        <x:v>月面第一视角</x:v>
      </x:c>
      <x:c r="T142" s="36" t="str">
        <x:v>V1.3.1正式分镜稿＋公开资料边界内艺术推演</x:v>
      </x:c>
      <x:c r="U142" s="36" t="str">
        <x:v>阶段1已确认生产方向</x:v>
      </x:c>
      <x:c r="V142" s="36" t="str">
        <x:v>阶段2B建立母资产并按镜头状态派生</x:v>
      </x:c>
      <x:c r="W142" s="50" t="n">
        <x:f>IF(OR(D142="场景母图",D142="场景多视角"),0,1)</x:f>
        <x:v>1</x:v>
      </x:c>
      <x:c r="X142" s="50" t="n">
        <x:f>IF(LEFT(U142,2)="历史",0,1)</x:f>
        <x:v>1</x:v>
      </x:c>
    </x:row>
    <x:row r="143" ht="44" customHeight="1">
      <x:c r="A143" s="50" t="str">
        <x:v>道具资产</x:v>
      </x:c>
      <x:c r="B143" s="50" t="n">
        <x:v>36</x:v>
      </x:c>
      <x:c r="C143" s="50" t="n">
        <x:v>1</x:v>
      </x:c>
      <x:c r="D143" s="50" t="str">
        <x:v>设备／道具</x:v>
      </x:c>
      <x:c r="E143" s="36" t="str">
        <x:v>梦舟／揽月任务相机组</x:v>
      </x:c>
      <x:c r="F143" s="36" t="str">
        <x:v>BY-PRP-P1-015-航天器任务相机组</x:v>
      </x:c>
      <x:c r="G143" s="36" t="str"/>
      <x:c r="H143" s="50" t="str"/>
      <x:c r="I143" s="50" t="str">
        <x:v>PRP</x:v>
      </x:c>
      <x:c r="J143" s="50" t="str">
        <x:v>P1</x:v>
      </x:c>
      <x:c r="K143" s="36" t="str">
        <x:v>对接口、下视、着陆腿、外部固定及返回外部任务镜头</x:v>
      </x:c>
      <x:c r="L143" s="36" t="str">
        <x:v>第2、5—8、11、14场</x:v>
      </x:c>
      <x:c r="M143" s="36" t="str">
        <x:v>对接口监视、揽月下视与着陆腿、舱外固定、梦舟外部返回任务相机。</x:v>
      </x:c>
      <x:c r="N143" s="36" t="str">
        <x:v>每类相机固定在可解释位置，画面畸变、遮挡和相对运动一致。</x:v>
      </x:c>
      <x:c r="O143" s="36" t="str">
        <x:v>对接；分离；下降；触月；出舱；再对接；返回</x:v>
      </x:c>
      <x:c r="P143" s="36" t="str">
        <x:v>航天级相机外壳与光学窗口</x:v>
      </x:c>
      <x:c r="Q143" s="36" t="str">
        <x:v>随载具环境变化</x:v>
      </x:c>
      <x:c r="R143" s="36" t="str">
        <x:v>任务证据视角优先于视觉重建</x:v>
      </x:c>
      <x:c r="S143" s="36" t="str">
        <x:v>航天器关键动作证明</x:v>
      </x:c>
      <x:c r="T143" s="36" t="str">
        <x:v>V1.3.1正式分镜稿＋公开资料边界内艺术推演</x:v>
      </x:c>
      <x:c r="U143" s="36" t="str">
        <x:v>阶段1已确认生产方向</x:v>
      </x:c>
      <x:c r="V143" s="36" t="str">
        <x:v>阶段2B建立母资产并按镜头状态派生</x:v>
      </x:c>
      <x:c r="W143" s="50" t="n">
        <x:f>IF(OR(D143="场景母图",D143="场景多视角"),0,1)</x:f>
        <x:v>1</x:v>
      </x:c>
      <x:c r="X143" s="50" t="n">
        <x:f>IF(LEFT(U143,2)="历史",0,1)</x:f>
        <x:v>1</x:v>
      </x:c>
    </x:row>
    <x:row r="144" ht="44" customHeight="1">
      <x:c r="A144" s="50" t="str">
        <x:v>特殊资产</x:v>
      </x:c>
      <x:c r="B144" s="50" t="n">
        <x:v>1</x:v>
      </x:c>
      <x:c r="C144" s="50" t="n">
        <x:v>1</x:v>
      </x:c>
      <x:c r="D144" s="50" t="str">
        <x:v>动作链</x:v>
      </x:c>
      <x:c r="E144" s="36" t="str">
        <x:v>梦舟三座四种乘员状态动作链</x:v>
      </x:c>
      <x:c r="F144" s="36" t="str">
        <x:v>BY-ANM-P0-001-梦舟四种乘员状态</x:v>
      </x:c>
      <x:c r="G144" s="36" t="str"/>
      <x:c r="H144" s="50" t="str"/>
      <x:c r="I144" s="50" t="str">
        <x:v>ANM</x:v>
      </x:c>
      <x:c r="J144" s="50" t="str">
        <x:v>P0</x:v>
      </x:c>
      <x:c r="K144" s="36" t="str">
        <x:v>镜5、8、12、17、19、25、82、86、97—109</x:v>
      </x:c>
      <x:c r="L144" s="36" t="str">
        <x:v>第1—3、5、11、14—15场</x:v>
      </x:c>
      <x:c r="M144" s="36" t="str">
        <x:v>三座满员、两座空置、一人环月值守、三人重聚与返航承载的动作连续。</x:v>
      </x:c>
      <x:c r="N144" s="36" t="str">
        <x:v>人物离座、锁座、归位、样品固定和再入约束动作连续。</x:v>
      </x:c>
      <x:c r="O144" s="36" t="str">
        <x:v>A满员；B一人值守；C重聚；D再入着陆</x:v>
      </x:c>
      <x:c r="P144" s="36" t="str">
        <x:v>人物与座椅绑定动画</x:v>
      </x:c>
      <x:c r="Q144" s="36" t="str">
        <x:v>梦舟舱内</x:v>
      </x:c>
      <x:c r="R144" s="36" t="str">
        <x:v>不得改变舱内几何和座椅朝向</x:v>
      </x:c>
      <x:c r="S144" s="36" t="str">
        <x:v>梦舟全片</x:v>
      </x:c>
      <x:c r="T144" s="36" t="str">
        <x:v>V1.3.1正式分镜稿＋公开资料边界内艺术推演</x:v>
      </x:c>
      <x:c r="U144" s="36" t="str">
        <x:v>阶段1已确认生产方向</x:v>
      </x:c>
      <x:c r="V144" s="36" t="str">
        <x:v>阶段2B建立母资产并按镜头状态派生</x:v>
      </x:c>
      <x:c r="W144" s="50" t="n">
        <x:f>IF(OR(D144="场景母图",D144="场景多视角"),0,1)</x:f>
        <x:v>1</x:v>
      </x:c>
      <x:c r="X144" s="50" t="n">
        <x:f>IF(LEFT(U144,2)="历史",0,1)</x:f>
        <x:v>1</x:v>
      </x:c>
    </x:row>
    <x:row r="145" ht="44" customHeight="1">
      <x:c r="A145" s="50" t="str">
        <x:v>特殊资产</x:v>
      </x:c>
      <x:c r="B145" s="50" t="n">
        <x:v>2</x:v>
      </x:c>
      <x:c r="C145" s="50" t="n">
        <x:v>1</x:v>
      </x:c>
      <x:c r="D145" s="50" t="str">
        <x:v>动作链</x:v>
      </x:c>
      <x:c r="E145" s="36" t="str">
        <x:v>揽月下降、着陆、单人出舱与月面起飞动作链</x:v>
      </x:c>
      <x:c r="F145" s="36" t="str">
        <x:v>BY-ANM-P0-002-揽月下降出舱起飞链</x:v>
      </x:c>
      <x:c r="G145" s="36" t="str"/>
      <x:c r="H145" s="50" t="str"/>
      <x:c r="I145" s="50" t="str">
        <x:v>ANM</x:v>
      </x:c>
      <x:c r="J145" s="50" t="str">
        <x:v>P0</x:v>
      </x:c>
      <x:c r="K145" s="36" t="str">
        <x:v>镜24、32—60、77—85</x:v>
      </x:c>
      <x:c r="L145" s="36" t="str">
        <x:v>第5—8、11场</x:v>
      </x:c>
      <x:c r="M145" s="36" t="str">
        <x:v>下降约束、着陆检查、单人通行出舱、回舱增压、起飞与再对接。</x:v>
      </x:c>
      <x:c r="N145" s="36" t="str">
        <x:v>舱口和扶梯一次只容纳一人，样品和工具先于人员回舱。</x:v>
      </x:c>
      <x:c r="O145" s="36" t="str">
        <x:v>下降；触月；六小时准备；杨凛先出；陈砚后出；回舱；起飞；再对接</x:v>
      </x:c>
      <x:c r="P145" s="36" t="str">
        <x:v>人物、舱门、扶梯与载具绑定动画</x:v>
      </x:c>
      <x:c r="Q145" s="36" t="str">
        <x:v>揽月舱内与月面</x:v>
      </x:c>
      <x:c r="R145" s="36" t="str">
        <x:v>关键动作按镜头证据链制作</x:v>
      </x:c>
      <x:c r="S145" s="36" t="str">
        <x:v>登月主流程</x:v>
      </x:c>
      <x:c r="T145" s="36" t="str">
        <x:v>V1.3.1正式分镜稿＋公开资料边界内艺术推演</x:v>
      </x:c>
      <x:c r="U145" s="36" t="str">
        <x:v>阶段1已确认生产方向</x:v>
      </x:c>
      <x:c r="V145" s="36" t="str">
        <x:v>阶段2B建立母资产并按镜头状态派生</x:v>
      </x:c>
      <x:c r="W145" s="50" t="n">
        <x:f>IF(OR(D145="场景母图",D145="场景多视角"),0,1)</x:f>
        <x:v>1</x:v>
      </x:c>
      <x:c r="X145" s="50" t="n">
        <x:f>IF(LEFT(U145,2)="历史",0,1)</x:f>
        <x:v>1</x:v>
      </x:c>
    </x:row>
    <x:row r="146" ht="44" customHeight="1">
      <x:c r="A146" s="50" t="str">
        <x:v>特殊资产</x:v>
      </x:c>
      <x:c r="B146" s="50" t="n">
        <x:v>3</x:v>
      </x:c>
      <x:c r="C146" s="50" t="n">
        <x:v>1</x:v>
      </x:c>
      <x:c r="D146" s="50" t="str">
        <x:v>动作链</x:v>
      </x:c>
      <x:c r="E146" s="36" t="str">
        <x:v>月面科研与时间压缩动作链</x:v>
      </x:c>
      <x:c r="F146" s="36" t="str">
        <x:v>BY-ANM-P1-001-月面科研时间压缩</x:v>
      </x:c>
      <x:c r="G146" s="36" t="str"/>
      <x:c r="H146" s="50" t="str"/>
      <x:c r="I146" s="50" t="str">
        <x:v>ANM</x:v>
      </x:c>
      <x:c r="J146" s="50" t="str">
        <x:v>P1</x:v>
      </x:c>
      <x:c r="K146" s="36" t="str">
        <x:v>镜61—76</x:v>
      </x:c>
      <x:c r="L146" s="36" t="str">
        <x:v>第9—10场</x:v>
      </x:c>
      <x:c r="M146" s="36" t="str">
        <x:v>相机部署后国旗、月球车、采样、钻取、载荷部署和返程。</x:v>
      </x:c>
      <x:c r="N146" s="36" t="str">
        <x:v>固定相机、宇航服相机和月球车相机之间保持空间与时间连续。</x:v>
      </x:c>
      <x:c r="O146" s="36" t="str">
        <x:v>T+06:20；T+08:20；T+10:40；T+12:50；T+13:40</x:v>
      </x:c>
      <x:c r="P146" s="36" t="str">
        <x:v>低重力人物与车辆动作</x:v>
      </x:c>
      <x:c r="Q146" s="36" t="str">
        <x:v>月面艺术化任务日光</x:v>
      </x:c>
      <x:c r="R146" s="36" t="str">
        <x:v>无外部空气传播声</x:v>
      </x:c>
      <x:c r="S146" s="36" t="str">
        <x:v>月面科研段</x:v>
      </x:c>
      <x:c r="T146" s="36" t="str">
        <x:v>V1.3.1正式分镜稿＋公开资料边界内艺术推演</x:v>
      </x:c>
      <x:c r="U146" s="36" t="str">
        <x:v>阶段1已确认生产方向</x:v>
      </x:c>
      <x:c r="V146" s="36" t="str">
        <x:v>阶段2B建立母资产并按镜头状态派生</x:v>
      </x:c>
      <x:c r="W146" s="50" t="n">
        <x:f>IF(OR(D146="场景母图",D146="场景多视角"),0,1)</x:f>
        <x:v>1</x:v>
      </x:c>
      <x:c r="X146" s="50" t="n">
        <x:f>IF(LEFT(U146,2)="历史",0,1)</x:f>
        <x:v>1</x:v>
      </x:c>
    </x:row>
    <x:row r="147" ht="44" customHeight="1">
      <x:c r="A147" s="50" t="str">
        <x:v>特殊资产</x:v>
      </x:c>
      <x:c r="B147" s="50" t="n">
        <x:v>4</x:v>
      </x:c>
      <x:c r="C147" s="50" t="n">
        <x:v>1</x:v>
      </x:c>
      <x:c r="D147" s="50" t="str">
        <x:v>动作链</x:v>
      </x:c>
      <x:c r="E147" s="36" t="str">
        <x:v>东风搜救、安全处置、开舱与人员转移动作链</x:v>
      </x:c>
      <x:c r="F147" s="36" t="str">
        <x:v>BY-ANM-P1-002-东风搜救开舱转移</x:v>
      </x:c>
      <x:c r="G147" s="36" t="str"/>
      <x:c r="H147" s="50" t="str"/>
      <x:c r="I147" s="50" t="str">
        <x:v>ANM</x:v>
      </x:c>
      <x:c r="J147" s="50" t="str">
        <x:v>P1</x:v>
      </x:c>
      <x:c r="K147" s="36" t="str">
        <x:v>镜107—117</x:v>
      </x:c>
      <x:c r="L147" s="36" t="str">
        <x:v>第15场</x:v>
      </x:c>
      <x:c r="M147" s="36" t="str">
        <x:v>着陆、时间压缩、搜救抵达、安全检测、开舱评估、座椅／担架转移和样品交接。</x:v>
      </x:c>
      <x:c r="N147" s="36" t="str">
        <x:v>先安全后开舱，先评估后转移，航天员不立即独立站立。</x:v>
      </x:c>
      <x:c r="O147" s="36" t="str">
        <x:v>着陆；搜救抵达；安全处置；开舱；评估；转移；挥手；样品交接</x:v>
      </x:c>
      <x:c r="P147" s="36" t="str">
        <x:v>返回舱、人员、车辆和医疗器材绑定动画</x:v>
      </x:c>
      <x:c r="Q147" s="36" t="str">
        <x:v>东风黎明至清晨</x:v>
      </x:c>
      <x:c r="R147" s="36" t="str">
        <x:v>保持专业工作节奏</x:v>
      </x:c>
      <x:c r="S147" s="36" t="str">
        <x:v>返回回收段</x:v>
      </x:c>
      <x:c r="T147" s="36" t="str">
        <x:v>V1.3.1正式分镜稿＋公开资料边界内艺术推演</x:v>
      </x:c>
      <x:c r="U147" s="36" t="str">
        <x:v>阶段1已确认生产方向</x:v>
      </x:c>
      <x:c r="V147" s="36" t="str">
        <x:v>阶段2B建立母资产并按镜头状态派生</x:v>
      </x:c>
      <x:c r="W147" s="50" t="n">
        <x:f>IF(OR(D147="场景母图",D147="场景多视角"),0,1)</x:f>
        <x:v>1</x:v>
      </x:c>
      <x:c r="X147" s="50" t="n">
        <x:f>IF(LEFT(U147,2)="历史",0,1)</x:f>
        <x:v>1</x:v>
      </x:c>
    </x:row>
    <x:row r="148" ht="44" customHeight="1">
      <x:c r="A148" s="52" t="str">
        <x:v>特殊资产</x:v>
      </x:c>
      <x:c r="B148" s="52" t="n">
        <x:v>5</x:v>
      </x:c>
      <x:c r="C148" s="52" t="n">
        <x:v>1</x:v>
      </x:c>
      <x:c r="D148" s="52" t="str">
        <x:v>光照</x:v>
      </x:c>
      <x:c r="E148" s="41" t="str">
        <x:v>演播室中性直播光</x:v>
      </x:c>
      <x:c r="F148" s="41" t="str">
        <x:v>BY-LGT-P1-001-演播室中性直播光</x:v>
      </x:c>
      <x:c r="G148" s="41" t="str"/>
      <x:c r="H148" s="52" t="str"/>
      <x:c r="I148" s="52" t="str">
        <x:v>LGT</x:v>
      </x:c>
      <x:c r="J148" s="52" t="str">
        <x:v>P1</x:v>
      </x:c>
      <x:c r="K148" s="41" t="str">
        <x:v>01-02场</x:v>
      </x:c>
      <x:c r="L148" s="41" t="str">
        <x:v>历史V1.1</x:v>
      </x:c>
      <x:c r="M148" s="41" t="str">
        <x:v>克制直播光，人物清楚不过度美容</x:v>
      </x:c>
      <x:c r="N148" s="41" t="str">
        <x:v>大屏只提供有限反射</x:v>
      </x:c>
      <x:c r="O148" s="41" t="str">
        <x:v>主播;专家</x:v>
      </x:c>
      <x:c r="P148" s="41" t="str">
        <x:v>中性偏冷、低反差</x:v>
      </x:c>
      <x:c r="Q148" s="41" t="str">
        <x:v>演播室实用光</x:v>
      </x:c>
      <x:c r="R148" s="41" t="str">
        <x:v>场景光影变体</x:v>
      </x:c>
      <x:c r="S148" s="41" t="str">
        <x:v>01-02</x:v>
      </x:c>
      <x:c r="T148" s="41" t="str">
        <x:v>创作者建议</x:v>
      </x:c>
      <x:c r="U148" s="41" t="str">
        <x:v>历史停用（V1.2不调用）</x:v>
      </x:c>
      <x:c r="V148" s="41" t="str">
        <x:v>随演播室停用</x:v>
      </x:c>
      <x:c r="W148" s="52" t="n">
        <x:f>IF(OR(D148="场景母图",D148="场景多视角"),0,1)</x:f>
        <x:v>1</x:v>
      </x:c>
      <x:c r="X148" s="52" t="n">
        <x:f>IF(LEFT(U148,2)="历史",0,1)</x:f>
        <x:v>0</x:v>
      </x:c>
    </x:row>
    <x:row r="149" ht="44" customHeight="1">
      <x:c r="A149" s="52" t="str">
        <x:v>特殊资产</x:v>
      </x:c>
      <x:c r="B149" s="52" t="n">
        <x:v>6</x:v>
      </x:c>
      <x:c r="C149" s="52" t="n">
        <x:v>1</x:v>
      </x:c>
      <x:c r="D149" s="52" t="str">
        <x:v>光照</x:v>
      </x:c>
      <x:c r="E149" s="41" t="str">
        <x:v>文昌夜间发射光</x:v>
      </x:c>
      <x:c r="F149" s="41" t="str">
        <x:v>BY-LGT-P1-002-文昌夜间发射光</x:v>
      </x:c>
      <x:c r="G149" s="41" t="str"/>
      <x:c r="H149" s="52" t="str"/>
      <x:c r="I149" s="52" t="str">
        <x:v>LGT</x:v>
      </x:c>
      <x:c r="J149" s="52" t="str">
        <x:v>P1</x:v>
      </x:c>
      <x:c r="K149" s="41" t="str">
        <x:v>01场</x:v>
      </x:c>
      <x:c r="L149" s="41" t="str">
        <x:v>历史V1.1</x:v>
      </x:c>
      <x:c r="M149" s="41" t="str">
        <x:v>发射场实用光叠加发动机火焰</x:v>
      </x:c>
      <x:c r="N149" s="41" t="str">
        <x:v>地面烟气和塔架受光真实</x:v>
      </x:c>
      <x:c r="O149" s="41" t="str">
        <x:v>点火前;点火后</x:v>
      </x:c>
      <x:c r="P149" s="41" t="str">
        <x:v>高亮火焰、夜间工业照明</x:v>
      </x:c>
      <x:c r="Q149" s="41" t="str">
        <x:v>地球大气夜景</x:v>
      </x:c>
      <x:c r="R149" s="41" t="str">
        <x:v>场景光影状态</x:v>
      </x:c>
      <x:c r="S149" s="41" t="str">
        <x:v>01</x:v>
      </x:c>
      <x:c r="T149" s="41" t="str">
        <x:v>剧本明确;科学约束</x:v>
      </x:c>
      <x:c r="U149" s="41" t="str">
        <x:v>历史停用（V1.2不调用）</x:v>
      </x:c>
      <x:c r="V149" s="41" t="str">
        <x:v>随发射场停用</x:v>
      </x:c>
      <x:c r="W149" s="52" t="n">
        <x:f>IF(OR(D149="场景母图",D149="场景多视角"),0,1)</x:f>
        <x:v>1</x:v>
      </x:c>
      <x:c r="X149" s="52" t="n">
        <x:f>IF(LEFT(U149,2)="历史",0,1)</x:f>
        <x:v>0</x:v>
      </x:c>
    </x:row>
    <x:row r="150" ht="44" customHeight="1">
      <x:c r="A150" s="50" t="str">
        <x:v>特殊资产</x:v>
      </x:c>
      <x:c r="B150" s="50" t="n">
        <x:v>7</x:v>
      </x:c>
      <x:c r="C150" s="50" t="n">
        <x:v>1</x:v>
      </x:c>
      <x:c r="D150" s="50" t="str">
        <x:v>光照</x:v>
      </x:c>
      <x:c r="E150" s="36" t="str">
        <x:v>梦舟舱内任务光</x:v>
      </x:c>
      <x:c r="F150" s="36" t="str">
        <x:v>BY-LGT-P0-001-梦舟舱内任务光</x:v>
      </x:c>
      <x:c r="G150" s="36" t="str"/>
      <x:c r="H150" s="50" t="str"/>
      <x:c r="I150" s="50" t="str">
        <x:v>LGT</x:v>
      </x:c>
      <x:c r="J150" s="50" t="str">
        <x:v>P0</x:v>
      </x:c>
      <x:c r="K150" s="36" t="str">
        <x:v>V1.2逐镜映射见data/阶段1_114镜资产调用映射_V1.2.csv</x:v>
      </x:c>
      <x:c r="L150" s="36" t="str">
        <x:v>场1,2,3,9,11,12,13,14,15；镜004,007,015,018,063,079,081,090,094,101,103</x:v>
      </x:c>
      <x:c r="M150" s="36" t="str">
        <x:v>稳定舱内实用光和屏幕反射</x:v>
      </x:c>
      <x:c r="N150" s="36" t="str">
        <x:v>三座椅、通道和脸部可读</x:v>
      </x:c>
      <x:c r="O150" s="36" t="str">
        <x:v>发射;巡航;对接</x:v>
      </x:c>
      <x:c r="P150" s="36" t="str">
        <x:v>中性偏冷、低反光</x:v>
      </x:c>
      <x:c r="Q150" s="36" t="str">
        <x:v>舱内封闭环境</x:v>
      </x:c>
      <x:c r="R150" s="36" t="str">
        <x:v>做进场景母图</x:v>
      </x:c>
      <x:c r="S150" s="36" t="str">
        <x:v>梦舟舱内</x:v>
      </x:c>
      <x:c r="T150" s="36" t="str">
        <x:v>剧本明确;创作者建议</x:v>
      </x:c>
      <x:c r="U150" s="36" t="str">
        <x:v>已确认</x:v>
      </x:c>
      <x:c r="V150" s="36" t="str">
        <x:v>梦舟场景母图先锁定</x:v>
      </x:c>
      <x:c r="W150" s="50" t="n">
        <x:f>IF(OR(D150="场景母图",D150="场景多视角"),0,1)</x:f>
        <x:v>1</x:v>
      </x:c>
      <x:c r="X150" s="50" t="n">
        <x:f>IF(LEFT(U150,2)="历史",0,1)</x:f>
        <x:v>1</x:v>
      </x:c>
    </x:row>
    <x:row r="151" ht="44" customHeight="1">
      <x:c r="A151" s="50" t="str">
        <x:v>特殊资产</x:v>
      </x:c>
      <x:c r="B151" s="50" t="n">
        <x:v>8</x:v>
      </x:c>
      <x:c r="C151" s="50" t="n">
        <x:v>1</x:v>
      </x:c>
      <x:c r="D151" s="50" t="str">
        <x:v>光照</x:v>
      </x:c>
      <x:c r="E151" s="36" t="str">
        <x:v>揽月下降任务光</x:v>
      </x:c>
      <x:c r="F151" s="36" t="str">
        <x:v>BY-LGT-P0-002-揽月下降任务光</x:v>
      </x:c>
      <x:c r="G151" s="36" t="str"/>
      <x:c r="H151" s="50" t="str"/>
      <x:c r="I151" s="50" t="str">
        <x:v>LGT</x:v>
      </x:c>
      <x:c r="J151" s="50" t="str">
        <x:v>P0</x:v>
      </x:c>
      <x:c r="K151" s="36" t="str">
        <x:v>V1.2逐镜映射见data/阶段1_114镜资产调用映射_V1.2.csv</x:v>
      </x:c>
      <x:c r="L151" s="36" t="str">
        <x:v>场2,3,4,5,6,7,10,11,12；镜009,011,017,019,023,029,032,036,038,040,043,044,045,046,069,070,071,073,076,082</x:v>
      </x:c>
      <x:c r="M151" s="36" t="str">
        <x:v>下降阶段稳定任务光</x:v>
      </x:c>
      <x:c r="N151" s="36" t="str">
        <x:v>不使用危机红灯和无理由闪烁</x:v>
      </x:c>
      <x:c r="O151" s="36" t="str">
        <x:v>下降;触月后</x:v>
      </x:c>
      <x:c r="P151" s="36" t="str">
        <x:v>中性任务光、屏幕反射</x:v>
      </x:c>
      <x:c r="Q151" s="36" t="str">
        <x:v>揽月舱内</x:v>
      </x:c>
      <x:c r="R151" s="36" t="str">
        <x:v>做进场景母图</x:v>
      </x:c>
      <x:c r="S151" s="36" t="str">
        <x:v>揽月舱内</x:v>
      </x:c>
      <x:c r="T151" s="36" t="str">
        <x:v>剧本明确;创作者建议</x:v>
      </x:c>
      <x:c r="U151" s="36" t="str">
        <x:v>已确认</x:v>
      </x:c>
      <x:c r="V151" s="36" t="str">
        <x:v>揽月场景母图先锁定</x:v>
      </x:c>
      <x:c r="W151" s="50" t="n">
        <x:f>IF(OR(D151="场景母图",D151="场景多视角"),0,1)</x:f>
        <x:v>1</x:v>
      </x:c>
      <x:c r="X151" s="50" t="n">
        <x:f>IF(LEFT(U151,2)="历史",0,1)</x:f>
        <x:v>1</x:v>
      </x:c>
    </x:row>
    <x:row r="152" ht="44" customHeight="1">
      <x:c r="A152" s="50" t="str">
        <x:v>特殊资产</x:v>
      </x:c>
      <x:c r="B152" s="50" t="n">
        <x:v>9</x:v>
      </x:c>
      <x:c r="C152" s="50" t="n">
        <x:v>1</x:v>
      </x:c>
      <x:c r="D152" s="50" t="str">
        <x:v>光照</x:v>
      </x:c>
      <x:c r="E152" s="36" t="str">
        <x:v>飞控大厅任务光</x:v>
      </x:c>
      <x:c r="F152" s="36" t="str">
        <x:v>BY-LGT-P1-003-飞控大厅任务光</x:v>
      </x:c>
      <x:c r="G152" s="36" t="str"/>
      <x:c r="H152" s="50" t="str"/>
      <x:c r="I152" s="50" t="str">
        <x:v>LGT</x:v>
      </x:c>
      <x:c r="J152" s="50" t="str">
        <x:v>P1</x:v>
      </x:c>
      <x:c r="K152" s="36" t="str">
        <x:v>V1.2逐镜映射见data/阶段1_114镜资产调用映射_V1.2.csv</x:v>
      </x:c>
      <x:c r="L152" s="36" t="str">
        <x:v>场2,4,5,6,8,10,11,12,14,15,16；镜006,012,022,028,031,035,041,053,072,077,083,088,097,104,107,113</x:v>
      </x:c>
      <x:c r="M152" s="36" t="str">
        <x:v>冷色办公实用光和屏幕反射</x:v>
      </x:c>
      <x:c r="N152" s="36" t="str">
        <x:v>群像层级清楚，不做舞台光</x:v>
      </x:c>
      <x:c r="O152" s="36" t="str">
        <x:v>常态;着陆确认</x:v>
      </x:c>
      <x:c r="P152" s="36" t="str">
        <x:v>冷色办公光</x:v>
      </x:c>
      <x:c r="Q152" s="36" t="str">
        <x:v>飞控大厅</x:v>
      </x:c>
      <x:c r="R152" s="36" t="str">
        <x:v>做进场景母图</x:v>
      </x:c>
      <x:c r="S152" s="36" t="str">
        <x:v>飞控场景</x:v>
      </x:c>
      <x:c r="T152" s="36" t="str">
        <x:v>剧本明确;创作者建议</x:v>
      </x:c>
      <x:c r="U152" s="36" t="str">
        <x:v>已确认采用</x:v>
      </x:c>
      <x:c r="V152" s="36" t="str">
        <x:v>关联新P0北京飞控大厅资产</x:v>
      </x:c>
      <x:c r="W152" s="50" t="n">
        <x:f>IF(OR(D152="场景母图",D152="场景多视角"),0,1)</x:f>
        <x:v>1</x:v>
      </x:c>
      <x:c r="X152" s="50" t="n">
        <x:f>IF(LEFT(U152,2)="历史",0,1)</x:f>
        <x:v>1</x:v>
      </x:c>
    </x:row>
    <x:row r="153" ht="44" customHeight="1">
      <x:c r="A153" s="52" t="str">
        <x:v>特殊资产</x:v>
      </x:c>
      <x:c r="B153" s="52" t="n">
        <x:v>10</x:v>
      </x:c>
      <x:c r="C153" s="52" t="n">
        <x:v>1</x:v>
      </x:c>
      <x:c r="D153" s="52" t="str">
        <x:v>光照</x:v>
      </x:c>
      <x:c r="E153" s="41" t="str">
        <x:v>月面固定太阳光</x:v>
      </x:c>
      <x:c r="F153" s="41" t="str">
        <x:v>BY-LGT-P0-003-月面固定太阳光</x:v>
      </x:c>
      <x:c r="G153" s="41" t="str"/>
      <x:c r="H153" s="52" t="str"/>
      <x:c r="I153" s="52" t="str">
        <x:v>LGT</x:v>
      </x:c>
      <x:c r="J153" s="52" t="str">
        <x:v>P0</x:v>
      </x:c>
      <x:c r="K153" s="41" t="str">
        <x:v>04-10场</x:v>
      </x:c>
      <x:c r="L153" s="41" t="str">
        <x:v>历史V1.1</x:v>
      </x:c>
      <x:c r="M153" s="41" t="str">
        <x:v>单一硬太阳光、黑天空、深阴影和有限地表反射</x:v>
      </x:c>
      <x:c r="N153" s="41" t="str">
        <x:v>阶段2锁定太阳方位和高度，全段不得翻转</x:v>
      </x:c>
      <x:c r="O153" s="41" t="str">
        <x:v>下降;着陆;EVA;起飞</x:v>
      </x:c>
      <x:c r="P153" s="41" t="str">
        <x:v>灰色月壤、硬阴影</x:v>
      </x:c>
      <x:c r="Q153" s="41" t="str">
        <x:v>高真空月面</x:v>
      </x:c>
      <x:c r="R153" s="41" t="str">
        <x:v>做进月面场景母图</x:v>
      </x:c>
      <x:c r="S153" s="41" t="str">
        <x:v>全部月面镜头</x:v>
      </x:c>
      <x:c r="T153" s="41" t="str">
        <x:v>项目锁定;科学约束</x:v>
      </x:c>
      <x:c r="U153" s="41" t="str">
        <x:v>历史停用（V1.2不调用）</x:v>
      </x:c>
      <x:c r="V153" s="41" t="str">
        <x:v>由明确承担天文偏差的BY-LGT-P0-004替代</x:v>
      </x:c>
      <x:c r="W153" s="52" t="n">
        <x:f>IF(OR(D153="场景母图",D153="场景多视角"),0,1)</x:f>
        <x:v>1</x:v>
      </x:c>
      <x:c r="X153" s="52" t="n">
        <x:f>IF(LEFT(U153,2)="历史",0,1)</x:f>
        <x:v>0</x:v>
      </x:c>
    </x:row>
    <x:row r="154" ht="44" customHeight="1">
      <x:c r="A154" s="50" t="str">
        <x:v>特殊资产</x:v>
      </x:c>
      <x:c r="B154" s="50" t="n">
        <x:v>11</x:v>
      </x:c>
      <x:c r="C154" s="50" t="n">
        <x:v>1</x:v>
      </x:c>
      <x:c r="D154" s="50" t="str">
        <x:v>光照</x:v>
      </x:c>
      <x:c r="E154" s="36" t="str">
        <x:v>环月轨道太阳光</x:v>
      </x:c>
      <x:c r="F154" s="36" t="str">
        <x:v>BY-LGT-P1-004-环月轨道太阳光</x:v>
      </x:c>
      <x:c r="G154" s="36" t="str"/>
      <x:c r="H154" s="50" t="str"/>
      <x:c r="I154" s="50" t="str">
        <x:v>LGT</x:v>
      </x:c>
      <x:c r="J154" s="50" t="str">
        <x:v>P1</x:v>
      </x:c>
      <x:c r="K154" s="36" t="str">
        <x:v>V1.2逐镜映射见data/阶段1_114镜资产调用映射_V1.2.csv</x:v>
      </x:c>
      <x:c r="L154" s="36" t="str">
        <x:v>场1,2,4,11,12,13,14；镜002,008,010,011,020,021,024,025,078,084,085,087,093,095,096,098</x:v>
      </x:c>
      <x:c r="M154" s="36" t="str">
        <x:v>硬太阳光与月球反射</x:v>
      </x:c>
      <x:c r="N154" s="36" t="str">
        <x:v>对接轴和两器形体清楚</x:v>
      </x:c>
      <x:c r="O154" s="36" t="str">
        <x:v>交会;分离;转移</x:v>
      </x:c>
      <x:c r="P154" s="36" t="str">
        <x:v>无空气硬光</x:v>
      </x:c>
      <x:c r="Q154" s="36" t="str">
        <x:v>统一外部主光与月球反照；只保证跨镜连续，不声称日期天文复原。</x:v>
      </x:c>
      <x:c r="R154" s="36" t="str">
        <x:v>做进轨道环境母图</x:v>
      </x:c>
      <x:c r="S154" s="36" t="str">
        <x:v>轨道外景</x:v>
      </x:c>
      <x:c r="T154" s="36" t="str">
        <x:v>科学约束</x:v>
      </x:c>
      <x:c r="U154" s="36" t="str">
        <x:v>已确认采用</x:v>
      </x:c>
      <x:c r="V154" s="36" t="str">
        <x:v>轨道视觉重建包</x:v>
      </x:c>
      <x:c r="W154" s="50" t="n">
        <x:f>IF(OR(D154="场景母图",D154="场景多视角"),0,1)</x:f>
        <x:v>1</x:v>
      </x:c>
      <x:c r="X154" s="50" t="n">
        <x:f>IF(LEFT(U154,2)="历史",0,1)</x:f>
        <x:v>1</x:v>
      </x:c>
    </x:row>
    <x:row r="155" ht="44" customHeight="1">
      <x:c r="A155" s="50" t="str">
        <x:v>特殊资产</x:v>
      </x:c>
      <x:c r="B155" s="50" t="n">
        <x:v>12</x:v>
      </x:c>
      <x:c r="C155" s="50" t="n">
        <x:v>1</x:v>
      </x:c>
      <x:c r="D155" s="50" t="str">
        <x:v>光照</x:v>
      </x:c>
      <x:c r="E155" s="36" t="str">
        <x:v>揽月开舱门月面反射</x:v>
      </x:c>
      <x:c r="F155" s="36" t="str">
        <x:v>BY-LGT-P1-005-揽月开舱门月面反射</x:v>
      </x:c>
      <x:c r="G155" s="36" t="str"/>
      <x:c r="H155" s="50" t="str"/>
      <x:c r="I155" s="50" t="str">
        <x:v>LGT</x:v>
      </x:c>
      <x:c r="J155" s="50" t="str">
        <x:v>P1</x:v>
      </x:c>
      <x:c r="K155" s="36" t="str">
        <x:v>V1.2逐镜映射见data/阶段1_114镜资产调用映射_V1.2.csv</x:v>
      </x:c>
      <x:c r="L155" s="36" t="str">
        <x:v>场7；镜047,048</x:v>
      </x:c>
      <x:c r="M155" s="36" t="str">
        <x:v>舱内暗部与舱外硬光反差</x:v>
      </x:c>
      <x:c r="N155" s="36" t="str">
        <x:v>门缝扩大但不HDR提亮所有暗部</x:v>
      </x:c>
      <x:c r="O155" s="36" t="str">
        <x:v>舱门开启</x:v>
      </x:c>
      <x:c r="P155" s="36" t="str">
        <x:v>硬光、低反射灰月面</x:v>
      </x:c>
      <x:c r="Q155" s="36" t="str">
        <x:v>揽月舱门与月面</x:v>
      </x:c>
      <x:c r="R155" s="36" t="str">
        <x:v>独立光影状态测试</x:v>
      </x:c>
      <x:c r="S155" s="36" t="str">
        <x:v>06</x:v>
      </x:c>
      <x:c r="T155" s="36" t="str">
        <x:v>剧本明确;科学约束</x:v>
      </x:c>
      <x:c r="U155" s="36" t="str">
        <x:v>已确认采用</x:v>
      </x:c>
      <x:c r="V155" s="36" t="str">
        <x:v>揽月舱内光影变体</x:v>
      </x:c>
      <x:c r="W155" s="50" t="n">
        <x:f>IF(OR(D155="场景母图",D155="场景多视角"),0,1)</x:f>
        <x:v>1</x:v>
      </x:c>
      <x:c r="X155" s="50" t="n">
        <x:f>IF(LEFT(U155,2)="历史",0,1)</x:f>
        <x:v>1</x:v>
      </x:c>
    </x:row>
    <x:row r="156" ht="44" customHeight="1">
      <x:c r="A156" s="50" t="str">
        <x:v>特殊资产</x:v>
      </x:c>
      <x:c r="B156" s="50" t="n">
        <x:v>13</x:v>
      </x:c>
      <x:c r="C156" s="50" t="n">
        <x:v>1</x:v>
      </x:c>
      <x:c r="D156" s="50" t="str">
        <x:v>光照</x:v>
      </x:c>
      <x:c r="E156" s="36" t="str">
        <x:v>月面艺术化任务日光</x:v>
      </x:c>
      <x:c r="F156" s="36" t="str">
        <x:v>BY-LGT-P0-004-月面艺术化任务日光</x:v>
      </x:c>
      <x:c r="G156" s="36" t="str"/>
      <x:c r="H156" s="50" t="str"/>
      <x:c r="I156" s="50" t="str">
        <x:v>LGT</x:v>
      </x:c>
      <x:c r="J156" s="50" t="str">
        <x:v>P0</x:v>
      </x:c>
      <x:c r="K156" s="36" t="str">
        <x:v>V1.2逐镜映射见data/阶段1_114镜资产调用映射_V1.2.csv</x:v>
      </x:c>
      <x:c r="L156" s="36" t="str">
        <x:v>场5,6,7,8,9,10,11；镜027,030,032,033,034,037,038,039,042,047,048,049,050,051,052,053,054,055,056,057,058,059,060,061,062,064,066,067,068,069,074,075</x:v>
      </x:c>
      <x:c r="M156" s="36" t="str">
        <x:v>为可见性与跨镜连续性建立的单一硬质平行主光。</x:v>
      </x:c>
      <x:c r="N156" s="36" t="str">
        <x:v>MASTER左前上方入光、阴影右后；方位225°、高度22°仅为美术生产坐标。</x:v>
      </x:c>
      <x:c r="O156" s="36" t="str">
        <x:v>下降；触月；EVA；国旗；科学任务；返舱；起飞</x:v>
      </x:c>
      <x:c r="P156" s="36" t="str">
        <x:v>高反差硬光、有限月壤反射、白色装备高光受控</x:v>
      </x:c>
      <x:c r="Q156" s="36" t="str">
        <x:v>黑天空、无大气散射、无来源轮廓光、无HDR抬暗部</x:v>
      </x:c>
      <x:c r="R156" s="36" t="str">
        <x:v>先在月面MASTER锁定，再供所有月面视图继承</x:v>
      </x:c>
      <x:c r="S156" s="36" t="str">
        <x:v>第5—11场</x:v>
      </x:c>
      <x:c r="T156" s="36" t="str">
        <x:v>V1.2剧本明确＋项目锁定＋公开工程资料边界</x:v>
      </x:c>
      <x:c r="U156" s="36" t="str">
        <x:v>用户已确认</x:v>
      </x:c>
      <x:c r="V156" s="36" t="str">
        <x:v>重做月面MASTER光影校准测试</x:v>
      </x:c>
      <x:c r="W156" s="50" t="n">
        <x:f>IF(OR(D156="场景母图",D156="场景多视角"),0,1)</x:f>
        <x:v>1</x:v>
      </x:c>
      <x:c r="X156" s="50" t="n">
        <x:f>IF(LEFT(U156,2)="历史",0,1)</x:f>
        <x:v>1</x:v>
      </x:c>
    </x:row>
    <x:row r="157" ht="44" customHeight="1">
      <x:c r="A157" s="50" t="str">
        <x:v>特殊资产</x:v>
      </x:c>
      <x:c r="B157" s="50" t="n">
        <x:v>14</x:v>
      </x:c>
      <x:c r="C157" s="50" t="n">
        <x:v>1</x:v>
      </x:c>
      <x:c r="D157" s="50" t="str">
        <x:v>光照</x:v>
      </x:c>
      <x:c r="E157" s="36" t="str">
        <x:v>返回舱再入等离子辉光</x:v>
      </x:c>
      <x:c r="F157" s="36" t="str">
        <x:v>BY-LGT-P0-005-返回舱再入等离子辉光</x:v>
      </x:c>
      <x:c r="G157" s="36" t="str"/>
      <x:c r="H157" s="50" t="str"/>
      <x:c r="I157" s="50" t="str">
        <x:v>LGT</x:v>
      </x:c>
      <x:c r="J157" s="50" t="str">
        <x:v>P0</x:v>
      </x:c>
      <x:c r="K157" s="36" t="str">
        <x:v>V1.2逐镜映射见data/阶段1_114镜资产调用映射_V1.2.csv</x:v>
      </x:c>
      <x:c r="L157" s="36" t="str">
        <x:v>场15；镜104,106,108</x:v>
      </x:c>
      <x:c r="M157" s="36" t="str">
        <x:v>高速再入时防热大底周围的受控等离子自发光。</x:v>
      </x:c>
      <x:c r="N157" s="36" t="str">
        <x:v>两次再入强度变化清楚，不做爆炸火球。</x:v>
      </x:c>
      <x:c r="O157" s="36" t="str">
        <x:v>第一次再入；跃出减弱；第二次再入；黑障；恢复</x:v>
      </x:c>
      <x:c r="P157" s="36" t="str">
        <x:v>橙白核心、稀薄红橙尾迹、舱体暗部受自发光照亮</x:v>
      </x:c>
      <x:c r="Q157" s="36" t="str">
        <x:v>与地球弧面和太阳光逻辑统一</x:v>
      </x:c>
      <x:c r="R157" s="36" t="str">
        <x:v>与再入VFX联动制作</x:v>
      </x:c>
      <x:c r="S157" s="36" t="str">
        <x:v>第15场</x:v>
      </x:c>
      <x:c r="T157" s="36" t="str">
        <x:v>V1.2剧本明确＋项目锁定＋公开工程资料边界</x:v>
      </x:c>
      <x:c r="U157" s="36" t="str">
        <x:v>已确认生产方向</x:v>
      </x:c>
      <x:c r="V157" s="36" t="str">
        <x:v>阶段2A重入后按生产包执行</x:v>
      </x:c>
      <x:c r="W157" s="50" t="n">
        <x:f>IF(OR(D157="场景母图",D157="场景多视角"),0,1)</x:f>
        <x:v>1</x:v>
      </x:c>
      <x:c r="X157" s="50" t="n">
        <x:f>IF(LEFT(U157,2)="历史",0,1)</x:f>
        <x:v>1</x:v>
      </x:c>
    </x:row>
    <x:row r="158" ht="44" customHeight="1">
      <x:c r="A158" s="50" t="str">
        <x:v>特殊资产</x:v>
      </x:c>
      <x:c r="B158" s="50" t="n">
        <x:v>15</x:v>
      </x:c>
      <x:c r="C158" s="50" t="n">
        <x:v>1</x:v>
      </x:c>
      <x:c r="D158" s="50" t="str">
        <x:v>光照</x:v>
      </x:c>
      <x:c r="E158" s="36" t="str">
        <x:v>深空测控站任务光</x:v>
      </x:c>
      <x:c r="F158" s="36" t="str">
        <x:v>BY-LGT-P1-006-深空测控站任务光</x:v>
      </x:c>
      <x:c r="G158" s="36" t="str"/>
      <x:c r="H158" s="50" t="str"/>
      <x:c r="I158" s="50" t="str">
        <x:v>LGT</x:v>
      </x:c>
      <x:c r="J158" s="50" t="str">
        <x:v>P1</x:v>
      </x:c>
      <x:c r="K158" s="36" t="str">
        <x:v>V1.2逐镜映射见data/阶段1_114镜资产调用映射_V1.2.csv</x:v>
      </x:c>
      <x:c r="L158" s="36" t="str">
        <x:v>场1,4,5,8,11,12；镜003,022,035,053,077,083</x:v>
      </x:c>
      <x:c r="M158" s="36" t="str">
        <x:v>佳木斯、喀什和VLBI工作区统一的克制任务照明。</x:v>
      </x:c>
      <x:c r="N158" s="36" t="str">
        <x:v>不同站点保留环境差异。</x:v>
      </x:c>
      <x:c r="O158" s="36" t="str">
        <x:v>常态；关键窗口</x:v>
      </x:c>
      <x:c r="P158" s="36" t="str">
        <x:v>中性暖白顶灯、低亮屏光</x:v>
      </x:c>
      <x:c r="Q158" s="36" t="str">
        <x:v>禁止科幻蓝光大厅</x:v>
      </x:c>
      <x:c r="R158" s="36" t="str">
        <x:v>随场景母图锁定</x:v>
      </x:c>
      <x:c r="S158" s="36" t="str">
        <x:v>第1、4、5、10—14场</x:v>
      </x:c>
      <x:c r="T158" s="36" t="str">
        <x:v>V1.2剧本明确＋项目锁定＋公开工程资料边界</x:v>
      </x:c>
      <x:c r="U158" s="36" t="str">
        <x:v>已确认生产方向</x:v>
      </x:c>
      <x:c r="V158" s="36" t="str">
        <x:v>阶段2A重入后按生产包执行</x:v>
      </x:c>
      <x:c r="W158" s="50" t="n">
        <x:f>IF(OR(D158="场景母图",D158="场景多视角"),0,1)</x:f>
        <x:v>1</x:v>
      </x:c>
      <x:c r="X158" s="50" t="n">
        <x:f>IF(LEFT(U158,2)="历史",0,1)</x:f>
        <x:v>1</x:v>
      </x:c>
    </x:row>
    <x:row r="159" ht="44" customHeight="1">
      <x:c r="A159" s="50" t="str">
        <x:v>特殊资产</x:v>
      </x:c>
      <x:c r="B159" s="50" t="n">
        <x:v>16</x:v>
      </x:c>
      <x:c r="C159" s="50" t="n">
        <x:v>1</x:v>
      </x:c>
      <x:c r="D159" s="50" t="str">
        <x:v>光照</x:v>
      </x:c>
      <x:c r="E159" s="36" t="str">
        <x:v>东风着陆场黎明—清晨自然光</x:v>
      </x:c>
      <x:c r="F159" s="36" t="str">
        <x:v>BY-LGT-P1-007-搜救着陆区日间自然光</x:v>
      </x:c>
      <x:c r="G159" s="36" t="str"/>
      <x:c r="H159" s="50" t="str"/>
      <x:c r="I159" s="50" t="str">
        <x:v>LGT</x:v>
      </x:c>
      <x:c r="J159" s="50" t="str">
        <x:v>P1</x:v>
      </x:c>
      <x:c r="K159" s="36" t="str">
        <x:v>V1.2逐镜映射见data/阶段1_114镜资产调用映射_V1.2.csv</x:v>
      </x:c>
      <x:c r="L159" s="36" t="str">
        <x:v>第13—15场</x:v>
      </x:c>
      <x:c r="M159" s="36" t="str">
        <x:v>东风着陆场从黎明低照度到清晨自然光的连续光线。</x:v>
      </x:c>
      <x:c r="N159" s="36" t="str">
        <x:v>不锁定具体回收地经纬度和天气实况。</x:v>
      </x:c>
      <x:c r="O159" s="36" t="str">
        <x:v>待命黎明；下降可见；着陆扬尘；搜救清晨</x:v>
      </x:c>
      <x:c r="P159" s="36" t="str">
        <x:v>自然天空光、地表反射、返回舱高温表面</x:v>
      </x:c>
      <x:c r="Q159" s="36" t="str">
        <x:v>无电影式金色逆光</x:v>
      </x:c>
      <x:c r="R159" s="36" t="str">
        <x:v>与搜救现场MASTER同步确认</x:v>
      </x:c>
      <x:c r="S159" s="36" t="str">
        <x:v>第15—16场</x:v>
      </x:c>
      <x:c r="T159" s="36" t="str">
        <x:v>V1.2剧本明确＋项目锁定＋公开工程资料边界</x:v>
      </x:c>
      <x:c r="U159" s="36" t="str">
        <x:v>已确认生产方向</x:v>
      </x:c>
      <x:c r="V159" s="36" t="str">
        <x:v>阶段2A重入后按生产包执行</x:v>
      </x:c>
      <x:c r="W159" s="50" t="n">
        <x:f>IF(OR(D159="场景母图",D159="场景多视角"),0,1)</x:f>
        <x:v>1</x:v>
      </x:c>
      <x:c r="X159" s="50" t="n">
        <x:f>IF(LEFT(U159,2)="历史",0,1)</x:f>
        <x:v>1</x:v>
      </x:c>
    </x:row>
    <x:row r="160" ht="44" customHeight="1">
      <x:c r="A160" s="50" t="str">
        <x:v>特殊资产</x:v>
      </x:c>
      <x:c r="B160" s="50" t="n">
        <x:v>17</x:v>
      </x:c>
      <x:c r="C160" s="50" t="n">
        <x:v>1</x:v>
      </x:c>
      <x:c r="D160" s="50" t="str">
        <x:v>光照</x:v>
      </x:c>
      <x:c r="E160" s="36" t="str">
        <x:v>飞控媒体区直播任务光</x:v>
      </x:c>
      <x:c r="F160" s="36" t="str">
        <x:v>BY-LGT-P1-008-飞控媒体区直播光</x:v>
      </x:c>
      <x:c r="G160" s="36" t="str"/>
      <x:c r="H160" s="50" t="str"/>
      <x:c r="I160" s="50" t="str">
        <x:v>LGT</x:v>
      </x:c>
      <x:c r="J160" s="50" t="str">
        <x:v>P1</x:v>
      </x:c>
      <x:c r="K160" s="36" t="str">
        <x:v>记者与专家直播镜头</x:v>
      </x:c>
      <x:c r="L160" s="36" t="str">
        <x:v>第1、3、5—9、12—13、15场</x:v>
      </x:c>
      <x:c r="M160" s="36" t="str">
        <x:v>中性、可信的新闻现场光，兼顾记者肤色、专家和任务大屏。</x:v>
      </x:c>
      <x:c r="N160" s="36" t="str">
        <x:v>三段直播保持连续，允许大屏亮度随任务阶段变化。</x:v>
      </x:c>
      <x:c r="O160" s="36" t="str">
        <x:v>记者单人；记者专家双人；片尾收束</x:v>
      </x:c>
      <x:c r="P160" s="36" t="str">
        <x:v>柔和主光、轻轮廓、屏幕补光</x:v>
      </x:c>
      <x:c r="Q160" s="36" t="str">
        <x:v>室内稳定光</x:v>
      </x:c>
      <x:c r="R160" s="36" t="str">
        <x:v>建立统一灯位，不随每次生成漂移</x:v>
      </x:c>
      <x:c r="S160" s="36" t="str">
        <x:v>全部媒体区镜头</x:v>
      </x:c>
      <x:c r="T160" s="36" t="str">
        <x:v>V1.3.1正式分镜稿＋公开资料边界内艺术推演</x:v>
      </x:c>
      <x:c r="U160" s="36" t="str">
        <x:v>阶段1已确认生产方向</x:v>
      </x:c>
      <x:c r="V160" s="36" t="str">
        <x:v>阶段2B建立母资产并按镜头状态派生</x:v>
      </x:c>
      <x:c r="W160" s="50" t="n">
        <x:f>IF(OR(D160="场景母图",D160="场景多视角"),0,1)</x:f>
        <x:v>1</x:v>
      </x:c>
      <x:c r="X160" s="50" t="n">
        <x:f>IF(LEFT(U160,2)="历史",0,1)</x:f>
        <x:v>1</x:v>
      </x:c>
    </x:row>
    <x:row r="161" ht="44" customHeight="1">
      <x:c r="A161" s="52" t="str">
        <x:v>特殊资产</x:v>
      </x:c>
      <x:c r="B161" s="52" t="n">
        <x:v>18</x:v>
      </x:c>
      <x:c r="C161" s="52" t="n">
        <x:v>1</x:v>
      </x:c>
      <x:c r="D161" s="52" t="str">
        <x:v>视觉特效</x:v>
      </x:c>
      <x:c r="E161" s="41" t="str">
        <x:v>地球发射火焰与烟羽</x:v>
      </x:c>
      <x:c r="F161" s="41" t="str">
        <x:v>BY-VFX-P1-001-地球发射火焰与烟羽</x:v>
      </x:c>
      <x:c r="G161" s="41" t="str"/>
      <x:c r="H161" s="52" t="str"/>
      <x:c r="I161" s="52" t="str">
        <x:v>VFX</x:v>
      </x:c>
      <x:c r="J161" s="52" t="str">
        <x:v>P1</x:v>
      </x:c>
      <x:c r="K161" s="41" t="str">
        <x:v>01场</x:v>
      </x:c>
      <x:c r="L161" s="41" t="str">
        <x:v>历史V1.1</x:v>
      </x:c>
      <x:c r="M161" s="41" t="str">
        <x:v>地球大气中的点火、烟羽和塔架受光</x:v>
      </x:c>
      <x:c r="N161" s="41" t="str">
        <x:v>两次发射可复用，匹配不同构型</x:v>
      </x:c>
      <x:c r="O161" s="41" t="str">
        <x:v>点火;离架</x:v>
      </x:c>
      <x:c r="P161" s="41" t="str">
        <x:v>高温火焰、烟气、结构震动</x:v>
      </x:c>
      <x:c r="Q161" s="41" t="str">
        <x:v>文昌夜间大气</x:v>
      </x:c>
      <x:c r="R161" s="41" t="str">
        <x:v>VFX模板与场景测试</x:v>
      </x:c>
      <x:c r="S161" s="41" t="str">
        <x:v>01</x:v>
      </x:c>
      <x:c r="T161" s="41" t="str">
        <x:v>剧本明确;科学约束</x:v>
      </x:c>
      <x:c r="U161" s="41" t="str">
        <x:v>历史停用（V1.2不调用）</x:v>
      </x:c>
      <x:c r="V161" s="41" t="str">
        <x:v>V1.2不含发射</x:v>
      </x:c>
      <x:c r="W161" s="52" t="n">
        <x:f>IF(OR(D161="场景母图",D161="场景多视角"),0,1)</x:f>
        <x:v>1</x:v>
      </x:c>
      <x:c r="X161" s="52" t="n">
        <x:f>IF(LEFT(U161,2)="历史",0,1)</x:f>
        <x:v>0</x:v>
      </x:c>
    </x:row>
    <x:row r="162" ht="44" customHeight="1">
      <x:c r="A162" s="50" t="str">
        <x:v>特殊资产</x:v>
      </x:c>
      <x:c r="B162" s="50" t="n">
        <x:v>19</x:v>
      </x:c>
      <x:c r="C162" s="50" t="n">
        <x:v>1</x:v>
      </x:c>
      <x:c r="D162" s="50" t="str">
        <x:v>视觉特效</x:v>
      </x:c>
      <x:c r="E162" s="36" t="str">
        <x:v>环月轨道交会与对接</x:v>
      </x:c>
      <x:c r="F162" s="36" t="str">
        <x:v>BY-VFX-P1-002-环月轨道交会与对接</x:v>
      </x:c>
      <x:c r="G162" s="36" t="str"/>
      <x:c r="H162" s="50" t="str"/>
      <x:c r="I162" s="50" t="str">
        <x:v>VFX</x:v>
      </x:c>
      <x:c r="J162" s="50" t="str">
        <x:v>P1</x:v>
      </x:c>
      <x:c r="K162" s="36" t="str">
        <x:v>V1.2逐镜映射见data/阶段1_114镜资产调用映射_V1.2.csv</x:v>
      </x:c>
      <x:c r="L162" s="36" t="str">
        <x:v>场1,2,12；镜005,008,010,011,084,085,087</x:v>
      </x:c>
      <x:c r="M162" s="36" t="str">
        <x:v>目标缓慢扩大、轴线收敛、接触捕获锁紧</x:v>
      </x:c>
      <x:c r="N162" s="36" t="str">
        <x:v>两次对接复用同一物理逻辑</x:v>
      </x:c>
      <x:c r="O162" s="36" t="str">
        <x:v>远距;接近;接触;锁紧</x:v>
      </x:c>
      <x:c r="P162" s="36" t="str">
        <x:v>无空气轨道运动</x:v>
      </x:c>
      <x:c r="Q162" s="36" t="str">
        <x:v>环月轨道太阳光</x:v>
      </x:c>
      <x:c r="R162" s="36" t="str">
        <x:v>轨道动作模板</x:v>
      </x:c>
      <x:c r="S162" s="36" t="str">
        <x:v>01;11</x:v>
      </x:c>
      <x:c r="T162" s="36" t="str">
        <x:v>剧本明确;科学约束</x:v>
      </x:c>
      <x:c r="U162" s="36" t="str">
        <x:v>已确认采用</x:v>
      </x:c>
      <x:c r="V162" s="36" t="str">
        <x:v>载具确认后制作</x:v>
      </x:c>
      <x:c r="W162" s="50" t="n">
        <x:f>IF(OR(D162="场景母图",D162="场景多视角"),0,1)</x:f>
        <x:v>1</x:v>
      </x:c>
      <x:c r="X162" s="50" t="n">
        <x:f>IF(LEFT(U162,2)="历史",0,1)</x:f>
        <x:v>1</x:v>
      </x:c>
    </x:row>
    <x:row r="163" ht="44" customHeight="1">
      <x:c r="A163" s="50" t="str">
        <x:v>特殊资产</x:v>
      </x:c>
      <x:c r="B163" s="50" t="n">
        <x:v>20</x:v>
      </x:c>
      <x:c r="C163" s="50" t="n">
        <x:v>1</x:v>
      </x:c>
      <x:c r="D163" s="50" t="str">
        <x:v>视觉特效</x:v>
      </x:c>
      <x:c r="E163" s="36" t="str">
        <x:v>月面下降羽流与贴地月尘</x:v>
      </x:c>
      <x:c r="F163" s="36" t="str">
        <x:v>BY-VFX-P0-001-月面下降羽流与贴地月尘</x:v>
      </x:c>
      <x:c r="G163" s="36" t="str"/>
      <x:c r="H163" s="50" t="str"/>
      <x:c r="I163" s="50" t="str">
        <x:v>VFX</x:v>
      </x:c>
      <x:c r="J163" s="50" t="str">
        <x:v>P0</x:v>
      </x:c>
      <x:c r="K163" s="36" t="str">
        <x:v>V1.2逐镜映射见data/阶段1_114镜资产调用映射_V1.2.csv</x:v>
      </x:c>
      <x:c r="L163" s="36" t="str">
        <x:v>场5；镜027,037</x:v>
      </x:c>
      <x:c r="M163" s="36" t="str">
        <x:v>低矮放射状高速散开的月尘</x:v>
      </x:c>
      <x:c r="N163" s="36" t="str">
        <x:v>按弹道回落，不形成翻滚尘云</x:v>
      </x:c>
      <x:c r="O163" s="36" t="str">
        <x:v>远距下降;近地下降</x:v>
      </x:c>
      <x:c r="P163" s="36" t="str">
        <x:v>干燥月尘、真空羽流</x:v>
      </x:c>
      <x:c r="Q163" s="36" t="str">
        <x:v>月面固定太阳光</x:v>
      </x:c>
      <x:c r="R163" s="36" t="str">
        <x:v>核心物理测试模板</x:v>
      </x:c>
      <x:c r="S163" s="36" t="str">
        <x:v>04</x:v>
      </x:c>
      <x:c r="T163" s="36" t="str">
        <x:v>剧本明确;科学约束</x:v>
      </x:c>
      <x:c r="U163" s="36" t="str">
        <x:v>已确认锁定物理方向</x:v>
      </x:c>
      <x:c r="V163" s="36" t="str">
        <x:v>阶段2技术测试</x:v>
      </x:c>
      <x:c r="W163" s="50" t="n">
        <x:f>IF(OR(D163="场景母图",D163="场景多视角"),0,1)</x:f>
        <x:v>1</x:v>
      </x:c>
      <x:c r="X163" s="50" t="n">
        <x:f>IF(LEFT(U163,2)="历史",0,1)</x:f>
        <x:v>1</x:v>
      </x:c>
    </x:row>
    <x:row r="164" ht="44" customHeight="1">
      <x:c r="A164" s="50" t="str">
        <x:v>特殊资产</x:v>
      </x:c>
      <x:c r="B164" s="50" t="n">
        <x:v>21</x:v>
      </x:c>
      <x:c r="C164" s="50" t="n">
        <x:v>1</x:v>
      </x:c>
      <x:c r="D164" s="50" t="str">
        <x:v>视觉特效</x:v>
      </x:c>
      <x:c r="E164" s="36" t="str">
        <x:v>触月关机与月尘回落</x:v>
      </x:c>
      <x:c r="F164" s="36" t="str">
        <x:v>BY-VFX-P0-002-触月关机与月尘回落</x:v>
      </x:c>
      <x:c r="G164" s="36" t="str"/>
      <x:c r="H164" s="50" t="str"/>
      <x:c r="I164" s="50" t="str">
        <x:v>VFX</x:v>
      </x:c>
      <x:c r="J164" s="50" t="str">
        <x:v>P0</x:v>
      </x:c>
      <x:c r="K164" s="36" t="str">
        <x:v>V1.2逐镜映射见data/阶段1_114镜资产调用映射_V1.2.csv</x:v>
      </x:c>
      <x:c r="L164" s="36" t="str">
        <x:v>场5,6；镜038,039</x:v>
      </x:c>
      <x:c r="M164" s="36" t="str">
        <x:v>支脚接触、羽流衰减和月尘回落属于同一事件</x:v>
      </x:c>
      <x:c r="N164" s="36" t="str">
        <x:v>不表现延迟手动关机</x:v>
      </x:c>
      <x:c r="O164" s="36" t="str">
        <x:v>接触;关机;静止</x:v>
      </x:c>
      <x:c r="P164" s="36" t="str">
        <x:v>颗粒弹道、支脚压实</x:v>
      </x:c>
      <x:c r="Q164" s="36" t="str">
        <x:v>月面固定太阳光</x:v>
      </x:c>
      <x:c r="R164" s="36" t="str">
        <x:v>触月技术测试</x:v>
      </x:c>
      <x:c r="S164" s="36" t="str">
        <x:v>05</x:v>
      </x:c>
      <x:c r="T164" s="36" t="str">
        <x:v>剧本明确;科学约束</x:v>
      </x:c>
      <x:c r="U164" s="36" t="str">
        <x:v>已确认锁定物理方向</x:v>
      </x:c>
      <x:c r="V164" s="36" t="str">
        <x:v>阶段2技术测试</x:v>
      </x:c>
      <x:c r="W164" s="50" t="n">
        <x:f>IF(OR(D164="场景母图",D164="场景多视角"),0,1)</x:f>
        <x:v>1</x:v>
      </x:c>
      <x:c r="X164" s="50" t="n">
        <x:f>IF(LEFT(U164,2)="历史",0,1)</x:f>
        <x:v>1</x:v>
      </x:c>
    </x:row>
    <x:row r="165" ht="44" customHeight="1">
      <x:c r="A165" s="50" t="str">
        <x:v>特殊资产</x:v>
      </x:c>
      <x:c r="B165" s="50" t="n">
        <x:v>22</x:v>
      </x:c>
      <x:c r="C165" s="50" t="n">
        <x:v>1</x:v>
      </x:c>
      <x:c r="D165" s="50" t="str">
        <x:v>视觉特效</x:v>
      </x:c>
      <x:c r="E165" s="36" t="str">
        <x:v>第一足印月壤形变</x:v>
      </x:c>
      <x:c r="F165" s="36" t="str">
        <x:v>BY-VFX-P0-003-第一足印月壤形变</x:v>
      </x:c>
      <x:c r="G165" s="36" t="str"/>
      <x:c r="H165" s="50" t="str"/>
      <x:c r="I165" s="50" t="str">
        <x:v>VFX</x:v>
      </x:c>
      <x:c r="J165" s="50" t="str">
        <x:v>P0</x:v>
      </x:c>
      <x:c r="K165" s="36" t="str">
        <x:v>V1.2逐镜映射见data/阶段1_114镜资产调用映射_V1.2.csv</x:v>
      </x:c>
      <x:c r="L165" s="36" t="str">
        <x:v>场8；镜050</x:v>
      </x:c>
      <x:c r="M165" s="36" t="str">
        <x:v>靴底压实月壤，细颗粒向两侧位移</x:v>
      </x:c>
      <x:c r="N165" s="36" t="str">
        <x:v>正常速度、无扬尘烟雾</x:v>
      </x:c>
      <x:c r="O165" s="36" t="str">
        <x:v>接触;承重;足印稳定</x:v>
      </x:c>
      <x:c r="P165" s="36" t="str">
        <x:v>细颗粒月壤</x:v>
      </x:c>
      <x:c r="Q165" s="36" t="str">
        <x:v>月面固定太阳光</x:v>
      </x:c>
      <x:c r="R165" s="36" t="str">
        <x:v>极近景物理测试</x:v>
      </x:c>
      <x:c r="S165" s="36" t="str">
        <x:v>07</x:v>
      </x:c>
      <x:c r="T165" s="36" t="str">
        <x:v>剧本明确;科学约束</x:v>
      </x:c>
      <x:c r="U165" s="36" t="str">
        <x:v>已确认锁定物理方向</x:v>
      </x:c>
      <x:c r="V165" s="36" t="str">
        <x:v>阶段2技术测试</x:v>
      </x:c>
      <x:c r="W165" s="50" t="n">
        <x:f>IF(OR(D165="场景母图",D165="场景多视角"),0,1)</x:f>
        <x:v>1</x:v>
      </x:c>
      <x:c r="X165" s="50" t="n">
        <x:f>IF(LEFT(U165,2)="历史",0,1)</x:f>
        <x:v>1</x:v>
      </x:c>
    </x:row>
    <x:row r="166" ht="44" customHeight="1">
      <x:c r="A166" s="50" t="str">
        <x:v>特殊资产</x:v>
      </x:c>
      <x:c r="B166" s="50" t="n">
        <x:v>23</x:v>
      </x:c>
      <x:c r="C166" s="50" t="n">
        <x:v>1</x:v>
      </x:c>
      <x:c r="D166" s="50" t="str">
        <x:v>视觉特效</x:v>
      </x:c>
      <x:c r="E166" s="36" t="str">
        <x:v>月面起飞羽流与留场余景</x:v>
      </x:c>
      <x:c r="F166" s="36" t="str">
        <x:v>BY-VFX-P0-004-月面起飞羽流与留场余景</x:v>
      </x:c>
      <x:c r="G166" s="36" t="str"/>
      <x:c r="H166" s="50" t="str"/>
      <x:c r="I166" s="50" t="str">
        <x:v>VFX</x:v>
      </x:c>
      <x:c r="J166" s="50" t="str">
        <x:v>P0</x:v>
      </x:c>
      <x:c r="K166" s="36" t="str">
        <x:v>V1.2逐镜映射见data/阶段1_114镜资产调用映射_V1.2.csv</x:v>
      </x:c>
      <x:c r="L166" s="36" t="str">
        <x:v>场11；镜074,075</x:v>
      </x:c>
      <x:c r="M166" s="36" t="str">
        <x:v>登月舱起飞，月尘贴地散开，固定摄像机停留</x:v>
      </x:c>
      <x:c r="N166" s="36" t="str">
        <x:v>不出现外部轰鸣或阿波罗式留月下降级</x:v>
      </x:c>
      <x:c r="O166" s="36" t="str">
        <x:v>点火;上升;余景</x:v>
      </x:c>
      <x:c r="P166" s="36" t="str">
        <x:v>真空羽流、月尘</x:v>
      </x:c>
      <x:c r="Q166" s="36" t="str">
        <x:v>月面固定太阳光</x:v>
      </x:c>
      <x:c r="R166" s="36" t="str">
        <x:v>起飞技术测试模板</x:v>
      </x:c>
      <x:c r="S166" s="36" t="str">
        <x:v>10</x:v>
      </x:c>
      <x:c r="T166" s="36" t="str">
        <x:v>剧本明确;科学约束</x:v>
      </x:c>
      <x:c r="U166" s="36" t="str">
        <x:v>已确认锁定物理方向</x:v>
      </x:c>
      <x:c r="V166" s="36" t="str">
        <x:v>阶段2技术测试</x:v>
      </x:c>
      <x:c r="W166" s="50" t="n">
        <x:f>IF(OR(D166="场景母图",D166="场景多视角"),0,1)</x:f>
        <x:v>1</x:v>
      </x:c>
      <x:c r="X166" s="50" t="n">
        <x:f>IF(LEFT(U166,2)="历史",0,1)</x:f>
        <x:v>1</x:v>
      </x:c>
    </x:row>
    <x:row r="167" ht="44" customHeight="1">
      <x:c r="A167" s="50" t="str">
        <x:v>特殊资产</x:v>
      </x:c>
      <x:c r="B167" s="50" t="n">
        <x:v>24</x:v>
      </x:c>
      <x:c r="C167" s="50" t="n">
        <x:v>1</x:v>
      </x:c>
      <x:c r="D167" s="50" t="str">
        <x:v>视觉特效</x:v>
      </x:c>
      <x:c r="E167" s="36" t="str">
        <x:v>月地转移点火与月球远离</x:v>
      </x:c>
      <x:c r="F167" s="36" t="str">
        <x:v>BY-VFX-P1-003-月地转移点火与月球远离</x:v>
      </x:c>
      <x:c r="G167" s="36" t="str"/>
      <x:c r="H167" s="50" t="str"/>
      <x:c r="I167" s="50" t="str">
        <x:v>VFX</x:v>
      </x:c>
      <x:c r="J167" s="50" t="str">
        <x:v>P1</x:v>
      </x:c>
      <x:c r="K167" s="36" t="str">
        <x:v>V1.2逐镜映射见data/阶段1_114镜资产调用映射_V1.2.csv</x:v>
      </x:c>
      <x:c r="L167" s="36" t="str">
        <x:v>场14；镜096,098</x:v>
      </x:c>
      <x:c r="M167" s="36" t="str">
        <x:v>梦舟服务舱点火、姿态调整、月球弧面远离</x:v>
      </x:c>
      <x:c r="N167" s="36" t="str">
        <x:v>运动速度克制，不做光速离月</x:v>
      </x:c>
      <x:c r="O167" s="36" t="str">
        <x:v>点火;转移</x:v>
      </x:c>
      <x:c r="P167" s="36" t="str">
        <x:v>无空气轨道运动</x:v>
      </x:c>
      <x:c r="Q167" s="36" t="str">
        <x:v>环月轨道太阳光</x:v>
      </x:c>
      <x:c r="R167" s="36" t="str">
        <x:v>结尾视觉重建模板</x:v>
      </x:c>
      <x:c r="S167" s="36" t="str">
        <x:v>13</x:v>
      </x:c>
      <x:c r="T167" s="36" t="str">
        <x:v>剧本明确;科学约束</x:v>
      </x:c>
      <x:c r="U167" s="36" t="str">
        <x:v>已确认采用</x:v>
      </x:c>
      <x:c r="V167" s="36" t="str">
        <x:v>轨道视觉重建包</x:v>
      </x:c>
      <x:c r="W167" s="50" t="n">
        <x:f>IF(OR(D167="场景母图",D167="场景多视角"),0,1)</x:f>
        <x:v>1</x:v>
      </x:c>
      <x:c r="X167" s="50" t="n">
        <x:f>IF(LEFT(U167,2)="历史",0,1)</x:f>
        <x:v>1</x:v>
      </x:c>
    </x:row>
    <x:row r="168" ht="44" customHeight="1">
      <x:c r="A168" s="50" t="str">
        <x:v>特殊资产</x:v>
      </x:c>
      <x:c r="B168" s="50" t="n">
        <x:v>25</x:v>
      </x:c>
      <x:c r="C168" s="50" t="n">
        <x:v>1</x:v>
      </x:c>
      <x:c r="D168" s="50" t="str">
        <x:v>视觉特效</x:v>
      </x:c>
      <x:c r="E168" s="36" t="str">
        <x:v>返回舱等离子辉光与黑障视觉</x:v>
      </x:c>
      <x:c r="F168" s="36" t="str">
        <x:v>BY-VFX-P0-005-返回舱等离子辉光与黑障视觉</x:v>
      </x:c>
      <x:c r="G168" s="36" t="str"/>
      <x:c r="H168" s="50" t="str"/>
      <x:c r="I168" s="50" t="str">
        <x:v>VFX</x:v>
      </x:c>
      <x:c r="J168" s="50" t="str">
        <x:v>P0</x:v>
      </x:c>
      <x:c r="K168" s="36" t="str">
        <x:v>V1.2逐镜映射见data/阶段1_114镜资产调用映射_V1.2.csv</x:v>
      </x:c>
      <x:c r="L168" s="36" t="str">
        <x:v>场15；镜104,106,108</x:v>
      </x:c>
      <x:c r="M168" s="36" t="str">
        <x:v>两次再入的等离子辉光、热流变化和通信衰减可见结果。</x:v>
      </x:c>
      <x:c r="N168" s="36" t="str">
        <x:v>黑障是信号状态，不表现飞船故障。</x:v>
      </x:c>
      <x:c r="O168" s="36" t="str">
        <x:v>第一次再入；跃出减弱；第二次再入；黑障；通信恢复</x:v>
      </x:c>
      <x:c r="P168" s="36" t="str">
        <x:v>受控橙白辉光、稀薄尾迹</x:v>
      </x:c>
      <x:c r="Q168" s="36" t="str">
        <x:v>高层大气，无爆炸式火焰</x:v>
      </x:c>
      <x:c r="R168" s="36" t="str">
        <x:v>高风险技术测试</x:v>
      </x:c>
      <x:c r="S168" s="36" t="str">
        <x:v>第15场</x:v>
      </x:c>
      <x:c r="T168" s="36" t="str">
        <x:v>V1.2剧本明确＋项目锁定＋公开工程资料边界</x:v>
      </x:c>
      <x:c r="U168" s="36" t="str">
        <x:v>已确认生产方向</x:v>
      </x:c>
      <x:c r="V168" s="36" t="str">
        <x:v>阶段2A重入后按生产包执行</x:v>
      </x:c>
      <x:c r="W168" s="50" t="n">
        <x:f>IF(OR(D168="场景母图",D168="场景多视角"),0,1)</x:f>
        <x:v>1</x:v>
      </x:c>
      <x:c r="X168" s="50" t="n">
        <x:f>IF(LEFT(U168,2)="历史",0,1)</x:f>
        <x:v>1</x:v>
      </x:c>
    </x:row>
    <x:row r="169" ht="44" customHeight="1">
      <x:c r="A169" s="50" t="str">
        <x:v>特殊资产</x:v>
      </x:c>
      <x:c r="B169" s="50" t="n">
        <x:v>26</x:v>
      </x:c>
      <x:c r="C169" s="50" t="n">
        <x:v>1</x:v>
      </x:c>
      <x:c r="D169" s="50" t="str">
        <x:v>视觉特效</x:v>
      </x:c>
      <x:c r="E169" s="36" t="str">
        <x:v>返回舱稳定伞／主伞展开</x:v>
      </x:c>
      <x:c r="F169" s="36" t="str">
        <x:v>BY-VFX-P0-006-稳定伞与主伞展开</x:v>
      </x:c>
      <x:c r="G169" s="36" t="str"/>
      <x:c r="H169" s="50" t="str"/>
      <x:c r="I169" s="50" t="str">
        <x:v>VFX</x:v>
      </x:c>
      <x:c r="J169" s="50" t="str">
        <x:v>P0</x:v>
      </x:c>
      <x:c r="K169" s="36" t="str">
        <x:v>V1.2逐镜映射见data/阶段1_114镜资产调用映射_V1.2.csv</x:v>
      </x:c>
      <x:c r="L169" s="36" t="str">
        <x:v>场15；镜108</x:v>
      </x:c>
      <x:c r="M169" s="36" t="str">
        <x:v>辉光减弱后伞具按程序依次展开，下降姿态稳定。</x:v>
      </x:c>
      <x:c r="N169" s="36" t="str">
        <x:v>高度与伞型保持泛化。</x:v>
      </x:c>
      <x:c r="O169" s="36" t="str">
        <x:v>稳定伞；主伞；稳定下降</x:v>
      </x:c>
      <x:c r="P169" s="36" t="str">
        <x:v>真实织物充气和绳索受力</x:v>
      </x:c>
      <x:c r="Q169" s="36" t="str">
        <x:v>地球大气环境</x:v>
      </x:c>
      <x:c r="R169" s="36" t="str">
        <x:v>与返回舱群伞构型联合测试</x:v>
      </x:c>
      <x:c r="S169" s="36" t="str">
        <x:v>第15场</x:v>
      </x:c>
      <x:c r="T169" s="36" t="str">
        <x:v>V1.2剧本明确＋项目锁定＋公开工程资料边界</x:v>
      </x:c>
      <x:c r="U169" s="36" t="str">
        <x:v>已确认生产方向</x:v>
      </x:c>
      <x:c r="V169" s="36" t="str">
        <x:v>阶段2A重入后按生产包执行</x:v>
      </x:c>
      <x:c r="W169" s="50" t="n">
        <x:f>IF(OR(D169="场景母图",D169="场景多视角"),0,1)</x:f>
        <x:v>1</x:v>
      </x:c>
      <x:c r="X169" s="50" t="n">
        <x:f>IF(LEFT(U169,2)="历史",0,1)</x:f>
        <x:v>1</x:v>
      </x:c>
    </x:row>
    <x:row r="170" ht="44" customHeight="1">
      <x:c r="A170" s="50" t="str">
        <x:v>特殊资产</x:v>
      </x:c>
      <x:c r="B170" s="50" t="n">
        <x:v>27</x:v>
      </x:c>
      <x:c r="C170" s="50" t="n">
        <x:v>1</x:v>
      </x:c>
      <x:c r="D170" s="50" t="str">
        <x:v>视觉特效</x:v>
      </x:c>
      <x:c r="E170" s="36" t="str">
        <x:v>返回舱气囊触地与滚摆</x:v>
      </x:c>
      <x:c r="F170" s="36" t="str">
        <x:v>BY-VFX-P0-007-气囊触地滚摆</x:v>
      </x:c>
      <x:c r="G170" s="36" t="str"/>
      <x:c r="H170" s="50" t="str"/>
      <x:c r="I170" s="50" t="str">
        <x:v>VFX</x:v>
      </x:c>
      <x:c r="J170" s="50" t="str">
        <x:v>P0</x:v>
      </x:c>
      <x:c r="K170" s="36" t="str">
        <x:v>V1.2逐镜映射见data/阶段1_114镜资产调用映射_V1.2.csv</x:v>
      </x:c>
      <x:c r="L170" s="36" t="str">
        <x:v>场15；镜109</x:v>
      </x:c>
      <x:c r="M170" s="36" t="str">
        <x:v>气囊充气、触地、短距离滚摆并稳定。</x:v>
      </x:c>
      <x:c r="N170" s="36" t="str">
        <x:v>属于艺术化陆上回收方案。</x:v>
      </x:c>
      <x:c r="O170" s="36" t="str">
        <x:v>充气；触地；滚摆；稳定</x:v>
      </x:c>
      <x:c r="P170" s="36" t="str">
        <x:v>地表尘土和气囊变形符合地球环境</x:v>
      </x:c>
      <x:c r="Q170" s="36" t="str">
        <x:v>着陆区自然光</x:v>
      </x:c>
      <x:c r="R170" s="36" t="str">
        <x:v>与搜救MASTER联合测试</x:v>
      </x:c>
      <x:c r="S170" s="36" t="str">
        <x:v>第15场</x:v>
      </x:c>
      <x:c r="T170" s="36" t="str">
        <x:v>V1.2剧本明确＋项目锁定＋公开工程资料边界</x:v>
      </x:c>
      <x:c r="U170" s="36" t="str">
        <x:v>已确认生产方向</x:v>
      </x:c>
      <x:c r="V170" s="36" t="str">
        <x:v>阶段2A重入后按生产包执行</x:v>
      </x:c>
      <x:c r="W170" s="50" t="n">
        <x:f>IF(OR(D170="场景母图",D170="场景多视角"),0,1)</x:f>
        <x:v>1</x:v>
      </x:c>
      <x:c r="X170" s="50" t="n">
        <x:f>IF(LEFT(U170,2)="历史",0,1)</x:f>
        <x:v>1</x:v>
      </x:c>
    </x:row>
    <x:row r="171" ht="44" customHeight="1">
      <x:c r="A171" s="50" t="str">
        <x:v>特殊资产</x:v>
      </x:c>
      <x:c r="B171" s="50" t="n">
        <x:v>28</x:v>
      </x:c>
      <x:c r="C171" s="50" t="n">
        <x:v>1</x:v>
      </x:c>
      <x:c r="D171" s="50" t="str">
        <x:v>视觉特效</x:v>
      </x:c>
      <x:c r="E171" s="36" t="str">
        <x:v>月轨姿态控制喷流</x:v>
      </x:c>
      <x:c r="F171" s="36" t="str">
        <x:v>BY-VFX-P1-004-姿控喷流</x:v>
      </x:c>
      <x:c r="G171" s="36" t="str"/>
      <x:c r="H171" s="50" t="str"/>
      <x:c r="I171" s="50" t="str">
        <x:v>VFX</x:v>
      </x:c>
      <x:c r="J171" s="50" t="str">
        <x:v>P1</x:v>
      </x:c>
      <x:c r="K171" s="36" t="str">
        <x:v>V1.2逐镜映射见data/阶段1_114镜资产调用映射_V1.2.csv</x:v>
      </x:c>
      <x:c r="L171" s="36" t="str">
        <x:v>场2,4,12,13,15；镜008,025,084,093,102,103</x:v>
      </x:c>
      <x:c r="M171" s="36" t="str">
        <x:v>两器交会、分离和姿态调整时的短促微弱喷流。</x:v>
      </x:c>
      <x:c r="N171" s="36" t="str">
        <x:v>外部静音，不形成爆炸火焰。</x:v>
      </x:c>
      <x:c r="O171" s="36" t="str">
        <x:v>接近；停泊；分离；调姿</x:v>
      </x:c>
      <x:c r="P171" s="36" t="str">
        <x:v>稀薄短促羽流</x:v>
      </x:c>
      <x:c r="Q171" s="36" t="str">
        <x:v>太空真空</x:v>
      </x:c>
      <x:c r="R171" s="36" t="str">
        <x:v>梦舟／揽月通用模板</x:v>
      </x:c>
      <x:c r="S171" s="36" t="str">
        <x:v>第2、4、12—15场</x:v>
      </x:c>
      <x:c r="T171" s="36" t="str">
        <x:v>V1.2剧本明确＋项目锁定＋公开工程资料边界</x:v>
      </x:c>
      <x:c r="U171" s="36" t="str">
        <x:v>已确认生产方向</x:v>
      </x:c>
      <x:c r="V171" s="36" t="str">
        <x:v>阶段2A重入后按生产包执行</x:v>
      </x:c>
      <x:c r="W171" s="50" t="n">
        <x:f>IF(OR(D171="场景母图",D171="场景多视角"),0,1)</x:f>
        <x:v>1</x:v>
      </x:c>
      <x:c r="X171" s="50" t="n">
        <x:f>IF(LEFT(U171,2)="历史",0,1)</x:f>
        <x:v>1</x:v>
      </x:c>
    </x:row>
    <x:row r="172" ht="44" customHeight="1">
      <x:c r="A172" s="50" t="str">
        <x:v>特殊资产</x:v>
      </x:c>
      <x:c r="B172" s="50" t="n">
        <x:v>29</x:v>
      </x:c>
      <x:c r="C172" s="50" t="n">
        <x:v>1</x:v>
      </x:c>
      <x:c r="D172" s="50" t="str">
        <x:v>视觉特效</x:v>
      </x:c>
      <x:c r="E172" s="36" t="str">
        <x:v>半弹道跳跃式再入轨迹</x:v>
      </x:c>
      <x:c r="F172" s="36" t="str">
        <x:v>BY-VFX-P1-005-半弹道跳跃式再入轨迹</x:v>
      </x:c>
      <x:c r="G172" s="36" t="str"/>
      <x:c r="H172" s="50" t="str"/>
      <x:c r="I172" s="50" t="str">
        <x:v>VFX</x:v>
      </x:c>
      <x:c r="J172" s="50" t="str">
        <x:v>P1</x:v>
      </x:c>
      <x:c r="K172" s="36" t="str">
        <x:v>V1.2逐镜映射见data/阶段1_114镜资产调用映射_V1.2.csv</x:v>
      </x:c>
      <x:c r="L172" s="36" t="str">
        <x:v>场15；镜104,105,106</x:v>
      </x:c>
      <x:c r="M172" s="36" t="str">
        <x:v>第一次擦入、跃出稠密大气、再次下弯和第二次再入的后期轨迹表达。</x:v>
      </x:c>
      <x:c r="N172" s="36" t="str">
        <x:v>不得写成进入地球同步轨道。</x:v>
      </x:c>
      <x:c r="O172" s="36" t="str">
        <x:v>第一次入射；跃出；第二次入射</x:v>
      </x:c>
      <x:c r="P172" s="36" t="str">
        <x:v>克制轨迹线和地球弧面</x:v>
      </x:c>
      <x:c r="Q172" s="36" t="str">
        <x:v>可读数字后期制作</x:v>
      </x:c>
      <x:c r="R172" s="36" t="str">
        <x:v>后期轨迹模板</x:v>
      </x:c>
      <x:c r="S172" s="36" t="str">
        <x:v>第15场</x:v>
      </x:c>
      <x:c r="T172" s="36" t="str">
        <x:v>V1.2剧本明确＋项目锁定＋公开工程资料边界</x:v>
      </x:c>
      <x:c r="U172" s="36" t="str">
        <x:v>已确认生产方向</x:v>
      </x:c>
      <x:c r="V172" s="36" t="str">
        <x:v>阶段2A重入后按生产包执行</x:v>
      </x:c>
      <x:c r="W172" s="50" t="n">
        <x:f>IF(OR(D172="场景母图",D172="场景多视角"),0,1)</x:f>
        <x:v>1</x:v>
      </x:c>
      <x:c r="X172" s="50" t="n">
        <x:f>IF(LEFT(U172,2)="历史",0,1)</x:f>
        <x:v>1</x:v>
      </x:c>
    </x:row>
    <x:row r="173" ht="44" customHeight="1">
      <x:c r="A173" s="50" t="str">
        <x:v>特殊资产</x:v>
      </x:c>
      <x:c r="B173" s="50" t="n">
        <x:v>30</x:v>
      </x:c>
      <x:c r="C173" s="50" t="n">
        <x:v>1</x:v>
      </x:c>
      <x:c r="D173" s="50" t="str">
        <x:v>视觉特效</x:v>
      </x:c>
      <x:c r="E173" s="36" t="str">
        <x:v>揽月受控处置轨迹</x:v>
      </x:c>
      <x:c r="F173" s="36" t="str">
        <x:v>BY-VFX-P1-006-揽月受控处置轨迹</x:v>
      </x:c>
      <x:c r="G173" s="36" t="str"/>
      <x:c r="H173" s="50" t="str"/>
      <x:c r="I173" s="50" t="str">
        <x:v>VFX</x:v>
      </x:c>
      <x:c r="J173" s="50" t="str">
        <x:v>P1</x:v>
      </x:c>
      <x:c r="K173" s="36" t="str">
        <x:v>V1.2逐镜映射见data/阶段1_114镜资产调用映射_V1.2.csv</x:v>
      </x:c>
      <x:c r="L173" s="36" t="str">
        <x:v>场13；镜093,095</x:v>
      </x:c>
      <x:c r="M173" s="36" t="str">
        <x:v>梦舟与揽月分离后的轨迹分叉和安全距离。</x:v>
      </x:c>
      <x:c r="N173" s="36" t="str">
        <x:v>不锁定具体撞击点。</x:v>
      </x:c>
      <x:c r="O173" s="36" t="str">
        <x:v>分离；轨迹分叉；目标移除</x:v>
      </x:c>
      <x:c r="P173" s="36" t="str">
        <x:v>克制轨迹图形</x:v>
      </x:c>
      <x:c r="Q173" s="36" t="str">
        <x:v>环月轨道环境</x:v>
      </x:c>
      <x:c r="R173" s="36" t="str">
        <x:v>与揽月处置状态联合制作</x:v>
      </x:c>
      <x:c r="S173" s="36" t="str">
        <x:v>第13场</x:v>
      </x:c>
      <x:c r="T173" s="36" t="str">
        <x:v>V1.2剧本明确＋项目锁定＋公开工程资料边界</x:v>
      </x:c>
      <x:c r="U173" s="36" t="str">
        <x:v>已确认生产方向</x:v>
      </x:c>
      <x:c r="V173" s="36" t="str">
        <x:v>阶段2A重入后按生产包执行</x:v>
      </x:c>
      <x:c r="W173" s="50" t="n">
        <x:f>IF(OR(D173="场景母图",D173="场景多视角"),0,1)</x:f>
        <x:v>1</x:v>
      </x:c>
      <x:c r="X173" s="50" t="n">
        <x:f>IF(LEFT(U173,2)="历史",0,1)</x:f>
        <x:v>1</x:v>
      </x:c>
    </x:row>
    <x:row r="174" ht="44" customHeight="1">
      <x:c r="A174" s="50" t="str">
        <x:v>特殊资产</x:v>
      </x:c>
      <x:c r="B174" s="50" t="n">
        <x:v>31</x:v>
      </x:c>
      <x:c r="C174" s="50" t="n">
        <x:v>1</x:v>
      </x:c>
      <x:c r="D174" s="50" t="str">
        <x:v>视觉特效</x:v>
      </x:c>
      <x:c r="E174" s="36" t="str">
        <x:v>月球车轮迹与低重力扬尘</x:v>
      </x:c>
      <x:c r="F174" s="36" t="str">
        <x:v>BY-VFX-P1-007-月球车轮迹与低重力扬尘</x:v>
      </x:c>
      <x:c r="G174" s="36" t="str"/>
      <x:c r="H174" s="50" t="str"/>
      <x:c r="I174" s="50" t="str">
        <x:v>VFX</x:v>
      </x:c>
      <x:c r="J174" s="50" t="str">
        <x:v>P1</x:v>
      </x:c>
      <x:c r="K174" s="36" t="str">
        <x:v>V1.2逐镜映射见data/阶段1_114镜资产调用映射_V1.2.csv</x:v>
      </x:c>
      <x:c r="L174" s="36" t="str">
        <x:v>场9；镜058,059,066,067</x:v>
      </x:c>
      <x:c r="M174" s="36" t="str">
        <x:v>车轮压出连续轨迹，少量颗粒按弹道落回。</x:v>
      </x:c>
      <x:c r="N174" s="36" t="str">
        <x:v>无空气翻滚尘云。</x:v>
      </x:c>
      <x:c r="O174" s="36" t="str">
        <x:v>卸载；行驶；转弯；返程</x:v>
      </x:c>
      <x:c r="P174" s="36" t="str">
        <x:v>月壤颗粒和轮迹压实</x:v>
      </x:c>
      <x:c r="Q174" s="36" t="str">
        <x:v>艺术化月面任务日光</x:v>
      </x:c>
      <x:c r="R174" s="36" t="str">
        <x:v>月面物理测试</x:v>
      </x:c>
      <x:c r="S174" s="36" t="str">
        <x:v>第9场</x:v>
      </x:c>
      <x:c r="T174" s="36" t="str">
        <x:v>V1.2剧本明确＋项目锁定＋公开工程资料边界</x:v>
      </x:c>
      <x:c r="U174" s="36" t="str">
        <x:v>已确认生产方向</x:v>
      </x:c>
      <x:c r="V174" s="36" t="str">
        <x:v>阶段2A重入后按生产包执行</x:v>
      </x:c>
      <x:c r="W174" s="50" t="n">
        <x:f>IF(OR(D174="场景母图",D174="场景多视角"),0,1)</x:f>
        <x:v>1</x:v>
      </x:c>
      <x:c r="X174" s="50" t="n">
        <x:f>IF(LEFT(U174,2)="历史",0,1)</x:f>
        <x:v>1</x:v>
      </x:c>
    </x:row>
    <x:row r="175" ht="44" customHeight="1">
      <x:c r="A175" s="50" t="str">
        <x:v>特殊资产</x:v>
      </x:c>
      <x:c r="B175" s="50" t="n">
        <x:v>32</x:v>
      </x:c>
      <x:c r="C175" s="50" t="n">
        <x:v>1</x:v>
      </x:c>
      <x:c r="D175" s="50" t="str">
        <x:v>视觉特效</x:v>
      </x:c>
      <x:c r="E175" s="36" t="str">
        <x:v>基于实时遥测的视觉重建合成</x:v>
      </x:c>
      <x:c r="F175" s="36" t="str">
        <x:v>BY-VFX-P1-008-遥测视觉重建合成</x:v>
      </x:c>
      <x:c r="G175" s="36" t="str"/>
      <x:c r="H175" s="50" t="str"/>
      <x:c r="I175" s="50" t="str">
        <x:v>VFX</x:v>
      </x:c>
      <x:c r="J175" s="50" t="str">
        <x:v>P1</x:v>
      </x:c>
      <x:c r="K175" s="36" t="str">
        <x:v>所有标注“视觉重建”的镜头</x:v>
      </x:c>
      <x:c r="L175" s="36" t="str">
        <x:v>第1—2、4—7、11—14场</x:v>
      </x:c>
      <x:c r="M175" s="36" t="str">
        <x:v>以轨道、姿态、距离和时间数据重建无法由实体任务相机直接拍到的外部全景。</x:v>
      </x:c>
      <x:c r="N175" s="36" t="str">
        <x:v>画面角落始终保留统一来源标识，运动克制，不模拟追逐摄影机。</x:v>
      </x:c>
      <x:c r="O175" s="36" t="str">
        <x:v>环月对接；分离下降；着陆全景；月面上升；再入</x:v>
      </x:c>
      <x:c r="P175" s="36" t="str">
        <x:v>与载具母资产和轨迹数据绑定</x:v>
      </x:c>
      <x:c r="Q175" s="36" t="str">
        <x:v>环月、月面与再入环境</x:v>
      </x:c>
      <x:c r="R175" s="36" t="str">
        <x:v>不得替代接触、触月、出舱、再对接等任务证据镜头</x:v>
      </x:c>
      <x:c r="S175" s="36" t="str">
        <x:v>全片视觉重建</x:v>
      </x:c>
      <x:c r="T175" s="36" t="str">
        <x:v>V1.3.1正式分镜稿＋公开资料边界内艺术推演</x:v>
      </x:c>
      <x:c r="U175" s="36" t="str">
        <x:v>阶段1已确认生产方向</x:v>
      </x:c>
      <x:c r="V175" s="36" t="str">
        <x:v>阶段2B建立母资产并按镜头状态派生</x:v>
      </x:c>
      <x:c r="W175" s="50" t="n">
        <x:f>IF(OR(D175="场景母图",D175="场景多视角"),0,1)</x:f>
        <x:v>1</x:v>
      </x:c>
      <x:c r="X175" s="50" t="n">
        <x:f>IF(LEFT(U175,2)="历史",0,1)</x:f>
        <x:v>1</x:v>
      </x:c>
    </x:row>
    <x:row r="176" ht="44" customHeight="1">
      <x:c r="A176" s="50" t="str">
        <x:v>特殊资产</x:v>
      </x:c>
      <x:c r="B176" s="50" t="n">
        <x:v>33</x:v>
      </x:c>
      <x:c r="C176" s="50" t="n">
        <x:v>1</x:v>
      </x:c>
      <x:c r="D176" s="50" t="str">
        <x:v>关系约束</x:v>
      </x:c>
      <x:c r="E176" s="36" t="str">
        <x:v>三名航天员与岗位关系</x:v>
      </x:c>
      <x:c r="F176" s="36" t="str">
        <x:v>BY-REL-P0-001-三名航天员与岗位</x:v>
      </x:c>
      <x:c r="G176" s="36" t="str"/>
      <x:c r="H176" s="50" t="str"/>
      <x:c r="I176" s="50" t="str">
        <x:v>REL</x:v>
      </x:c>
      <x:c r="J176" s="50" t="str">
        <x:v>P0</x:v>
      </x:c>
      <x:c r="K176" s="36" t="str">
        <x:v>V1.2逐镜映射见data/阶段1_114镜资产调用映射_V1.2.csv</x:v>
      </x:c>
      <x:c r="L176" s="36" t="str">
        <x:v>全片</x:v>
      </x:c>
      <x:c r="M176" s="36" t="str">
        <x:v>三人外观、服装、声音、座位和岗位一一对应</x:v>
      </x:c>
      <x:c r="N176" s="36" t="str">
        <x:v>关系切片供人物、场景和声音组共同继承</x:v>
      </x:c>
      <x:c r="O176" s="36" t="str">
        <x:v>全过程</x:v>
      </x:c>
      <x:c r="P176" s="36" t="str">
        <x:v>人物与岗位连续性</x:v>
      </x:c>
      <x:c r="Q176" s="36" t="str">
        <x:v>全片实际光源</x:v>
      </x:c>
      <x:c r="R176" s="36" t="str">
        <x:v>跨资产关系记录</x:v>
      </x:c>
      <x:c r="S176" s="36" t="str">
        <x:v>全片</x:v>
      </x:c>
      <x:c r="T176" s="36" t="str">
        <x:v>剧本明确</x:v>
      </x:c>
      <x:c r="U176" s="36" t="str">
        <x:v>已确认锁定</x:v>
      </x:c>
      <x:c r="V176" s="36" t="str">
        <x:v>阶段2B分工包必带</x:v>
      </x:c>
      <x:c r="W176" s="50" t="n">
        <x:f>IF(OR(D176="场景母图",D176="场景多视角"),0,1)</x:f>
        <x:v>1</x:v>
      </x:c>
      <x:c r="X176" s="50" t="n">
        <x:f>IF(LEFT(U176,2)="历史",0,1)</x:f>
        <x:v>1</x:v>
      </x:c>
    </x:row>
    <x:row r="177" ht="44" customHeight="1">
      <x:c r="A177" s="50" t="str">
        <x:v>特殊资产</x:v>
      </x:c>
      <x:c r="B177" s="50" t="n">
        <x:v>34</x:v>
      </x:c>
      <x:c r="C177" s="50" t="n">
        <x:v>1</x:v>
      </x:c>
      <x:c r="D177" s="50" t="str">
        <x:v>关系约束</x:v>
      </x:c>
      <x:c r="E177" s="36" t="str">
        <x:v>杨凛服装状态链</x:v>
      </x:c>
      <x:c r="F177" s="36" t="str">
        <x:v>BY-REL-P0-002-杨凛服装状态链</x:v>
      </x:c>
      <x:c r="G177" s="36" t="str"/>
      <x:c r="H177" s="50" t="str"/>
      <x:c r="I177" s="50" t="str">
        <x:v>REL</x:v>
      </x:c>
      <x:c r="J177" s="50" t="str">
        <x:v>P0</x:v>
      </x:c>
      <x:c r="K177" s="36" t="str">
        <x:v>V1.2逐镜映射见data/阶段1_114镜资产调用映射_V1.2.csv</x:v>
      </x:c>
      <x:c r="L177" s="36" t="str">
        <x:v>03-10</x:v>
      </x:c>
      <x:c r="M177" s="36" t="str">
        <x:v>舱内飞行服到登月服再回舱内状态</x:v>
      </x:c>
      <x:c r="N177" s="36" t="str">
        <x:v>顺序固定，不跨镜混用互斥状态</x:v>
      </x:c>
      <x:c r="O177" s="36" t="str">
        <x:v>舱内;登月服;月尘;脱服后</x:v>
      </x:c>
      <x:c r="P177" s="36" t="str">
        <x:v>服装连续性</x:v>
      </x:c>
      <x:c r="Q177" s="36" t="str">
        <x:v>舱内与月面</x:v>
      </x:c>
      <x:c r="R177" s="36" t="str">
        <x:v>跨资产关系记录</x:v>
      </x:c>
      <x:c r="S177" s="36" t="str">
        <x:v>03-10</x:v>
      </x:c>
      <x:c r="T177" s="36" t="str">
        <x:v>剧本明确</x:v>
      </x:c>
      <x:c r="U177" s="36" t="str">
        <x:v>已确认锁定</x:v>
      </x:c>
      <x:c r="V177" s="36" t="str">
        <x:v>人物组关系切片</x:v>
      </x:c>
      <x:c r="W177" s="50" t="n">
        <x:f>IF(OR(D177="场景母图",D177="场景多视角"),0,1)</x:f>
        <x:v>1</x:v>
      </x:c>
      <x:c r="X177" s="50" t="n">
        <x:f>IF(LEFT(U177,2)="历史",0,1)</x:f>
        <x:v>1</x:v>
      </x:c>
    </x:row>
    <x:row r="178" ht="44" customHeight="1">
      <x:c r="A178" s="50" t="str">
        <x:v>特殊资产</x:v>
      </x:c>
      <x:c r="B178" s="50" t="n">
        <x:v>35</x:v>
      </x:c>
      <x:c r="C178" s="50" t="n">
        <x:v>1</x:v>
      </x:c>
      <x:c r="D178" s="50" t="str">
        <x:v>关系约束</x:v>
      </x:c>
      <x:c r="E178" s="36" t="str">
        <x:v>陈砚服装状态链</x:v>
      </x:c>
      <x:c r="F178" s="36" t="str">
        <x:v>BY-REL-P0-003-陈砚服装状态链</x:v>
      </x:c>
      <x:c r="G178" s="36" t="str"/>
      <x:c r="H178" s="50" t="str"/>
      <x:c r="I178" s="50" t="str">
        <x:v>REL</x:v>
      </x:c>
      <x:c r="J178" s="50" t="str">
        <x:v>P0</x:v>
      </x:c>
      <x:c r="K178" s="36" t="str">
        <x:v>V1.2逐镜映射见data/阶段1_114镜资产调用映射_V1.2.csv</x:v>
      </x:c>
      <x:c r="L178" s="36" t="str">
        <x:v>03-10</x:v>
      </x:c>
      <x:c r="M178" s="36" t="str">
        <x:v>与杨凛同阶段但工具痕迹不同</x:v>
      </x:c>
      <x:c r="N178" s="36" t="str">
        <x:v>顺序固定，不跨镜混用互斥状态</x:v>
      </x:c>
      <x:c r="O178" s="36" t="str">
        <x:v>舱内;登月服;月尘;脱服后</x:v>
      </x:c>
      <x:c r="P178" s="36" t="str">
        <x:v>服装连续性</x:v>
      </x:c>
      <x:c r="Q178" s="36" t="str">
        <x:v>舱内与月面</x:v>
      </x:c>
      <x:c r="R178" s="36" t="str">
        <x:v>跨资产关系记录</x:v>
      </x:c>
      <x:c r="S178" s="36" t="str">
        <x:v>03-10</x:v>
      </x:c>
      <x:c r="T178" s="36" t="str">
        <x:v>剧本明确</x:v>
      </x:c>
      <x:c r="U178" s="36" t="str">
        <x:v>已确认锁定</x:v>
      </x:c>
      <x:c r="V178" s="36" t="str">
        <x:v>人物组关系切片</x:v>
      </x:c>
      <x:c r="W178" s="50" t="n">
        <x:f>IF(OR(D178="场景母图",D178="场景多视角"),0,1)</x:f>
        <x:v>1</x:v>
      </x:c>
      <x:c r="X178" s="50" t="n">
        <x:f>IF(LEFT(U178,2)="历史",0,1)</x:f>
        <x:v>1</x:v>
      </x:c>
    </x:row>
    <x:row r="179" ht="44" customHeight="1">
      <x:c r="A179" s="52" t="str">
        <x:v>特殊资产</x:v>
      </x:c>
      <x:c r="B179" s="52" t="n">
        <x:v>36</x:v>
      </x:c>
      <x:c r="C179" s="52" t="n">
        <x:v>1</x:v>
      </x:c>
      <x:c r="D179" s="52" t="str">
        <x:v>关系约束</x:v>
      </x:c>
      <x:c r="E179" s="41" t="str">
        <x:v>刘定槎与两张空座椅</x:v>
      </x:c>
      <x:c r="F179" s="41" t="str">
        <x:v>BY-REL-P0-004-刘定槎与两张空座椅</x:v>
      </x:c>
      <x:c r="G179" s="41" t="str"/>
      <x:c r="H179" s="52" t="str"/>
      <x:c r="I179" s="52" t="str">
        <x:v>REL</x:v>
      </x:c>
      <x:c r="J179" s="52" t="str">
        <x:v>P0</x:v>
      </x:c>
      <x:c r="K179" s="41" t="str">
        <x:v>03-13场</x:v>
      </x:c>
      <x:c r="L179" s="41" t="str">
        <x:v>历史V1.1</x:v>
      </x:c>
      <x:c r="M179" s="41" t="str">
        <x:v>分离后空出、等待时存在、重聚后坐满</x:v>
      </x:c>
      <x:c r="N179" s="41" t="str">
        <x:v>座位位置、束缚带和人物归属固定</x:v>
      </x:c>
      <x:c r="O179" s="41" t="str">
        <x:v>三人;两空座;重新坐满</x:v>
      </x:c>
      <x:c r="P179" s="41" t="str">
        <x:v>空间母题连续性</x:v>
      </x:c>
      <x:c r="Q179" s="41" t="str">
        <x:v>梦舟舱内任务光</x:v>
      </x:c>
      <x:c r="R179" s="41" t="str">
        <x:v>跨资产关系记录</x:v>
      </x:c>
      <x:c r="S179" s="41" t="str">
        <x:v>03-13</x:v>
      </x:c>
      <x:c r="T179" s="41" t="str">
        <x:v>剧本明确</x:v>
      </x:c>
      <x:c r="U179" s="41" t="str">
        <x:v>历史停用（V1.2不调用）</x:v>
      </x:c>
      <x:c r="V179" s="41" t="str">
        <x:v>叙事关系失效；由BY-REL-P0-009替代</x:v>
      </x:c>
      <x:c r="W179" s="52" t="n">
        <x:f>IF(OR(D179="场景母图",D179="场景多视角"),0,1)</x:f>
        <x:v>1</x:v>
      </x:c>
      <x:c r="X179" s="52" t="n">
        <x:f>IF(LEFT(U179,2)="历史",0,1)</x:f>
        <x:v>0</x:v>
      </x:c>
    </x:row>
    <x:row r="180" ht="44" customHeight="1">
      <x:c r="A180" s="50" t="str">
        <x:v>特殊资产</x:v>
      </x:c>
      <x:c r="B180" s="50" t="n">
        <x:v>37</x:v>
      </x:c>
      <x:c r="C180" s="50" t="n">
        <x:v>1</x:v>
      </x:c>
      <x:c r="D180" s="50" t="str">
        <x:v>关系约束</x:v>
      </x:c>
      <x:c r="E180" s="36" t="str">
        <x:v>揽月构型状态链</x:v>
      </x:c>
      <x:c r="F180" s="36" t="str">
        <x:v>BY-REL-P0-005-揽月构型状态链</x:v>
      </x:c>
      <x:c r="G180" s="36" t="str"/>
      <x:c r="H180" s="50" t="str"/>
      <x:c r="I180" s="50" t="str">
        <x:v>REL</x:v>
      </x:c>
      <x:c r="J180" s="50" t="str">
        <x:v>P0</x:v>
      </x:c>
      <x:c r="K180" s="36" t="str">
        <x:v>V1.2逐镜映射见data/阶段1_114镜资产调用映射_V1.2.csv</x:v>
      </x:c>
      <x:c r="L180" s="36" t="str">
        <x:v>01;03-12</x:v>
      </x:c>
      <x:c r="M180" s="36" t="str">
        <x:v>着陆器＋推进舱交会对接—分离降轨—推进舱分离—着陆器下降／触月／整体起飞—再对接—受控处置。</x:v>
      </x:c>
      <x:c r="N180" s="36" t="str">
        <x:v>禁止出现阿波罗式上升级下降级</x:v>
      </x:c>
      <x:c r="O180" s="36" t="str">
        <x:v>完整;分离;着陆;起飞;对接</x:v>
      </x:c>
      <x:c r="P180" s="36" t="str">
        <x:v>航天器构型连续性</x:v>
      </x:c>
      <x:c r="Q180" s="36" t="str">
        <x:v>轨道与月面光</x:v>
      </x:c>
      <x:c r="R180" s="36" t="str">
        <x:v>跨资产关系记录</x:v>
      </x:c>
      <x:c r="S180" s="36" t="str">
        <x:v>多场</x:v>
      </x:c>
      <x:c r="T180" s="36" t="str">
        <x:v>剧本明确;公开资料</x:v>
      </x:c>
      <x:c r="U180" s="36" t="str">
        <x:v>已确认锁定</x:v>
      </x:c>
      <x:c r="V180" s="36" t="str">
        <x:v>按V1.2扩展后的完整状态链执行</x:v>
      </x:c>
      <x:c r="W180" s="50" t="n">
        <x:f>IF(OR(D180="场景母图",D180="场景多视角"),0,1)</x:f>
        <x:v>1</x:v>
      </x:c>
      <x:c r="X180" s="50" t="n">
        <x:f>IF(LEFT(U180,2)="历史",0,1)</x:f>
        <x:v>1</x:v>
      </x:c>
    </x:row>
    <x:row r="181" ht="44" customHeight="1">
      <x:c r="A181" s="50" t="str">
        <x:v>特殊资产</x:v>
      </x:c>
      <x:c r="B181" s="50" t="n">
        <x:v>38</x:v>
      </x:c>
      <x:c r="C181" s="50" t="n">
        <x:v>1</x:v>
      </x:c>
      <x:c r="D181" s="50" t="str">
        <x:v>关系约束</x:v>
      </x:c>
      <x:c r="E181" s="36" t="str">
        <x:v>月面摄像机摄影来源</x:v>
      </x:c>
      <x:c r="F181" s="36" t="str">
        <x:v>BY-REL-P0-006-月面摄像机摄影来源</x:v>
      </x:c>
      <x:c r="G181" s="36" t="str"/>
      <x:c r="H181" s="50" t="str"/>
      <x:c r="I181" s="50" t="str">
        <x:v>REL</x:v>
      </x:c>
      <x:c r="J181" s="50" t="str">
        <x:v>P0</x:v>
      </x:c>
      <x:c r="K181" s="36" t="str">
        <x:v>V1.2逐镜映射见data/阶段1_114镜资产调用映射_V1.2.csv</x:v>
      </x:c>
      <x:c r="L181" s="36" t="str">
        <x:v>第8—11场</x:v>
      </x:c>
      <x:c r="M181" s="36" t="str">
        <x:v>先部署摄像机后才能调用国旗和起飞固定全景</x:v>
      </x:c>
      <x:c r="N181" s="36" t="str">
        <x:v>位置、朝向和安全区不得漂移</x:v>
      </x:c>
      <x:c r="O181" s="36" t="str">
        <x:v>部署前：揽月／宇航服任务相机；部署后：同一便携相机；科研：月球车与宇航服相机</x:v>
      </x:c>
      <x:c r="P181" s="36" t="str">
        <x:v>空间与摄影来源连续性</x:v>
      </x:c>
      <x:c r="Q181" s="36" t="str">
        <x:v>月面固定太阳光</x:v>
      </x:c>
      <x:c r="R181" s="36" t="str">
        <x:v>任何第三视角都必须能追溯到已部署设备或显式遥测视觉重建。</x:v>
      </x:c>
      <x:c r="S181" s="36" t="str">
        <x:v>08-10</x:v>
      </x:c>
      <x:c r="T181" s="36" t="str">
        <x:v>剧本明确</x:v>
      </x:c>
      <x:c r="U181" s="36" t="str">
        <x:v>已确认锁定</x:v>
      </x:c>
      <x:c r="V181" s="36" t="str">
        <x:v>月面场景组关系切片</x:v>
      </x:c>
      <x:c r="W181" s="50" t="n">
        <x:f>IF(OR(D181="场景母图",D181="场景多视角"),0,1)</x:f>
        <x:v>1</x:v>
      </x:c>
      <x:c r="X181" s="50" t="n">
        <x:f>IF(LEFT(U181,2)="历史",0,1)</x:f>
        <x:v>1</x:v>
      </x:c>
    </x:row>
    <x:row r="182" ht="44" customHeight="1">
      <x:c r="A182" s="50" t="str">
        <x:v>特殊资产</x:v>
      </x:c>
      <x:c r="B182" s="50" t="n">
        <x:v>39</x:v>
      </x:c>
      <x:c r="C182" s="50" t="n">
        <x:v>1</x:v>
      </x:c>
      <x:c r="D182" s="50" t="str">
        <x:v>关系约束</x:v>
      </x:c>
      <x:c r="E182" s="36" t="str">
        <x:v>国旗装置部署链</x:v>
      </x:c>
      <x:c r="F182" s="36" t="str">
        <x:v>BY-REL-P0-007-国旗装置部署链</x:v>
      </x:c>
      <x:c r="G182" s="36" t="str"/>
      <x:c r="H182" s="50" t="str"/>
      <x:c r="I182" s="50" t="str">
        <x:v>REL</x:v>
      </x:c>
      <x:c r="J182" s="50" t="str">
        <x:v>P0</x:v>
      </x:c>
      <x:c r="K182" s="36" t="str">
        <x:v>V1.2逐镜映射见data/阶段1_114镜资产调用映射_V1.2.csv</x:v>
      </x:c>
      <x:c r="L182" s="36" t="str">
        <x:v>08</x:v>
      </x:c>
      <x:c r="M182" s="36" t="str">
        <x:v>折叠、搬运、底座稳定、支撑锁定、展开、静止</x:v>
      </x:c>
      <x:c r="N182" s="36" t="str">
        <x:v>旗面无风，只允许部署余振</x:v>
      </x:c>
      <x:c r="O182" s="36" t="str">
        <x:v>多状态</x:v>
      </x:c>
      <x:c r="P182" s="36" t="str">
        <x:v>道具状态连续性</x:v>
      </x:c>
      <x:c r="Q182" s="36" t="str">
        <x:v>月面固定太阳光</x:v>
      </x:c>
      <x:c r="R182" s="36" t="str">
        <x:v>跨资产关系记录</x:v>
      </x:c>
      <x:c r="S182" s="36" t="str">
        <x:v>08</x:v>
      </x:c>
      <x:c r="T182" s="36" t="str">
        <x:v>剧本明确;科学约束</x:v>
      </x:c>
      <x:c r="U182" s="36" t="str">
        <x:v>已确认锁定</x:v>
      </x:c>
      <x:c r="V182" s="36" t="str">
        <x:v>道具组关系切片</x:v>
      </x:c>
      <x:c r="W182" s="50" t="n">
        <x:f>IF(OR(D182="场景母图",D182="场景多视角"),0,1)</x:f>
        <x:v>1</x:v>
      </x:c>
      <x:c r="X182" s="50" t="n">
        <x:f>IF(LEFT(U182,2)="历史",0,1)</x:f>
        <x:v>1</x:v>
      </x:c>
    </x:row>
    <x:row r="183" ht="44" customHeight="1">
      <x:c r="A183" s="50" t="str">
        <x:v>特殊资产</x:v>
      </x:c>
      <x:c r="B183" s="50" t="n">
        <x:v>40</x:v>
      </x:c>
      <x:c r="C183" s="50" t="n">
        <x:v>1</x:v>
      </x:c>
      <x:c r="D183" s="50" t="str">
        <x:v>关系约束</x:v>
      </x:c>
      <x:c r="E183" s="36" t="str">
        <x:v>样品转移链</x:v>
      </x:c>
      <x:c r="F183" s="36" t="str">
        <x:v>BY-REL-P0-008-样品转移链</x:v>
      </x:c>
      <x:c r="G183" s="36" t="str"/>
      <x:c r="H183" s="50" t="str"/>
      <x:c r="I183" s="50" t="str">
        <x:v>REL</x:v>
      </x:c>
      <x:c r="J183" s="50" t="str">
        <x:v>P0</x:v>
      </x:c>
      <x:c r="K183" s="36" t="str">
        <x:v>V1.2逐镜映射见data/阶段1_114镜资产调用映射_V1.2.csv</x:v>
      </x:c>
      <x:c r="L183" s="36" t="str">
        <x:v>09-12</x:v>
      </x:c>
      <x:c r="M183" s="36" t="str">
        <x:v>月面编号采样—装袋封口—主容器封闭—揽月固定—样品先行跨舱—梦舟样品柜锁止—回收接收。</x:v>
      </x:c>
      <x:c r="N183" s="36" t="str">
        <x:v>容器外观、持有人和位置连续</x:v>
      </x:c>
      <x:c r="O183" s="36" t="str">
        <x:v>空;装样;转移;固定</x:v>
      </x:c>
      <x:c r="P183" s="36" t="str">
        <x:v>道具与人物接触连续性</x:v>
      </x:c>
      <x:c r="Q183" s="36" t="str">
        <x:v>月面与舱内</x:v>
      </x:c>
      <x:c r="R183" s="36" t="str">
        <x:v>跨资产关系记录</x:v>
      </x:c>
      <x:c r="S183" s="36" t="str">
        <x:v>09-12</x:v>
      </x:c>
      <x:c r="T183" s="36" t="str">
        <x:v>剧本明确</x:v>
      </x:c>
      <x:c r="U183" s="36" t="str">
        <x:v>已确认锁定</x:v>
      </x:c>
      <x:c r="V183" s="36" t="str">
        <x:v>道具组关系切片</x:v>
      </x:c>
      <x:c r="W183" s="50" t="n">
        <x:f>IF(OR(D183="场景母图",D183="场景多视角"),0,1)</x:f>
        <x:v>1</x:v>
      </x:c>
      <x:c r="X183" s="50" t="n">
        <x:f>IF(LEFT(U183,2)="历史",0,1)</x:f>
        <x:v>1</x:v>
      </x:c>
    </x:row>
    <x:row r="184" ht="44" customHeight="1">
      <x:c r="A184" s="50" t="str">
        <x:v>特殊资产</x:v>
      </x:c>
      <x:c r="B184" s="50" t="n">
        <x:v>41</x:v>
      </x:c>
      <x:c r="C184" s="50" t="n">
        <x:v>1</x:v>
      </x:c>
      <x:c r="D184" s="50" t="str">
        <x:v>关系约束</x:v>
      </x:c>
      <x:c r="E184" s="36" t="str">
        <x:v>月面空间总图</x:v>
      </x:c>
      <x:c r="F184" s="36" t="str">
        <x:v>BY-REL-P1-001-月面空间总图</x:v>
      </x:c>
      <x:c r="G184" s="36" t="str"/>
      <x:c r="H184" s="50" t="str"/>
      <x:c r="I184" s="50" t="str">
        <x:v>REL</x:v>
      </x:c>
      <x:c r="J184" s="50" t="str">
        <x:v>P1</x:v>
      </x:c>
      <x:c r="K184" s="36" t="str">
        <x:v>V1.2逐镜映射见data/阶段1_114镜资产调用映射_V1.2.csv</x:v>
      </x:c>
      <x:c r="L184" s="36" t="str">
        <x:v>04-10</x:v>
      </x:c>
      <x:c r="M184" s="36" t="str">
        <x:v>登月舱、舷梯、摄像机、国旗、科学设备、车辙和羽流安全区关系</x:v>
      </x:c>
      <x:c r="N184" s="36" t="str">
        <x:v>阶段2锁定太阳方向和坐标</x:v>
      </x:c>
      <x:c r="O184" s="36" t="str">
        <x:v>着陆前;作业;起飞后</x:v>
      </x:c>
      <x:c r="P184" s="36" t="str">
        <x:v>空间连续性</x:v>
      </x:c>
      <x:c r="Q184" s="36" t="str">
        <x:v>月面固定太阳光</x:v>
      </x:c>
      <x:c r="R184" s="36" t="str">
        <x:v>空间设计卡</x:v>
      </x:c>
      <x:c r="S184" s="36" t="str">
        <x:v>04-10</x:v>
      </x:c>
      <x:c r="T184" s="36" t="str">
        <x:v>剧本明确;创作者建议</x:v>
      </x:c>
      <x:c r="U184" s="36" t="str">
        <x:v>已确认</x:v>
      </x:c>
      <x:c r="V184" s="36" t="str">
        <x:v>场景组核心关系切片</x:v>
      </x:c>
      <x:c r="W184" s="50" t="n">
        <x:f>IF(OR(D184="场景母图",D184="场景多视角"),0,1)</x:f>
        <x:v>1</x:v>
      </x:c>
      <x:c r="X184" s="50" t="n">
        <x:f>IF(LEFT(U184,2)="历史",0,1)</x:f>
        <x:v>1</x:v>
      </x:c>
    </x:row>
    <x:row r="185" ht="44" customHeight="1">
      <x:c r="A185" s="50" t="str">
        <x:v>特殊资产</x:v>
      </x:c>
      <x:c r="B185" s="50" t="n">
        <x:v>42</x:v>
      </x:c>
      <x:c r="C185" s="50" t="n">
        <x:v>1</x:v>
      </x:c>
      <x:c r="D185" s="50" t="str">
        <x:v>关系约束</x:v>
      </x:c>
      <x:c r="E185" s="36" t="str">
        <x:v>两侧舱门顺序</x:v>
      </x:c>
      <x:c r="F185" s="36" t="str">
        <x:v>BY-REL-P1-002-两侧舱门顺序</x:v>
      </x:c>
      <x:c r="G185" s="36" t="str"/>
      <x:c r="H185" s="50" t="str"/>
      <x:c r="I185" s="50" t="str">
        <x:v>REL</x:v>
      </x:c>
      <x:c r="J185" s="50" t="str">
        <x:v>P1</x:v>
      </x:c>
      <x:c r="K185" s="36" t="str">
        <x:v>V1.2逐镜映射见data/阶段1_114镜资产调用映射_V1.2.csv</x:v>
      </x:c>
      <x:c r="L185" s="36" t="str">
        <x:v>03;12-13</x:v>
      </x:c>
      <x:c r="M185" s="36" t="str">
        <x:v>返回转移后先关闭揽月侧，最终分离前关闭梦舟侧</x:v>
      </x:c>
      <x:c r="N185" s="36" t="str">
        <x:v>两侧舱门名和状态不得混淆</x:v>
      </x:c>
      <x:c r="O185" s="36" t="str">
        <x:v>开启;关闭;密封;分离</x:v>
      </x:c>
      <x:c r="P185" s="36" t="str">
        <x:v>机构与程序连续性</x:v>
      </x:c>
      <x:c r="Q185" s="36" t="str">
        <x:v>两器舱内</x:v>
      </x:c>
      <x:c r="R185" s="36" t="str">
        <x:v>跨资产关系记录</x:v>
      </x:c>
      <x:c r="S185" s="36" t="str">
        <x:v>对接场次</x:v>
      </x:c>
      <x:c r="T185" s="36" t="str">
        <x:v>剧本明确</x:v>
      </x:c>
      <x:c r="U185" s="36" t="str">
        <x:v>已确认锁定</x:v>
      </x:c>
      <x:c r="V185" s="36" t="str">
        <x:v>场景与道具组共用</x:v>
      </x:c>
      <x:c r="W185" s="50" t="n">
        <x:f>IF(OR(D185="场景母图",D185="场景多视角"),0,1)</x:f>
        <x:v>1</x:v>
      </x:c>
      <x:c r="X185" s="50" t="n">
        <x:f>IF(LEFT(U185,2)="历史",0,1)</x:f>
        <x:v>1</x:v>
      </x:c>
    </x:row>
    <x:row r="186" ht="44" customHeight="1">
      <x:c r="A186" s="50" t="str">
        <x:v>特殊资产</x:v>
      </x:c>
      <x:c r="B186" s="50" t="n">
        <x:v>43</x:v>
      </x:c>
      <x:c r="C186" s="50" t="n">
        <x:v>1</x:v>
      </x:c>
      <x:c r="D186" s="50" t="str">
        <x:v>关系约束</x:v>
      </x:c>
      <x:c r="E186" s="36" t="str">
        <x:v>声音来源真实性</x:v>
      </x:c>
      <x:c r="F186" s="36" t="str">
        <x:v>BY-REL-P1-003-声音来源真实性</x:v>
      </x:c>
      <x:c r="G186" s="36" t="str"/>
      <x:c r="H186" s="50" t="str"/>
      <x:c r="I186" s="50" t="str">
        <x:v>REL</x:v>
      </x:c>
      <x:c r="J186" s="50" t="str">
        <x:v>P1</x:v>
      </x:c>
      <x:c r="K186" s="36" t="str">
        <x:v>V1.2逐镜映射见data/阶段1_114镜资产调用映射_V1.2.csv</x:v>
      </x:c>
      <x:c r="L186" s="36" t="str">
        <x:v>全片</x:v>
      </x:c>
      <x:c r="M186" s="36" t="str">
        <x:v>月面外部无空气传播声，呼吸与无线电来自任务通信音轨</x:v>
      </x:c>
      <x:c r="N186" s="36" t="str">
        <x:v>全片不要配乐，声音随视频同步生成</x:v>
      </x:c>
      <x:c r="O186" s="36" t="str">
        <x:v>舱内;月面;轨道;地面</x:v>
      </x:c>
      <x:c r="P186" s="36" t="str">
        <x:v>声音来源连续性</x:v>
      </x:c>
      <x:c r="Q186" s="36" t="str">
        <x:v>各场环境</x:v>
      </x:c>
      <x:c r="R186" s="36" t="str">
        <x:v>正式镜头声音关系记录</x:v>
      </x:c>
      <x:c r="S186" s="36" t="str">
        <x:v>全片</x:v>
      </x:c>
      <x:c r="T186" s="36" t="str">
        <x:v>项目锁定;科学约束</x:v>
      </x:c>
      <x:c r="U186" s="36" t="str">
        <x:v>已确认锁定</x:v>
      </x:c>
      <x:c r="V186" s="36" t="str">
        <x:v>阶段3每镜终检</x:v>
      </x:c>
      <x:c r="W186" s="50" t="n">
        <x:f>IF(OR(D186="场景母图",D186="场景多视角"),0,1)</x:f>
        <x:v>1</x:v>
      </x:c>
      <x:c r="X186" s="50" t="n">
        <x:f>IF(LEFT(U186,2)="历史",0,1)</x:f>
        <x:v>1</x:v>
      </x:c>
    </x:row>
    <x:row r="187" ht="44" customHeight="1">
      <x:c r="A187" s="50" t="str">
        <x:v>特殊资产</x:v>
      </x:c>
      <x:c r="B187" s="50" t="n">
        <x:v>44</x:v>
      </x:c>
      <x:c r="C187" s="50" t="n">
        <x:v>1</x:v>
      </x:c>
      <x:c r="D187" s="50" t="str">
        <x:v>关系约束</x:v>
      </x:c>
      <x:c r="E187" s="36" t="str">
        <x:v>梦舟三座四种乘员状态与环月工作位关系</x:v>
      </x:c>
      <x:c r="F187" s="36" t="str">
        <x:v>BY-REL-P0-009-梦舟三座返航承载与环月工作位</x:v>
      </x:c>
      <x:c r="G187" s="36" t="str"/>
      <x:c r="H187" s="50" t="str"/>
      <x:c r="I187" s="50" t="str">
        <x:v>REL</x:v>
      </x:c>
      <x:c r="J187" s="50" t="str">
        <x:v>P0</x:v>
      </x:c>
      <x:c r="K187" s="36" t="str">
        <x:v>V1.2逐镜映射见data/阶段1_114镜资产调用映射_V1.2.csv</x:v>
      </x:c>
      <x:c r="L187" s="36" t="str">
        <x:v>第1—3、5、11、14—15场</x:v>
      </x:c>
      <x:c r="M187" s="36" t="str">
        <x:v>同一返回舱内三座承力区、环月工作位、舱门轴线和样品固定位置的连续关系。</x:v>
      </x:c>
      <x:c r="N187" s="36" t="str">
        <x:v>相邻两张空座保留可识别边界，不增加第四个乘员位置。</x:v>
      </x:c>
      <x:c r="O187" s="36" t="str">
        <x:v>三座满员→一人值守两座空置→三人重聚→三人返航承载</x:v>
      </x:c>
      <x:c r="P187" s="36" t="str">
        <x:v>空间与岗位连续性</x:v>
      </x:c>
      <x:c r="Q187" s="36" t="str">
        <x:v>梦舟舱内任务光</x:v>
      </x:c>
      <x:c r="R187" s="36" t="str">
        <x:v>作为梦舟所有镜头的强连续性约束；不得生成三人并排占满通道或座椅朝向漂移。</x:v>
      </x:c>
      <x:c r="S187" s="36" t="str">
        <x:v>第1、3、9、11—15场</x:v>
      </x:c>
      <x:c r="T187" s="36" t="str">
        <x:v>V1.2剧本明确＋项目锁定＋公开工程资料边界</x:v>
      </x:c>
      <x:c r="U187" s="36" t="str">
        <x:v>已确认生产方向</x:v>
      </x:c>
      <x:c r="V187" s="36" t="str">
        <x:v>阶段2A重入后按生产包执行</x:v>
      </x:c>
      <x:c r="W187" s="50" t="n">
        <x:f>IF(OR(D187="场景母图",D187="场景多视角"),0,1)</x:f>
        <x:v>1</x:v>
      </x:c>
      <x:c r="X187" s="50" t="n">
        <x:f>IF(LEFT(U187,2)="历史",0,1)</x:f>
        <x:v>1</x:v>
      </x:c>
    </x:row>
    <x:row r="188" ht="44" customHeight="1">
      <x:c r="A188" s="50" t="str">
        <x:v>特殊资产</x:v>
      </x:c>
      <x:c r="B188" s="50" t="n">
        <x:v>45</x:v>
      </x:c>
      <x:c r="C188" s="50" t="n">
        <x:v>1</x:v>
      </x:c>
      <x:c r="D188" s="50" t="str">
        <x:v>关系约束</x:v>
      </x:c>
      <x:c r="E188" s="36" t="str">
        <x:v>梦舟轴向通道人员／样品转移顺序</x:v>
      </x:c>
      <x:c r="F188" s="36" t="str">
        <x:v>BY-REL-P0-010-梦舟轴向转移顺序</x:v>
      </x:c>
      <x:c r="G188" s="36" t="str"/>
      <x:c r="H188" s="50" t="str"/>
      <x:c r="I188" s="50" t="str">
        <x:v>REL</x:v>
      </x:c>
      <x:c r="J188" s="50" t="str">
        <x:v>P0</x:v>
      </x:c>
      <x:c r="K188" s="36" t="str">
        <x:v>V1.2逐镜映射见data/阶段1_114镜资产调用映射_V1.2.csv</x:v>
      </x:c>
      <x:c r="L188" s="36" t="str"/>
      <x:c r="M188" s="36" t="str">
        <x:v>第一次先任务物品后人员；第二次先主样品容器后人员。</x:v>
      </x:c>
      <x:c r="N188" s="36" t="str">
        <x:v>两侧舱门依次开闭并完成压差与密封检查。</x:v>
      </x:c>
      <x:c r="O188" s="36" t="str">
        <x:v>首次转移；再对接转移</x:v>
      </x:c>
      <x:c r="P188" s="36" t="str">
        <x:v>任务流程连续性</x:v>
      </x:c>
      <x:c r="Q188" s="36" t="str">
        <x:v>舱内任务光</x:v>
      </x:c>
      <x:c r="R188" s="36" t="str">
        <x:v>通道场景和道具硬约束</x:v>
      </x:c>
      <x:c r="S188" s="36" t="str">
        <x:v>第3、13场</x:v>
      </x:c>
      <x:c r="T188" s="36" t="str">
        <x:v>V1.2剧本明确＋项目锁定＋公开工程资料边界</x:v>
      </x:c>
      <x:c r="U188" s="36" t="str">
        <x:v>已确认生产方向</x:v>
      </x:c>
      <x:c r="V188" s="36" t="str">
        <x:v>阶段2A重入后按生产包执行</x:v>
      </x:c>
      <x:c r="W188" s="50" t="n">
        <x:f>IF(OR(D188="场景母图",D188="场景多视角"),0,1)</x:f>
        <x:v>1</x:v>
      </x:c>
      <x:c r="X188" s="50" t="n">
        <x:f>IF(LEFT(U188,2)="历史",0,1)</x:f>
        <x:v>1</x:v>
      </x:c>
    </x:row>
    <x:row r="189" ht="44" customHeight="1">
      <x:c r="A189" s="50" t="str">
        <x:v>特殊资产</x:v>
      </x:c>
      <x:c r="B189" s="50" t="n">
        <x:v>46</x:v>
      </x:c>
      <x:c r="C189" s="50" t="n">
        <x:v>1</x:v>
      </x:c>
      <x:c r="D189" s="50" t="str">
        <x:v>关系约束</x:v>
      </x:c>
      <x:c r="E189" s="36" t="str">
        <x:v>梦舟月轨—地月转移—再入状态链</x:v>
      </x:c>
      <x:c r="F189" s="36" t="str">
        <x:v>BY-REL-P0-011-梦舟返地构型状态链</x:v>
      </x:c>
      <x:c r="G189" s="36" t="str"/>
      <x:c r="H189" s="50" t="str"/>
      <x:c r="I189" s="50" t="str">
        <x:v>REL</x:v>
      </x:c>
      <x:c r="J189" s="50" t="str">
        <x:v>P0</x:v>
      </x:c>
      <x:c r="K189" s="36" t="str">
        <x:v>V1.2逐镜映射见data/阶段1_114镜资产调用映射_V1.2.csv</x:v>
      </x:c>
      <x:c r="L189" s="36" t="str"/>
      <x:c r="M189" s="36" t="str">
        <x:v>月轨组合体—地月转移点火—三天巡航—服务舱近地分离—返回舱跳跃式再入—群伞／气囊—搜救。</x:v>
      </x:c>
      <x:c r="N189" s="36" t="str">
        <x:v>只有返回舱进入大气层。</x:v>
      </x:c>
      <x:c r="O189" s="36" t="str">
        <x:v>完整返地链</x:v>
      </x:c>
      <x:c r="P189" s="36" t="str">
        <x:v>航天器构型连续性</x:v>
      </x:c>
      <x:c r="Q189" s="36" t="str">
        <x:v>外部光源随环境切换</x:v>
      </x:c>
      <x:c r="R189" s="36" t="str">
        <x:v>梦舟外部与再入资产硬约束</x:v>
      </x:c>
      <x:c r="S189" s="36" t="str">
        <x:v>第14—16场</x:v>
      </x:c>
      <x:c r="T189" s="36" t="str">
        <x:v>V1.2剧本明确＋项目锁定＋公开工程资料边界</x:v>
      </x:c>
      <x:c r="U189" s="36" t="str">
        <x:v>已确认生产方向</x:v>
      </x:c>
      <x:c r="V189" s="36" t="str">
        <x:v>阶段2A重入后按生产包执行</x:v>
      </x:c>
      <x:c r="W189" s="50" t="n">
        <x:f>IF(OR(D189="场景母图",D189="场景多视角"),0,1)</x:f>
        <x:v>1</x:v>
      </x:c>
      <x:c r="X189" s="50" t="n">
        <x:f>IF(LEFT(U189,2)="历史",0,1)</x:f>
        <x:v>1</x:v>
      </x:c>
    </x:row>
    <x:row r="190" ht="44" customHeight="1">
      <x:c r="A190" s="50" t="str">
        <x:v>特殊资产</x:v>
      </x:c>
      <x:c r="B190" s="50" t="n">
        <x:v>47</x:v>
      </x:c>
      <x:c r="C190" s="50" t="n">
        <x:v>1</x:v>
      </x:c>
      <x:c r="D190" s="50" t="str">
        <x:v>关系约束</x:v>
      </x:c>
      <x:c r="E190" s="36" t="str">
        <x:v>月面艺术化光照与推演声明关系</x:v>
      </x:c>
      <x:c r="F190" s="36" t="str">
        <x:v>BY-REL-P0-012-月面艺术化光照与声明</x:v>
      </x:c>
      <x:c r="G190" s="36" t="str"/>
      <x:c r="H190" s="50" t="str"/>
      <x:c r="I190" s="50" t="str">
        <x:v>REL</x:v>
      </x:c>
      <x:c r="J190" s="50" t="str">
        <x:v>P0</x:v>
      </x:c>
      <x:c r="K190" s="36" t="str">
        <x:v>V1.2逐镜映射见data/阶段1_114镜资产调用映射_V1.2.csv</x:v>
      </x:c>
      <x:c r="L190" s="36" t="str"/>
      <x:c r="M190" s="36" t="str">
        <x:v>保留2029年4月8日和锁定坐标；画面采用艺术化任务日光；声明承担天文偏差。</x:v>
      </x:c>
      <x:c r="N190" s="36" t="str">
        <x:v>生产光向不得被写成真实太阳方位。</x:v>
      </x:c>
      <x:c r="O190" s="36" t="str">
        <x:v>片头声明；月面全段；片尾声明</x:v>
      </x:c>
      <x:c r="P190" s="36" t="str">
        <x:v>光影／包装连续性</x:v>
      </x:c>
      <x:c r="Q190" s="36" t="str">
        <x:v>月面艺术化任务日光</x:v>
      </x:c>
      <x:c r="R190" s="36" t="str">
        <x:v>阶段2A和阶段3禁止改写项</x:v>
      </x:c>
      <x:c r="S190" s="36" t="str">
        <x:v>镜001、第5—11场、镜114</x:v>
      </x:c>
      <x:c r="T190" s="36" t="str">
        <x:v>V1.2剧本明确＋项目锁定＋公开工程资料边界</x:v>
      </x:c>
      <x:c r="U190" s="36" t="str">
        <x:v>用户已确认</x:v>
      </x:c>
      <x:c r="V190" s="36" t="str">
        <x:v>所有月面资产和后期声明必须继承</x:v>
      </x:c>
      <x:c r="W190" s="50" t="n">
        <x:f>IF(OR(D190="场景母图",D190="场景多视角"),0,1)</x:f>
        <x:v>1</x:v>
      </x:c>
      <x:c r="X190" s="50" t="n">
        <x:f>IF(LEFT(U190,2)="历史",0,1)</x:f>
        <x:v>1</x:v>
      </x:c>
    </x:row>
    <x:row r="191" ht="44" customHeight="1">
      <x:c r="A191" s="50" t="str">
        <x:v>特殊资产</x:v>
      </x:c>
      <x:c r="B191" s="50" t="n">
        <x:v>48</x:v>
      </x:c>
      <x:c r="C191" s="50" t="n">
        <x:v>1</x:v>
      </x:c>
      <x:c r="D191" s="50" t="str">
        <x:v>关系约束</x:v>
      </x:c>
      <x:c r="E191" s="36" t="str">
        <x:v>返回舱再入、着陆与搜救状态链</x:v>
      </x:c>
      <x:c r="F191" s="36" t="str">
        <x:v>BY-REL-P0-013-返回舱再入搜救状态链</x:v>
      </x:c>
      <x:c r="G191" s="36" t="str"/>
      <x:c r="H191" s="50" t="str"/>
      <x:c r="I191" s="50" t="str">
        <x:v>REL</x:v>
      </x:c>
      <x:c r="J191" s="50" t="str">
        <x:v>P0</x:v>
      </x:c>
      <x:c r="K191" s="36" t="str">
        <x:v>V1.2逐镜映射见data/阶段1_114镜资产调用映射_V1.2.csv</x:v>
      </x:c>
      <x:c r="L191" s="36" t="str"/>
      <x:c r="M191" s="36" t="str">
        <x:v>服务舱分离—两次再入—黑障—通信恢复—开伞—气囊着陆—安全检查—开舱—医学与样品接收。</x:v>
      </x:c>
      <x:c r="N191" s="36" t="str">
        <x:v>不把航天员落地立即站立庆祝。</x:v>
      </x:c>
      <x:c r="O191" s="36" t="str">
        <x:v>完整回收链</x:v>
      </x:c>
      <x:c r="P191" s="36" t="str">
        <x:v>状态连续性</x:v>
      </x:c>
      <x:c r="Q191" s="36" t="str">
        <x:v>近地／大气／地面光影连续</x:v>
      </x:c>
      <x:c r="R191" s="36" t="str">
        <x:v>再入与搜救资产硬约束</x:v>
      </x:c>
      <x:c r="S191" s="36" t="str">
        <x:v>第15—16场</x:v>
      </x:c>
      <x:c r="T191" s="36" t="str">
        <x:v>V1.2剧本明确＋项目锁定＋公开工程资料边界</x:v>
      </x:c>
      <x:c r="U191" s="36" t="str">
        <x:v>已确认生产方向</x:v>
      </x:c>
      <x:c r="V191" s="36" t="str">
        <x:v>阶段2A重入后按生产包执行</x:v>
      </x:c>
      <x:c r="W191" s="50" t="n">
        <x:f>IF(OR(D191="场景母图",D191="场景多视角"),0,1)</x:f>
        <x:v>1</x:v>
      </x:c>
      <x:c r="X191" s="50" t="n">
        <x:f>IF(LEFT(U191,2)="历史",0,1)</x:f>
        <x:v>1</x:v>
      </x:c>
    </x:row>
    <x:row r="192" ht="44" customHeight="1">
      <x:c r="A192" s="50" t="str">
        <x:v>特殊资产</x:v>
      </x:c>
      <x:c r="B192" s="50" t="n">
        <x:v>49</x:v>
      </x:c>
      <x:c r="C192" s="50" t="n">
        <x:v>1</x:v>
      </x:c>
      <x:c r="D192" s="50" t="str">
        <x:v>关系约束</x:v>
      </x:c>
      <x:c r="E192" s="36" t="str">
        <x:v>北京—佳木斯—喀什—VLBI测控接力链</x:v>
      </x:c>
      <x:c r="F192" s="36" t="str">
        <x:v>BY-REL-P1-004-地面测控接力链</x:v>
      </x:c>
      <x:c r="G192" s="36" t="str"/>
      <x:c r="H192" s="50" t="str"/>
      <x:c r="I192" s="50" t="str">
        <x:v>REL</x:v>
      </x:c>
      <x:c r="J192" s="50" t="str">
        <x:v>P1</x:v>
      </x:c>
      <x:c r="K192" s="36" t="str">
        <x:v>V1.2逐镜映射见data/阶段1_114镜资产调用映射_V1.2.csv</x:v>
      </x:c>
      <x:c r="L192" s="36" t="str"/>
      <x:c r="M192" s="36" t="str">
        <x:v>北京总协调，佳木斯主链路，喀什备份与双目标，VLBI独立校核。</x:v>
      </x:c>
      <x:c r="N192" s="36" t="str">
        <x:v>近月正面着陆区以直达链路为主。</x:v>
      </x:c>
      <x:c r="O192" s="36" t="str">
        <x:v>交会；下降；月面；起飞；再交会；返回</x:v>
      </x:c>
      <x:c r="P192" s="36" t="str">
        <x:v>系统关系</x:v>
      </x:c>
      <x:c r="Q192" s="36" t="str">
        <x:v>不适用</x:v>
      </x:c>
      <x:c r="R192" s="36" t="str">
        <x:v>地面场景、声音和镜头装配约束</x:v>
      </x:c>
      <x:c r="S192" s="36" t="str">
        <x:v>第1—15场</x:v>
      </x:c>
      <x:c r="T192" s="36" t="str">
        <x:v>V1.2剧本明确＋项目锁定＋公开工程资料边界</x:v>
      </x:c>
      <x:c r="U192" s="36" t="str">
        <x:v>已确认生产方向</x:v>
      </x:c>
      <x:c r="V192" s="36" t="str">
        <x:v>阶段2A重入后按生产包执行</x:v>
      </x:c>
      <x:c r="W192" s="50" t="n">
        <x:f>IF(OR(D192="场景母图",D192="场景多视角"),0,1)</x:f>
        <x:v>1</x:v>
      </x:c>
      <x:c r="X192" s="50" t="n">
        <x:f>IF(LEFT(U192,2)="历史",0,1)</x:f>
        <x:v>1</x:v>
      </x:c>
    </x:row>
    <x:row r="193" ht="44" customHeight="1">
      <x:c r="A193" s="50" t="str">
        <x:v>特殊资产</x:v>
      </x:c>
      <x:c r="B193" s="50" t="n">
        <x:v>50</x:v>
      </x:c>
      <x:c r="C193" s="50" t="n">
        <x:v>1</x:v>
      </x:c>
      <x:c r="D193" s="50" t="str">
        <x:v>关系约束</x:v>
      </x:c>
      <x:c r="E193" s="36" t="str">
        <x:v>小天AI权限边界</x:v>
      </x:c>
      <x:c r="F193" s="36" t="str">
        <x:v>BY-REL-P1-005-小天AI权限边界</x:v>
      </x:c>
      <x:c r="G193" s="36" t="str"/>
      <x:c r="H193" s="50" t="str"/>
      <x:c r="I193" s="50" t="str">
        <x:v>REL</x:v>
      </x:c>
      <x:c r="J193" s="50" t="str">
        <x:v>P1</x:v>
      </x:c>
      <x:c r="K193" s="36" t="str">
        <x:v>V1.2逐镜映射见data/阶段1_114镜资产调用映射_V1.2.csv</x:v>
      </x:c>
      <x:c r="L193" s="36" t="str"/>
      <x:c r="M193" s="36" t="str">
        <x:v>只做融合、预测、候选排序和异常提示；最终授权、选择与中止权属于乘组和北京。</x:v>
      </x:c>
      <x:c r="N193" s="36" t="str">
        <x:v>禁止全自动AI决策。</x:v>
      </x:c>
      <x:c r="O193" s="36" t="str">
        <x:v>交会；下降；复压；起飞；再入</x:v>
      </x:c>
      <x:c r="P193" s="36" t="str">
        <x:v>对白与界面连续性</x:v>
      </x:c>
      <x:c r="Q193" s="36" t="str">
        <x:v>不适用</x:v>
      </x:c>
      <x:c r="R193" s="36" t="str">
        <x:v>所有出现小天的镜头硬约束</x:v>
      </x:c>
      <x:c r="S193" s="36" t="str">
        <x:v>全片</x:v>
      </x:c>
      <x:c r="T193" s="36" t="str">
        <x:v>V1.2剧本明确＋项目锁定＋公开工程资料边界</x:v>
      </x:c>
      <x:c r="U193" s="36" t="str">
        <x:v>已确认生产方向</x:v>
      </x:c>
      <x:c r="V193" s="36" t="str">
        <x:v>阶段2A重入后按生产包执行</x:v>
      </x:c>
      <x:c r="W193" s="50" t="n">
        <x:f>IF(OR(D193="场景母图",D193="场景多视角"),0,1)</x:f>
        <x:v>1</x:v>
      </x:c>
      <x:c r="X193" s="50" t="n">
        <x:f>IF(LEFT(U193,2)="历史",0,1)</x:f>
        <x:v>1</x:v>
      </x:c>
    </x:row>
    <x:row r="194" ht="44" customHeight="1">
      <x:c r="A194" s="50" t="str">
        <x:v>特殊资产</x:v>
      </x:c>
      <x:c r="B194" s="50" t="n">
        <x:v>51</x:v>
      </x:c>
      <x:c r="C194" s="50" t="n">
        <x:v>1</x:v>
      </x:c>
      <x:c r="D194" s="50" t="str">
        <x:v>关系约束</x:v>
      </x:c>
      <x:c r="E194" s="36" t="str">
        <x:v>月面科学路线与样品编号链</x:v>
      </x:c>
      <x:c r="F194" s="36" t="str">
        <x:v>BY-REL-P1-006-月面科学路线与样品链</x:v>
      </x:c>
      <x:c r="G194" s="36" t="str"/>
      <x:c r="H194" s="50" t="str"/>
      <x:c r="I194" s="50" t="str">
        <x:v>REL</x:v>
      </x:c>
      <x:c r="J194" s="50" t="str">
        <x:v>P1</x:v>
      </x:c>
      <x:c r="K194" s="36" t="str">
        <x:v>V1.2逐镜映射见data/阶段1_114镜资产调用映射_V1.2.csv</x:v>
      </x:c>
      <x:c r="L194" s="36" t="str"/>
      <x:c r="M194" s="36" t="str">
        <x:v>月球车路线、地面地质建议、编号采样、封装、主容器和回收接收闭环。</x:v>
      </x:c>
      <x:c r="N194" s="36" t="str">
        <x:v>地质结论保持审慎。</x:v>
      </x:c>
      <x:c r="O194" s="36" t="str">
        <x:v>路线；采样；封装；转移；接收</x:v>
      </x:c>
      <x:c r="P194" s="36" t="str">
        <x:v>道具／场景／后期连续性</x:v>
      </x:c>
      <x:c r="Q194" s="36" t="str">
        <x:v>艺术化任务日光</x:v>
      </x:c>
      <x:c r="R194" s="36" t="str">
        <x:v>月面科学任务装配约束</x:v>
      </x:c>
      <x:c r="S194" s="36" t="str">
        <x:v>第9—10、13、16场</x:v>
      </x:c>
      <x:c r="T194" s="36" t="str">
        <x:v>V1.2剧本明确＋项目锁定＋公开工程资料边界</x:v>
      </x:c>
      <x:c r="U194" s="36" t="str">
        <x:v>已确认生产方向</x:v>
      </x:c>
      <x:c r="V194" s="36" t="str">
        <x:v>阶段2A重入后按生产包执行</x:v>
      </x:c>
      <x:c r="W194" s="50" t="n">
        <x:f>IF(OR(D194="场景母图",D194="场景多视角"),0,1)</x:f>
        <x:v>1</x:v>
      </x:c>
      <x:c r="X194" s="50" t="n">
        <x:f>IF(LEFT(U194,2)="历史",0,1)</x:f>
        <x:v>1</x:v>
      </x:c>
    </x:row>
    <x:row r="195" ht="44" customHeight="1">
      <x:c r="A195" s="50" t="str">
        <x:v>特殊资产</x:v>
      </x:c>
      <x:c r="B195" s="50" t="n">
        <x:v>52</x:v>
      </x:c>
      <x:c r="C195" s="50" t="n">
        <x:v>1</x:v>
      </x:c>
      <x:c r="D195" s="50" t="str">
        <x:v>关系约束</x:v>
      </x:c>
      <x:c r="E195" s="36" t="str">
        <x:v>任务相机、地面直播、遥测重建与图卡证据层级</x:v>
      </x:c>
      <x:c r="F195" s="36" t="str">
        <x:v>BY-REL-P1-007-摄影来源证据层级</x:v>
      </x:c>
      <x:c r="G195" s="36" t="str"/>
      <x:c r="H195" s="50" t="str"/>
      <x:c r="I195" s="50" t="str">
        <x:v>REL</x:v>
      </x:c>
      <x:c r="J195" s="50" t="str">
        <x:v>P1</x:v>
      </x:c>
      <x:c r="K195" s="36" t="str">
        <x:v>119镜全片</x:v>
      </x:c>
      <x:c r="L195" s="36" t="str">
        <x:v>全片</x:v>
      </x:c>
      <x:c r="M195" s="36" t="str">
        <x:v>A任务证据机位、B地面直播机位、C显式遥测视觉重建、D后期图卡四层来源。</x:v>
      </x:c>
      <x:c r="N195" s="36" t="str">
        <x:v>不可逆节点优先A层；C层必须标识；D层只解释。</x:v>
      </x:c>
      <x:c r="O195" s="36" t="str">
        <x:v>四层摄影来源</x:v>
      </x:c>
      <x:c r="P195" s="36" t="str">
        <x:v>关系资产</x:v>
      </x:c>
      <x:c r="Q195" s="36" t="str">
        <x:v>全片</x:v>
      </x:c>
      <x:c r="R195" s="36" t="str">
        <x:v>写入每镜摄影来源等级</x:v>
      </x:c>
      <x:c r="S195" s="36" t="str">
        <x:v>镜头设计与后期合成</x:v>
      </x:c>
      <x:c r="T195" s="36" t="str">
        <x:v>V1.3.1正式分镜稿＋公开资料边界内艺术推演</x:v>
      </x:c>
      <x:c r="U195" s="36" t="str">
        <x:v>阶段1已确认生产方向</x:v>
      </x:c>
      <x:c r="V195" s="36" t="str">
        <x:v>阶段2B建立母资产并按镜头状态派生</x:v>
      </x:c>
      <x:c r="W195" s="50" t="n">
        <x:f>IF(OR(D195="场景母图",D195="场景多视角"),0,1)</x:f>
        <x:v>1</x:v>
      </x:c>
      <x:c r="X195" s="50" t="n">
        <x:f>IF(LEFT(U195,2)="历史",0,1)</x:f>
        <x:v>1</x:v>
      </x:c>
    </x:row>
    <x:row r="196" ht="44" customHeight="1">
      <x:c r="A196" s="50" t="str">
        <x:v>特殊资产</x:v>
      </x:c>
      <x:c r="B196" s="50" t="n">
        <x:v>53</x:v>
      </x:c>
      <x:c r="C196" s="50" t="n">
        <x:v>1</x:v>
      </x:c>
      <x:c r="D196" s="50" t="str">
        <x:v>关系约束</x:v>
      </x:c>
      <x:c r="E196" s="36" t="str">
        <x:v>三段直播进口、关键动作链、采访解释与出口</x:v>
      </x:c>
      <x:c r="F196" s="36" t="str">
        <x:v>BY-REL-P1-008-三段直播结构链</x:v>
      </x:c>
      <x:c r="G196" s="36" t="str"/>
      <x:c r="H196" s="50" t="str"/>
      <x:c r="I196" s="50" t="str">
        <x:v>REL</x:v>
      </x:c>
      <x:c r="J196" s="50" t="str">
        <x:v>P1</x:v>
      </x:c>
      <x:c r="K196" s="36" t="str">
        <x:v>第1—15场</x:v>
      </x:c>
      <x:c r="L196" s="36" t="str">
        <x:v>全片</x:v>
      </x:c>
      <x:c r="M196" s="36" t="str">
        <x:v>记者事件前解释、任务关键动作、事件后采访、字幕跳时四种结构单元。</x:v>
      </x:c>
      <x:c r="N196" s="36" t="str">
        <x:v>采访不覆盖不可逆任务节点；重复确认可由采访或图卡压缩。</x:v>
      </x:c>
      <x:c r="O196" s="36" t="str">
        <x:v>直播一；直播二；直播三</x:v>
      </x:c>
      <x:c r="P196" s="36" t="str">
        <x:v>关系资产</x:v>
      </x:c>
      <x:c r="Q196" s="36" t="str">
        <x:v>全片</x:v>
      </x:c>
      <x:c r="R196" s="36" t="str">
        <x:v>作为剪辑与声音节奏约束</x:v>
      </x:c>
      <x:c r="S196" s="36" t="str">
        <x:v>全片直播结构</x:v>
      </x:c>
      <x:c r="T196" s="36" t="str">
        <x:v>V1.3.1正式分镜稿＋公开资料边界内艺术推演</x:v>
      </x:c>
      <x:c r="U196" s="36" t="str">
        <x:v>阶段1已确认生产方向</x:v>
      </x:c>
      <x:c r="V196" s="36" t="str">
        <x:v>阶段2B建立母资产并按镜头状态派生</x:v>
      </x:c>
      <x:c r="W196" s="50" t="n">
        <x:f>IF(OR(D196="场景母图",D196="场景多视角"),0,1)</x:f>
        <x:v>1</x:v>
      </x:c>
      <x:c r="X196" s="50" t="n">
        <x:f>IF(LEFT(U196,2)="历史",0,1)</x:f>
        <x:v>1</x:v>
      </x:c>
    </x:row>
    <x:row r="197" ht="44" customHeight="1">
      <x:c r="A197" s="50" t="str">
        <x:v>特殊资产</x:v>
      </x:c>
      <x:c r="B197" s="50" t="n">
        <x:v>54</x:v>
      </x:c>
      <x:c r="C197" s="50" t="n">
        <x:v>1</x:v>
      </x:c>
      <x:c r="D197" s="50" t="str">
        <x:v>关系约束</x:v>
      </x:c>
      <x:c r="E197" s="36" t="str">
        <x:v>东风人员医监转移与样品交接双线</x:v>
      </x:c>
      <x:c r="F197" s="36" t="str">
        <x:v>BY-REL-P1-009-东风医监与样品双线</x:v>
      </x:c>
      <x:c r="G197" s="36" t="str"/>
      <x:c r="H197" s="50" t="str"/>
      <x:c r="I197" s="50" t="str">
        <x:v>REL</x:v>
      </x:c>
      <x:c r="J197" s="50" t="str">
        <x:v>P1</x:v>
      </x:c>
      <x:c r="K197" s="36" t="str">
        <x:v>镜110—118</x:v>
      </x:c>
      <x:c r="L197" s="36" t="str">
        <x:v>第15场</x:v>
      </x:c>
      <x:c r="M197" s="36" t="str">
        <x:v>人员安全处置、逐人评估、座椅／担架转移与样品编号交接并行闭合。</x:v>
      </x:c>
      <x:c r="N197" s="36" t="str">
        <x:v>任务完成必须同时满足乘组三人安全与样品完成交接。</x:v>
      </x:c>
      <x:c r="O197" s="36" t="str">
        <x:v>安全处置；医学评估；人员转移；样品交接；任务闭合</x:v>
      </x:c>
      <x:c r="P197" s="36" t="str">
        <x:v>关系资产</x:v>
      </x:c>
      <x:c r="Q197" s="36" t="str">
        <x:v>东风回收现场</x:v>
      </x:c>
      <x:c r="R197" s="36" t="str">
        <x:v>镜117合流</x:v>
      </x:c>
      <x:c r="S197" s="36" t="str">
        <x:v>回收段</x:v>
      </x:c>
      <x:c r="T197" s="36" t="str">
        <x:v>V1.3.1正式分镜稿＋公开资料边界内艺术推演</x:v>
      </x:c>
      <x:c r="U197" s="36" t="str">
        <x:v>阶段1已确认生产方向</x:v>
      </x:c>
      <x:c r="V197" s="36" t="str">
        <x:v>阶段2B建立母资产并按镜头状态派生</x:v>
      </x:c>
      <x:c r="W197" s="50" t="n">
        <x:f>IF(OR(D197="场景母图",D197="场景多视角"),0,1)</x:f>
        <x:v>1</x:v>
      </x:c>
      <x:c r="X197" s="50" t="n">
        <x:f>IF(LEFT(U197,2)="历史",0,1)</x:f>
        <x:v>1</x:v>
      </x:c>
    </x:row>
    <x:row r="198" ht="44" customHeight="1">
      <x:c r="A198" s="50" t="str">
        <x:v>特殊资产</x:v>
      </x:c>
      <x:c r="B198" s="50" t="n">
        <x:v>55</x:v>
      </x:c>
      <x:c r="C198" s="50" t="n">
        <x:v>1</x:v>
      </x:c>
      <x:c r="D198" s="50" t="str">
        <x:v>关系约束</x:v>
      </x:c>
      <x:c r="E198" s="36" t="str">
        <x:v>地球、月球与飞行器视觉尺度连续性</x:v>
      </x:c>
      <x:c r="F198" s="36" t="str">
        <x:v>BY-REL-P1-010-地月视觉尺度连续性</x:v>
      </x:c>
      <x:c r="G198" s="36" t="str"/>
      <x:c r="H198" s="50" t="str"/>
      <x:c r="I198" s="50" t="str">
        <x:v>REL</x:v>
      </x:c>
      <x:c r="J198" s="50" t="str">
        <x:v>P1</x:v>
      </x:c>
      <x:c r="K198" s="36" t="str">
        <x:v>镜2、4、23、31、33、46、83、89—90、96—101</x:v>
      </x:c>
      <x:c r="L198" s="36" t="str">
        <x:v>深空与轨道镜头</x:v>
      </x:c>
      <x:c r="M198" s="36" t="str">
        <x:v>环月轨道中的地球表现为有清晰直径的蓝白圆盘，接近地球时逐步扩大。</x:v>
      </x:c>
      <x:c r="N198" s="36" t="str">
        <x:v>禁止把环月视角的地球画成静止小蓝点。</x:v>
      </x:c>
      <x:c r="O198" s="36" t="str">
        <x:v>环月；离月；接近地球；再入</x:v>
      </x:c>
      <x:c r="P198" s="36" t="str">
        <x:v>关系资产</x:v>
      </x:c>
      <x:c r="Q198" s="36" t="str">
        <x:v>深空、月轨、近地</x:v>
      </x:c>
      <x:c r="R198" s="36" t="str">
        <x:v>与每个视觉重建镜头的镜头尺度绑定</x:v>
      </x:c>
      <x:c r="S198" s="36" t="str">
        <x:v>深空连续性</x:v>
      </x:c>
      <x:c r="T198" s="36" t="str">
        <x:v>V1.3.1正式分镜稿＋公开资料边界内艺术推演</x:v>
      </x:c>
      <x:c r="U198" s="36" t="str">
        <x:v>阶段1已确认生产方向</x:v>
      </x:c>
      <x:c r="V198" s="36" t="str">
        <x:v>阶段2B建立母资产并按镜头状态派生</x:v>
      </x:c>
      <x:c r="W198" s="50" t="n">
        <x:f>IF(OR(D198="场景母图",D198="场景多视角"),0,1)</x:f>
        <x:v>1</x:v>
      </x:c>
      <x:c r="X198" s="50" t="n">
        <x:f>IF(LEFT(U198,2)="历史",0,1)</x:f>
        <x:v>1</x:v>
      </x:c>
    </x:row>
    <x:row r="199" ht="44" customHeight="1">
      <x:c r="A199" s="50" t="str">
        <x:v>特殊资产</x:v>
      </x:c>
      <x:c r="B199" s="50" t="n">
        <x:v>56</x:v>
      </x:c>
      <x:c r="C199" s="50" t="n">
        <x:v>1</x:v>
      </x:c>
      <x:c r="D199" s="50" t="str">
        <x:v>后期图形／标识</x:v>
      </x:c>
      <x:c r="E199" s="36" t="str">
        <x:v>中华人民共和国国旗图形</x:v>
      </x:c>
      <x:c r="F199" s="36" t="str">
        <x:v>BY-SYM-P0-001-中华人民共和国国旗图形</x:v>
      </x:c>
      <x:c r="G199" s="36" t="str"/>
      <x:c r="H199" s="50" t="str"/>
      <x:c r="I199" s="50" t="str">
        <x:v>SYM</x:v>
      </x:c>
      <x:c r="J199" s="50" t="str">
        <x:v>P0</x:v>
      </x:c>
      <x:c r="K199" s="36" t="str">
        <x:v>V1.2逐镜映射见data/阶段1_114镜资产调用映射_V1.2.csv</x:v>
      </x:c>
      <x:c r="L199" s="36" t="str">
        <x:v>场7,8,9,11；镜045,054,055,056,057,067,074</x:v>
      </x:c>
      <x:c r="M199" s="36" t="str">
        <x:v>工程化国旗装置上的准确国旗图形</x:v>
      </x:c>
      <x:c r="N199" s="36" t="str">
        <x:v>禁止模型自由生成星位，使用准确贴图或后期合成</x:v>
      </x:c>
      <x:c r="O199" s="36" t="str">
        <x:v>折叠;展开;静止</x:v>
      </x:c>
      <x:c r="P199" s="36" t="str">
        <x:v>织物与准确图形</x:v>
      </x:c>
      <x:c r="Q199" s="36" t="str">
        <x:v>月面固定太阳光</x:v>
      </x:c>
      <x:c r="R199" s="36" t="str">
        <x:v>准确图形资产与贴合测试</x:v>
      </x:c>
      <x:c r="S199" s="36" t="str">
        <x:v>08</x:v>
      </x:c>
      <x:c r="T199" s="36" t="str">
        <x:v>项目锁定;创作者建议</x:v>
      </x:c>
      <x:c r="U199" s="36" t="str">
        <x:v>已确认</x:v>
      </x:c>
      <x:c r="V199" s="36" t="str">
        <x:v>国旗装置确认后贴合</x:v>
      </x:c>
      <x:c r="W199" s="50" t="n">
        <x:f>IF(OR(D199="场景母图",D199="场景多视角"),0,1)</x:f>
        <x:v>1</x:v>
      </x:c>
      <x:c r="X199" s="50" t="n">
        <x:f>IF(LEFT(U199,2)="历史",0,1)</x:f>
        <x:v>1</x:v>
      </x:c>
    </x:row>
    <x:row r="200" ht="44" customHeight="1">
      <x:c r="A200" s="50" t="str">
        <x:v>特殊资产</x:v>
      </x:c>
      <x:c r="B200" s="50" t="n">
        <x:v>57</x:v>
      </x:c>
      <x:c r="C200" s="50" t="n">
        <x:v>1</x:v>
      </x:c>
      <x:c r="D200" s="50" t="str">
        <x:v>后期图形／标识</x:v>
      </x:c>
      <x:c r="E200" s="36" t="str">
        <x:v>未来纪实推演标识</x:v>
      </x:c>
      <x:c r="F200" s="36" t="str">
        <x:v>BY-SYM-P1-001-未来纪实推演标识</x:v>
      </x:c>
      <x:c r="G200" s="36" t="str"/>
      <x:c r="H200" s="50" t="str"/>
      <x:c r="I200" s="50" t="str">
        <x:v>SYM</x:v>
      </x:c>
      <x:c r="J200" s="50" t="str">
        <x:v>P1</x:v>
      </x:c>
      <x:c r="K200" s="36" t="str">
        <x:v>V1.2逐镜映射见data/阶段1_114镜资产调用映射_V1.2.csv</x:v>
      </x:c>
      <x:c r="L200" s="36" t="str">
        <x:v>场1,16；镜001,114</x:v>
      </x:c>
      <x:c r="M200" s="36" t="str">
        <x:v>明确艺术化推演属性的标识</x:v>
      </x:c>
      <x:c r="N200" s="36" t="str">
        <x:v>后期添加，不进入AI原始画面</x:v>
      </x:c>
      <x:c r="O200" s="36" t="str">
        <x:v>片头;片尾</x:v>
      </x:c>
      <x:c r="P200" s="36" t="str">
        <x:v>后期图形</x:v>
      </x:c>
      <x:c r="Q200" s="36" t="str">
        <x:v>后期合成</x:v>
      </x:c>
      <x:c r="R200" s="36" t="str">
        <x:v>统一包装资产</x:v>
      </x:c>
      <x:c r="S200" s="36" t="str">
        <x:v>全片</x:v>
      </x:c>
      <x:c r="T200" s="36" t="str">
        <x:v>项目锁定</x:v>
      </x:c>
      <x:c r="U200" s="36" t="str">
        <x:v>已确认锁定</x:v>
      </x:c>
      <x:c r="V200" s="36" t="str">
        <x:v>阶段2A建立包装规则</x:v>
      </x:c>
      <x:c r="W200" s="50" t="n">
        <x:f>IF(OR(D200="场景母图",D200="场景多视角"),0,1)</x:f>
        <x:v>1</x:v>
      </x:c>
      <x:c r="X200" s="50" t="n">
        <x:f>IF(LEFT(U200,2)="历史",0,1)</x:f>
        <x:v>1</x:v>
      </x:c>
    </x:row>
    <x:row r="201" ht="44" customHeight="1">
      <x:c r="A201" s="52" t="str">
        <x:v>特殊资产</x:v>
      </x:c>
      <x:c r="B201" s="52" t="n">
        <x:v>58</x:v>
      </x:c>
      <x:c r="C201" s="52" t="n">
        <x:v>1</x:v>
      </x:c>
      <x:c r="D201" s="52" t="str">
        <x:v>后期图形／标识</x:v>
      </x:c>
      <x:c r="E201" s="41" t="str">
        <x:v>新闻条与日期标牌系统</x:v>
      </x:c>
      <x:c r="F201" s="41" t="str">
        <x:v>BY-SYM-P1-002-新闻条与日期标牌系统</x:v>
      </x:c>
      <x:c r="G201" s="41" t="str"/>
      <x:c r="H201" s="52" t="str"/>
      <x:c r="I201" s="52" t="str">
        <x:v>SYM</x:v>
      </x:c>
      <x:c r="J201" s="52" t="str">
        <x:v>P1</x:v>
      </x:c>
      <x:c r="K201" s="41" t="str">
        <x:v>01-02场</x:v>
      </x:c>
      <x:c r="L201" s="41" t="str">
        <x:v>历史V1.1</x:v>
      </x:c>
      <x:c r="M201" s="41" t="str">
        <x:v>新闻人物条、日期和任务标牌</x:v>
      </x:c>
      <x:c r="N201" s="41" t="str">
        <x:v>后期添加，保证播出安全区和字体统一</x:v>
      </x:c>
      <x:c r="O201" s="41" t="str">
        <x:v>多种新闻条</x:v>
      </x:c>
      <x:c r="P201" s="41" t="str">
        <x:v>后期图形</x:v>
      </x:c>
      <x:c r="Q201" s="41" t="str">
        <x:v>后期合成</x:v>
      </x:c>
      <x:c r="R201" s="41" t="str">
        <x:v>统一包装资产</x:v>
      </x:c>
      <x:c r="S201" s="41" t="str">
        <x:v>01-02</x:v>
      </x:c>
      <x:c r="T201" s="41" t="str">
        <x:v>剧本明确;项目锁定</x:v>
      </x:c>
      <x:c r="U201" s="41" t="str">
        <x:v>历史停用（V1.2不调用）</x:v>
      </x:c>
      <x:c r="V201" s="41" t="str">
        <x:v>V1.2已取消新闻段落；日期与任务阶段信息由BY-SYM-P1-003承担</x:v>
      </x:c>
      <x:c r="W201" s="52" t="n">
        <x:f>IF(OR(D201="场景母图",D201="场景多视角"),0,1)</x:f>
        <x:v>1</x:v>
      </x:c>
      <x:c r="X201" s="52" t="n">
        <x:f>IF(LEFT(U201,2)="历史",0,1)</x:f>
        <x:v>0</x:v>
      </x:c>
    </x:row>
    <x:row r="202" ht="44" customHeight="1">
      <x:c r="A202" s="50" t="str">
        <x:v>特殊资产</x:v>
      </x:c>
      <x:c r="B202" s="50" t="n">
        <x:v>59</x:v>
      </x:c>
      <x:c r="C202" s="50" t="n">
        <x:v>1</x:v>
      </x:c>
      <x:c r="D202" s="50" t="str">
        <x:v>后期图形／标识</x:v>
      </x:c>
      <x:c r="E202" s="36" t="str">
        <x:v>任务阶段与时间跳跃标牌</x:v>
      </x:c>
      <x:c r="F202" s="36" t="str">
        <x:v>BY-SYM-P1-003-任务阶段与时间跳跃标牌</x:v>
      </x:c>
      <x:c r="G202" s="36" t="str"/>
      <x:c r="H202" s="50" t="str"/>
      <x:c r="I202" s="50" t="str">
        <x:v>SYM</x:v>
      </x:c>
      <x:c r="J202" s="50" t="str">
        <x:v>P1</x:v>
      </x:c>
      <x:c r="K202" s="36" t="str">
        <x:v>V1.2逐镜映射见data/阶段1_114镜资产调用映射_V1.2.csv</x:v>
      </x:c>
      <x:c r="L202" s="36" t="str">
        <x:v>第1、4、7、10—13、15场</x:v>
      </x:c>
      <x:c r="M202" s="36" t="str">
        <x:v>制动下降、接近月面、月面后段、数小时后等标牌</x:v>
      </x:c>
      <x:c r="N202" s="36" t="str">
        <x:v>只用确认的公众解说词，不冒充官方程序名称</x:v>
      </x:c>
      <x:c r="O202" s="36" t="str">
        <x:v>日期；T+06:00；T+13:40；T+28:00；离月约三天；搜救时间压缩</x:v>
      </x:c>
      <x:c r="P202" s="36" t="str">
        <x:v>后期图形</x:v>
      </x:c>
      <x:c r="Q202" s="36" t="str">
        <x:v>后期合成</x:v>
      </x:c>
      <x:c r="R202" s="36" t="str">
        <x:v>时间标牌必须与119镜时间线一致，并显式区分直播、延时和视觉重建。</x:v>
      </x:c>
      <x:c r="S202" s="36" t="str">
        <x:v>多场</x:v>
      </x:c>
      <x:c r="T202" s="36" t="str">
        <x:v>剧本明确;项目锁定</x:v>
      </x:c>
      <x:c r="U202" s="36" t="str">
        <x:v>已确认锁定原则</x:v>
      </x:c>
      <x:c r="V202" s="36" t="str">
        <x:v>阶段2A建立包装规则</x:v>
      </x:c>
      <x:c r="W202" s="50" t="n">
        <x:f>IF(OR(D202="场景母图",D202="场景多视角"),0,1)</x:f>
        <x:v>1</x:v>
      </x:c>
      <x:c r="X202" s="50" t="n">
        <x:f>IF(LEFT(U202,2)="历史",0,1)</x:f>
        <x:v>1</x:v>
      </x:c>
    </x:row>
    <x:row r="203" ht="44" customHeight="1">
      <x:c r="A203" s="50" t="str">
        <x:v>特殊资产</x:v>
      </x:c>
      <x:c r="B203" s="50" t="n">
        <x:v>60</x:v>
      </x:c>
      <x:c r="C203" s="50" t="n">
        <x:v>1</x:v>
      </x:c>
      <x:c r="D203" s="50" t="str">
        <x:v>后期图形／标识</x:v>
      </x:c>
      <x:c r="E203" s="36" t="str">
        <x:v>艺术化光照偏差推演声明</x:v>
      </x:c>
      <x:c r="F203" s="36" t="str">
        <x:v>BY-SYM-P0-002-艺术化光照偏差推演声明</x:v>
      </x:c>
      <x:c r="G203" s="36" t="str"/>
      <x:c r="H203" s="50" t="str"/>
      <x:c r="I203" s="50" t="str">
        <x:v>SYM</x:v>
      </x:c>
      <x:c r="J203" s="50" t="str">
        <x:v>P0</x:v>
      </x:c>
      <x:c r="K203" s="36" t="str">
        <x:v>V1.2逐镜映射见data/阶段1_114镜资产调用映射_V1.2.csv</x:v>
      </x:c>
      <x:c r="L203" s="36" t="str">
        <x:v>场1,16；镜001,114</x:v>
      </x:c>
      <x:c r="M203" s="36" t="str">
        <x:v>片头短声明和片尾完整声明，明确日期／坐标与真实自然照明存在偏差。</x:v>
      </x:c>
      <x:c r="N203" s="36" t="str">
        <x:v>由后期准确排版，AI原图不生成文字。</x:v>
      </x:c>
      <x:c r="O203" s="36" t="str">
        <x:v>片头短版；片尾完整版</x:v>
      </x:c>
      <x:c r="P203" s="36" t="str">
        <x:v>后期字幕图形</x:v>
      </x:c>
      <x:c r="Q203" s="36" t="str">
        <x:v>不适用</x:v>
      </x:c>
      <x:c r="R203" s="36" t="str">
        <x:v>按锁定文本制作</x:v>
      </x:c>
      <x:c r="S203" s="36" t="str">
        <x:v>镜001、114</x:v>
      </x:c>
      <x:c r="T203" s="36" t="str">
        <x:v>V1.2剧本明确＋项目锁定＋公开工程资料边界</x:v>
      </x:c>
      <x:c r="U203" s="36" t="str">
        <x:v>用户已确认</x:v>
      </x:c>
      <x:c r="V203" s="36" t="str">
        <x:v>建立后期包装规范；不进入生图正文</x:v>
      </x:c>
      <x:c r="W203" s="50" t="n">
        <x:f>IF(OR(D203="场景母图",D203="场景多视角"),0,1)</x:f>
        <x:v>1</x:v>
      </x:c>
      <x:c r="X203" s="50" t="n">
        <x:f>IF(LEFT(U203,2)="历史",0,1)</x:f>
        <x:v>1</x:v>
      </x:c>
    </x:row>
    <x:row r="204" ht="44" customHeight="1">
      <x:c r="A204" s="50" t="str">
        <x:v>特殊资产</x:v>
      </x:c>
      <x:c r="B204" s="50" t="n">
        <x:v>61</x:v>
      </x:c>
      <x:c r="C204" s="50" t="n">
        <x:v>1</x:v>
      </x:c>
      <x:c r="D204" s="50" t="str">
        <x:v>后期图形／标识</x:v>
      </x:c>
      <x:c r="E204" s="36" t="str">
        <x:v>任务轨迹、相位与走廊图后期模板</x:v>
      </x:c>
      <x:c r="F204" s="36" t="str">
        <x:v>BY-SYM-P1-004-任务轨迹与相位图模板</x:v>
      </x:c>
      <x:c r="G204" s="36" t="str"/>
      <x:c r="H204" s="50" t="str"/>
      <x:c r="I204" s="50" t="str">
        <x:v>SYM</x:v>
      </x:c>
      <x:c r="J204" s="50" t="str">
        <x:v>P1</x:v>
      </x:c>
      <x:c r="K204" s="36" t="str">
        <x:v>V1.2逐镜映射见data/阶段1_114镜资产调用映射_V1.2.csv</x:v>
      </x:c>
      <x:c r="L204" s="36" t="str">
        <x:v>场1,2,3,4,5,6,7,8,9,10,14,16；镜003,004,006,007,012,018,019,022,023,026,028,029,034,042,046,053,065,070,099,113</x:v>
      </x:c>
      <x:c r="M204" s="36" t="str">
        <x:v>交会、下降、月面路线、地月转移和再入的克制信息图底图。</x:v>
      </x:c>
      <x:c r="N204" s="36" t="str">
        <x:v>可读参数、坐标和标注后期添加。</x:v>
      </x:c>
      <x:c r="O204" s="36" t="str">
        <x:v>交会；下降；路线；转移；再入</x:v>
      </x:c>
      <x:c r="P204" s="36" t="str">
        <x:v>深色任务界面、细线轨迹</x:v>
      </x:c>
      <x:c r="Q204" s="36" t="str">
        <x:v>屏幕光受场景限制</x:v>
      </x:c>
      <x:c r="R204" s="36" t="str">
        <x:v>跨场复用后期模板</x:v>
      </x:c>
      <x:c r="S204" s="36" t="str">
        <x:v>全片任务屏</x:v>
      </x:c>
      <x:c r="T204" s="36" t="str">
        <x:v>V1.2剧本明确＋项目锁定＋公开工程资料边界</x:v>
      </x:c>
      <x:c r="U204" s="36" t="str">
        <x:v>已确认生产方向</x:v>
      </x:c>
      <x:c r="V204" s="36" t="str">
        <x:v>阶段2A重入后按生产包执行</x:v>
      </x:c>
      <x:c r="W204" s="50" t="n">
        <x:f>IF(OR(D204="场景母图",D204="场景多视角"),0,1)</x:f>
        <x:v>1</x:v>
      </x:c>
      <x:c r="X204" s="50" t="n">
        <x:f>IF(LEFT(U204,2)="历史",0,1)</x:f>
        <x:v>1</x:v>
      </x:c>
    </x:row>
    <x:row r="205" ht="44" customHeight="1">
      <x:c r="A205" s="50" t="str">
        <x:v>特殊资产</x:v>
      </x:c>
      <x:c r="B205" s="50" t="n">
        <x:v>62</x:v>
      </x:c>
      <x:c r="C205" s="50" t="n">
        <x:v>1</x:v>
      </x:c>
      <x:c r="D205" s="50" t="str">
        <x:v>后期图形／标识</x:v>
      </x:c>
      <x:c r="E205" s="36" t="str">
        <x:v>样品编号、封签与接收状态模板</x:v>
      </x:c>
      <x:c r="F205" s="36" t="str">
        <x:v>BY-SYM-P1-005-样品编号与封签模板</x:v>
      </x:c>
      <x:c r="G205" s="36" t="str"/>
      <x:c r="H205" s="50" t="str"/>
      <x:c r="I205" s="50" t="str">
        <x:v>SYM</x:v>
      </x:c>
      <x:c r="J205" s="50" t="str">
        <x:v>P1</x:v>
      </x:c>
      <x:c r="K205" s="36" t="str">
        <x:v>V1.2逐镜映射见data/阶段1_114镜资产调用映射_V1.2.csv</x:v>
      </x:c>
      <x:c r="L205" s="36" t="str">
        <x:v>场7,9；镜045,059,062</x:v>
      </x:c>
      <x:c r="M205" s="36" t="str">
        <x:v>采样袋、主容器和回收接收的统一编号体系。</x:v>
      </x:c>
      <x:c r="N205" s="36" t="str">
        <x:v>AI原图不生成可读编号。</x:v>
      </x:c>
      <x:c r="O205" s="36" t="str">
        <x:v>采样；封装；转移；接收</x:v>
      </x:c>
      <x:c r="P205" s="36" t="str">
        <x:v>后期贴图与字幕</x:v>
      </x:c>
      <x:c r="Q205" s="36" t="str">
        <x:v>不适用</x:v>
      </x:c>
      <x:c r="R205" s="36" t="str">
        <x:v>与样品道具同步设计</x:v>
      </x:c>
      <x:c r="S205" s="36" t="str">
        <x:v>第9—10、13、16场</x:v>
      </x:c>
      <x:c r="T205" s="36" t="str">
        <x:v>V1.2剧本明确＋项目锁定＋公开工程资料边界</x:v>
      </x:c>
      <x:c r="U205" s="36" t="str">
        <x:v>已确认生产方向</x:v>
      </x:c>
      <x:c r="V205" s="36" t="str">
        <x:v>阶段2A重入后按生产包执行</x:v>
      </x:c>
      <x:c r="W205" s="50" t="n">
        <x:f>IF(OR(D205="场景母图",D205="场景多视角"),0,1)</x:f>
        <x:v>1</x:v>
      </x:c>
      <x:c r="X205" s="50" t="n">
        <x:f>IF(LEFT(U205,2)="历史",0,1)</x:f>
        <x:v>1</x:v>
      </x:c>
    </x:row>
    <x:row r="206" ht="44" customHeight="1">
      <x:c r="A206" s="50" t="str">
        <x:v>特殊资产</x:v>
      </x:c>
      <x:c r="B206" s="50" t="n">
        <x:v>63</x:v>
      </x:c>
      <x:c r="C206" s="50" t="n">
        <x:v>1</x:v>
      </x:c>
      <x:c r="D206" s="50" t="str">
        <x:v>后期图形／标识</x:v>
      </x:c>
      <x:c r="E206" s="36" t="str">
        <x:v>“基于实时遥测的视觉重建”来源标识</x:v>
      </x:c>
      <x:c r="F206" s="36" t="str">
        <x:v>BY-SYM-P1-006-视觉重建来源标识</x:v>
      </x:c>
      <x:c r="G206" s="36" t="str"/>
      <x:c r="H206" s="50" t="str"/>
      <x:c r="I206" s="50" t="str">
        <x:v>SYM</x:v>
      </x:c>
      <x:c r="J206" s="50" t="str">
        <x:v>P1</x:v>
      </x:c>
      <x:c r="K206" s="36" t="str">
        <x:v>所有视觉重建镜头</x:v>
      </x:c>
      <x:c r="L206" s="36" t="str">
        <x:v>第1—2、4—7、11—14场</x:v>
      </x:c>
      <x:c r="M206" s="36" t="str">
        <x:v>明确区分艺术重建与任务相机实拍逻辑的角标。</x:v>
      </x:c>
      <x:c r="N206" s="36" t="str">
        <x:v>位置、字号、显隐时长全片统一。</x:v>
      </x:c>
      <x:c r="O206" s="36" t="str">
        <x:v>常驻角标；镜头起始淡入；结束淡出</x:v>
      </x:c>
      <x:c r="P206" s="36" t="str">
        <x:v>简洁中性图形</x:v>
      </x:c>
      <x:c r="Q206" s="36" t="str">
        <x:v>适配深空、月面和等离子高亮背景</x:v>
      </x:c>
      <x:c r="R206" s="36" t="str">
        <x:v>后期叠加，不写入载具屏幕</x:v>
      </x:c>
      <x:c r="S206" s="36" t="str">
        <x:v>所有遥测视觉重建</x:v>
      </x:c>
      <x:c r="T206" s="36" t="str">
        <x:v>V1.3.1正式分镜稿＋公开资料边界内艺术推演</x:v>
      </x:c>
      <x:c r="U206" s="36" t="str">
        <x:v>阶段1已确认生产方向</x:v>
      </x:c>
      <x:c r="V206" s="36" t="str">
        <x:v>阶段2B建立母资产并按镜头状态派生</x:v>
      </x:c>
      <x:c r="W206" s="50" t="n">
        <x:f>IF(OR(D206="场景母图",D206="场景多视角"),0,1)</x:f>
        <x:v>1</x:v>
      </x:c>
      <x:c r="X206" s="50" t="n">
        <x:f>IF(LEFT(U206,2)="历史",0,1)</x:f>
        <x:v>1</x:v>
      </x:c>
    </x:row>
    <x:row r="207" ht="44" customHeight="1">
      <x:c r="A207" s="50" t="str">
        <x:v>特殊资产</x:v>
      </x:c>
      <x:c r="B207" s="50" t="n">
        <x:v>64</x:v>
      </x:c>
      <x:c r="C207" s="50" t="n">
        <x:v>1</x:v>
      </x:c>
      <x:c r="D207" s="50" t="str">
        <x:v>后期图形／标识</x:v>
      </x:c>
      <x:c r="E207" s="36" t="str">
        <x:v>三段直播进口、出口与任务倒计时图形</x:v>
      </x:c>
      <x:c r="F207" s="36" t="str">
        <x:v>BY-SYM-P1-007-直播进口出口与倒计时</x:v>
      </x:c>
      <x:c r="G207" s="36" t="str"/>
      <x:c r="H207" s="50" t="str"/>
      <x:c r="I207" s="50" t="str">
        <x:v>SYM</x:v>
      </x:c>
      <x:c r="J207" s="50" t="str">
        <x:v>P1</x:v>
      </x:c>
      <x:c r="K207" s="36" t="str">
        <x:v>镜3、22、27、47、51、87、92、118</x:v>
      </x:c>
      <x:c r="L207" s="36" t="str">
        <x:v>三段直播</x:v>
      </x:c>
      <x:c r="M207" s="36" t="str">
        <x:v>记者开场、阶段提示、五分钟倒计时和直播收束的统一图形系统。</x:v>
      </x:c>
      <x:c r="N207" s="36" t="str">
        <x:v>不包装成娱乐综艺；不使用新闻提示音。</x:v>
      </x:c>
      <x:c r="O207" s="36" t="str">
        <x:v>直播开始；任务阶段；倒计时；直播结束</x:v>
      </x:c>
      <x:c r="P207" s="36" t="str">
        <x:v>中性、克制、可读</x:v>
      </x:c>
      <x:c r="Q207" s="36" t="str">
        <x:v>媒体区大屏与后期字幕</x:v>
      </x:c>
      <x:c r="R207" s="36" t="str">
        <x:v>与任务时间标牌统一设计语言</x:v>
      </x:c>
      <x:c r="S207" s="36" t="str">
        <x:v>直播结构</x:v>
      </x:c>
      <x:c r="T207" s="36" t="str">
        <x:v>V1.3.1正式分镜稿＋公开资料边界内艺术推演</x:v>
      </x:c>
      <x:c r="U207" s="36" t="str">
        <x:v>阶段1已确认生产方向</x:v>
      </x:c>
      <x:c r="V207" s="36" t="str">
        <x:v>阶段2B建立母资产并按镜头状态派生</x:v>
      </x:c>
      <x:c r="W207" s="50" t="n">
        <x:f>IF(OR(D207="场景母图",D207="场景多视角"),0,1)</x:f>
        <x:v>1</x:v>
      </x:c>
      <x:c r="X207" s="50" t="n">
        <x:f>IF(LEFT(U207,2)="历史",0,1)</x:f>
        <x:v>1</x:v>
      </x:c>
    </x:row>
    <x:row r="208" ht="44" customHeight="1">
      <x:c r="A208" s="50" t="str">
        <x:v>特殊资产</x:v>
      </x:c>
      <x:c r="B208" s="50" t="n">
        <x:v>65</x:v>
      </x:c>
      <x:c r="C208" s="50" t="n">
        <x:v>1</x:v>
      </x:c>
      <x:c r="D208" s="50" t="str">
        <x:v>后期图形／标识</x:v>
      </x:c>
      <x:c r="E208" s="36" t="str">
        <x:v>东风搜救抵达时间压缩标牌</x:v>
      </x:c>
      <x:c r="F208" s="36" t="str">
        <x:v>BY-SYM-P1-008-东风搜救时间压缩</x:v>
      </x:c>
      <x:c r="G208" s="36" t="str"/>
      <x:c r="H208" s="50" t="str"/>
      <x:c r="I208" s="50" t="str">
        <x:v>SYM</x:v>
      </x:c>
      <x:c r="J208" s="50" t="str">
        <x:v>P1</x:v>
      </x:c>
      <x:c r="K208" s="36" t="str">
        <x:v>镜110</x:v>
      </x:c>
      <x:c r="L208" s="36" t="str">
        <x:v>第15场</x:v>
      </x:c>
      <x:c r="M208" s="36" t="str">
        <x:v>明确提示搜救分队抵达和安全处置为时间压缩。</x:v>
      </x:c>
      <x:c r="N208" s="36" t="str">
        <x:v>避免观众误解为落地后数秒即开舱。</x:v>
      </x:c>
      <x:c r="O208" s="36" t="str">
        <x:v>黑场文字；任务画面转接</x:v>
      </x:c>
      <x:c r="P208" s="36" t="str">
        <x:v>高可读文字</x:v>
      </x:c>
      <x:c r="Q208" s="36" t="str">
        <x:v>黑场</x:v>
      </x:c>
      <x:c r="R208" s="36" t="str">
        <x:v>给足阅读时间</x:v>
      </x:c>
      <x:c r="S208" s="36" t="str">
        <x:v>回收段</x:v>
      </x:c>
      <x:c r="T208" s="36" t="str">
        <x:v>V1.3.1正式分镜稿＋公开资料边界内艺术推演</x:v>
      </x:c>
      <x:c r="U208" s="36" t="str">
        <x:v>阶段1已确认生产方向</x:v>
      </x:c>
      <x:c r="V208" s="36" t="str">
        <x:v>阶段2B建立母资产并按镜头状态派生</x:v>
      </x:c>
      <x:c r="W208" s="50" t="n">
        <x:f>IF(OR(D208="场景母图",D208="场景多视角"),0,1)</x:f>
        <x:v>1</x:v>
      </x:c>
      <x:c r="X208" s="50" t="n">
        <x:f>IF(LEFT(U208,2)="历史",0,1)</x:f>
        <x:v>1</x:v>
      </x:c>
    </x:row>
    <x:row r="209" ht="44" customHeight="1">
      <x:c r="A209" s="50" t="str">
        <x:v>声音资产</x:v>
      </x:c>
      <x:c r="B209" s="50" t="n">
        <x:v>1</x:v>
      </x:c>
      <x:c r="C209" s="50" t="n">
        <x:v>1</x:v>
      </x:c>
      <x:c r="D209" s="50" t="str">
        <x:v>稳定音色</x:v>
      </x:c>
      <x:c r="E209" s="36" t="str">
        <x:v>杨凛稳定音色</x:v>
      </x:c>
      <x:c r="F209" s="36" t="str">
        <x:v>BY-VOI-P0-001-杨凛声音</x:v>
      </x:c>
      <x:c r="G209" s="36" t="str"/>
      <x:c r="H209" s="50" t="str"/>
      <x:c r="I209" s="50" t="str">
        <x:v>VOI</x:v>
      </x:c>
      <x:c r="J209" s="50" t="str">
        <x:v>P0</x:v>
      </x:c>
      <x:c r="K209" s="36" t="str">
        <x:v>V1.2逐镜映射见data/阶段1_114镜资产调用映射_V1.2.csv</x:v>
      </x:c>
      <x:c r="L209" s="36" t="str">
        <x:v>场1,2,3,4,5,6,7,8,9,10,11,12,13,14,15,16；镜005,009,011,015,019,020,023,025,027,032,036,038,040,044,046,048,050,052,054,061,064,066,069,073,074,076,078,086,087,091,096,101,103,112</x:v>
      </x:c>
      <x:c r="M209" s="36" t="str">
        <x:v>中低、稳定、短句有明确落点</x:v>
      </x:c>
      <x:c r="N209" s="36" t="str">
        <x:v>指令感但不压迫，呼吸节奏稳定</x:v>
      </x:c>
      <x:c r="O209" s="36" t="str">
        <x:v>中性;任务报告</x:v>
      </x:c>
      <x:c r="P209" s="36" t="str">
        <x:v>中低音域、偏慢语速</x:v>
      </x:c>
      <x:c r="Q209" s="36" t="str">
        <x:v>通过无线电时保留可懂度</x:v>
      </x:c>
      <x:c r="R209" s="36" t="str">
        <x:v>独立制作稳定音色资产</x:v>
      </x:c>
      <x:c r="S209" s="36" t="str">
        <x:v>全片</x:v>
      </x:c>
      <x:c r="T209" s="36" t="str">
        <x:v>剧本明确;创作者建议</x:v>
      </x:c>
      <x:c r="U209" s="36" t="str">
        <x:v>已确认</x:v>
      </x:c>
      <x:c r="V209" s="36" t="str">
        <x:v>阶段2声音组首批</x:v>
      </x:c>
      <x:c r="W209" s="50" t="n">
        <x:f>IF(OR(D209="场景母图",D209="场景多视角"),0,1)</x:f>
        <x:v>1</x:v>
      </x:c>
      <x:c r="X209" s="50" t="n">
        <x:f>IF(LEFT(U209,2)="历史",0,1)</x:f>
        <x:v>1</x:v>
      </x:c>
    </x:row>
    <x:row r="210" ht="44" customHeight="1">
      <x:c r="A210" s="50" t="str">
        <x:v>声音资产</x:v>
      </x:c>
      <x:c r="B210" s="50" t="n">
        <x:v>2</x:v>
      </x:c>
      <x:c r="C210" s="50" t="n">
        <x:v>1</x:v>
      </x:c>
      <x:c r="D210" s="50" t="str">
        <x:v>稳定音色</x:v>
      </x:c>
      <x:c r="E210" s="36" t="str">
        <x:v>陈砚稳定音色</x:v>
      </x:c>
      <x:c r="F210" s="36" t="str">
        <x:v>BY-VOI-P0-002-陈砚声音</x:v>
      </x:c>
      <x:c r="G210" s="36" t="str"/>
      <x:c r="H210" s="50" t="str"/>
      <x:c r="I210" s="50" t="str">
        <x:v>VOI</x:v>
      </x:c>
      <x:c r="J210" s="50" t="str">
        <x:v>P0</x:v>
      </x:c>
      <x:c r="K210" s="36" t="str">
        <x:v>V1.2逐镜映射见data/阶段1_114镜资产调用映射_V1.2.csv</x:v>
      </x:c>
      <x:c r="L210" s="36" t="str">
        <x:v>场2,3,5,6,7,8,9,10,11,12,13；镜009,014,017,029,033,038,040,044,048,052,054,058,060,062,066,068,069,071,075,082,089,092</x:v>
      </x:c>
      <x:c r="M210" s="36" t="str">
        <x:v>中音、清楚、设备报告准确</x:v>
      </x:c>
      <x:c r="N210" s="36" t="str">
        <x:v>尾音收束较快，与杨凛区分</x:v>
      </x:c>
      <x:c r="O210" s="36" t="str">
        <x:v>中性;设备报告</x:v>
      </x:c>
      <x:c r="P210" s="36" t="str">
        <x:v>中音域、中速</x:v>
      </x:c>
      <x:c r="Q210" s="36" t="str">
        <x:v>通过无线电时保留可懂度</x:v>
      </x:c>
      <x:c r="R210" s="36" t="str">
        <x:v>独立制作稳定音色资产</x:v>
      </x:c>
      <x:c r="S210" s="36" t="str">
        <x:v>全片</x:v>
      </x:c>
      <x:c r="T210" s="36" t="str">
        <x:v>剧本明确;创作者建议</x:v>
      </x:c>
      <x:c r="U210" s="36" t="str">
        <x:v>已确认</x:v>
      </x:c>
      <x:c r="V210" s="36" t="str">
        <x:v>阶段2声音组首批</x:v>
      </x:c>
      <x:c r="W210" s="50" t="n">
        <x:f>IF(OR(D210="场景母图",D210="场景多视角"),0,1)</x:f>
        <x:v>1</x:v>
      </x:c>
      <x:c r="X210" s="50" t="n">
        <x:f>IF(LEFT(U210,2)="历史",0,1)</x:f>
        <x:v>1</x:v>
      </x:c>
    </x:row>
    <x:row r="211" ht="44" customHeight="1">
      <x:c r="A211" s="50" t="str">
        <x:v>声音资产</x:v>
      </x:c>
      <x:c r="B211" s="50" t="n">
        <x:v>3</x:v>
      </x:c>
      <x:c r="C211" s="50" t="n">
        <x:v>1</x:v>
      </x:c>
      <x:c r="D211" s="50" t="str">
        <x:v>稳定音色</x:v>
      </x:c>
      <x:c r="E211" s="36" t="str">
        <x:v>刘定槎稳定音色</x:v>
      </x:c>
      <x:c r="F211" s="36" t="str">
        <x:v>BY-VOI-P0-003-刘定槎声音</x:v>
      </x:c>
      <x:c r="G211" s="36" t="str"/>
      <x:c r="H211" s="50" t="str"/>
      <x:c r="I211" s="50" t="str">
        <x:v>VOI</x:v>
      </x:c>
      <x:c r="J211" s="50" t="str">
        <x:v>P0</x:v>
      </x:c>
      <x:c r="K211" s="36" t="str">
        <x:v>V1.2逐镜映射见data/阶段1_114镜资产调用映射_V1.2.csv</x:v>
      </x:c>
      <x:c r="L211" s="36" t="str">
        <x:v>场1,2,3,4,9,11,12,13,14,15；镜004,007,011,013,015,016,018,019,020,063,079,081,084,085,086,087,089,090,092,098,102,108</x:v>
      </x:c>
      <x:c r="M211" s="36" t="str">
        <x:v>中低偏温润、克制</x:v>
      </x:c>
      <x:c r="N211" s="36" t="str">
        <x:v>最后一句不煽情，与杨凛形成内收差异</x:v>
      </x:c>
      <x:c r="O211" s="36" t="str">
        <x:v>中性;通信;返程</x:v>
      </x:c>
      <x:c r="P211" s="36" t="str">
        <x:v>中低音域、中慢语速</x:v>
      </x:c>
      <x:c r="Q211" s="36" t="str">
        <x:v>梦舟舱内与无线电</x:v>
      </x:c>
      <x:c r="R211" s="36" t="str">
        <x:v>独立制作稳定音色资产</x:v>
      </x:c>
      <x:c r="S211" s="36" t="str">
        <x:v>全片</x:v>
      </x:c>
      <x:c r="T211" s="36" t="str">
        <x:v>剧本明确;创作者建议</x:v>
      </x:c>
      <x:c r="U211" s="36" t="str">
        <x:v>已确认</x:v>
      </x:c>
      <x:c r="V211" s="36" t="str">
        <x:v>阶段2声音组首批</x:v>
      </x:c>
      <x:c r="W211" s="50" t="n">
        <x:f>IF(OR(D211="场景母图",D211="场景多视角"),0,1)</x:f>
        <x:v>1</x:v>
      </x:c>
      <x:c r="X211" s="50" t="n">
        <x:f>IF(LEFT(U211,2)="历史",0,1)</x:f>
        <x:v>1</x:v>
      </x:c>
    </x:row>
    <x:row r="212" ht="44" customHeight="1">
      <x:c r="A212" s="52" t="str">
        <x:v>声音资产</x:v>
      </x:c>
      <x:c r="B212" s="52" t="n">
        <x:v>4</x:v>
      </x:c>
      <x:c r="C212" s="52" t="n">
        <x:v>1</x:v>
      </x:c>
      <x:c r="D212" s="52" t="str">
        <x:v>稳定音色</x:v>
      </x:c>
      <x:c r="E212" s="41" t="str">
        <x:v>周明远稳定音色</x:v>
      </x:c>
      <x:c r="F212" s="41" t="str">
        <x:v>BY-VOI-P1-001-周明远声音</x:v>
      </x:c>
      <x:c r="G212" s="41" t="str"/>
      <x:c r="H212" s="52" t="str"/>
      <x:c r="I212" s="52" t="str">
        <x:v>VOI</x:v>
      </x:c>
      <x:c r="J212" s="52" t="str">
        <x:v>P1</x:v>
      </x:c>
      <x:c r="K212" s="41" t="str">
        <x:v>01-02场对白</x:v>
      </x:c>
      <x:c r="L212" s="41" t="str">
        <x:v>历史V1.1</x:v>
      </x:c>
      <x:c r="M212" s="41" t="str">
        <x:v>权威清晰、不过度播音</x:v>
      </x:c>
      <x:c r="N212" s="41" t="str">
        <x:v>重大新闻的克制感</x:v>
      </x:c>
      <x:c r="O212" s="41" t="str">
        <x:v>新闻中性</x:v>
      </x:c>
      <x:c r="P212" s="41" t="str">
        <x:v>中低音域、中速</x:v>
      </x:c>
      <x:c r="Q212" s="41" t="str">
        <x:v>演播室干净声音</x:v>
      </x:c>
      <x:c r="R212" s="41" t="str">
        <x:v>独立制作稳定音色资产</x:v>
      </x:c>
      <x:c r="S212" s="41" t="str">
        <x:v>01-02</x:v>
      </x:c>
      <x:c r="T212" s="41" t="str">
        <x:v>剧本明确;创作者建议</x:v>
      </x:c>
      <x:c r="U212" s="41" t="str">
        <x:v>历史停用（V1.2不调用）</x:v>
      </x:c>
      <x:c r="V212" s="41" t="str">
        <x:v>随角色停用</x:v>
      </x:c>
      <x:c r="W212" s="52" t="n">
        <x:f>IF(OR(D212="场景母图",D212="场景多视角"),0,1)</x:f>
        <x:v>1</x:v>
      </x:c>
      <x:c r="X212" s="52" t="n">
        <x:f>IF(LEFT(U212,2)="历史",0,1)</x:f>
        <x:v>0</x:v>
      </x:c>
    </x:row>
    <x:row r="213" ht="44" customHeight="1">
      <x:c r="A213" s="50" t="str">
        <x:v>声音资产</x:v>
      </x:c>
      <x:c r="B213" s="50" t="n">
        <x:v>5</x:v>
      </x:c>
      <x:c r="C213" s="50" t="n">
        <x:v>1</x:v>
      </x:c>
      <x:c r="D213" s="50" t="str">
        <x:v>稳定音色</x:v>
      </x:c>
      <x:c r="E213" s="36" t="str">
        <x:v>林知夏稳定音色</x:v>
      </x:c>
      <x:c r="F213" s="36" t="str">
        <x:v>BY-VOI-P1-002-林知夏声音</x:v>
      </x:c>
      <x:c r="G213" s="36" t="str"/>
      <x:c r="H213" s="50" t="str"/>
      <x:c r="I213" s="50" t="str">
        <x:v>VOI</x:v>
      </x:c>
      <x:c r="J213" s="50" t="str">
        <x:v>P1</x:v>
      </x:c>
      <x:c r="K213" s="36" t="str">
        <x:v>V1.2逐镜映射见data/阶段1_114镜资产调用映射_V1.2.csv</x:v>
      </x:c>
      <x:c r="L213" s="36" t="str">
        <x:v>场1,6,8,15；镜002,042,056,105</x:v>
      </x:c>
      <x:c r="M213" s="36" t="str">
        <x:v>清亮、专业、有现场感</x:v>
      </x:c>
      <x:c r="N213" s="36" t="str">
        <x:v>比主播更轻更快</x:v>
      </x:c>
      <x:c r="O213" s="36" t="str">
        <x:v>现场报道</x:v>
      </x:c>
      <x:c r="P213" s="36" t="str">
        <x:v>中音域、中速</x:v>
      </x:c>
      <x:c r="Q213" s="36" t="str">
        <x:v>媒体区环境轻微进入</x:v>
      </x:c>
      <x:c r="R213" s="36" t="str">
        <x:v>独立制作稳定音色资产</x:v>
      </x:c>
      <x:c r="S213" s="36" t="str">
        <x:v>01</x:v>
      </x:c>
      <x:c r="T213" s="36" t="str">
        <x:v>剧本明确;创作者建议</x:v>
      </x:c>
      <x:c r="U213" s="36" t="str">
        <x:v>已确认</x:v>
      </x:c>
      <x:c r="V213" s="36" t="str">
        <x:v>新闻声音包</x:v>
      </x:c>
      <x:c r="W213" s="50" t="n">
        <x:f>IF(OR(D213="场景母图",D213="场景多视角"),0,1)</x:f>
        <x:v>1</x:v>
      </x:c>
      <x:c r="X213" s="50" t="n">
        <x:f>IF(LEFT(U213,2)="历史",0,1)</x:f>
        <x:v>1</x:v>
      </x:c>
    </x:row>
    <x:row r="214" ht="44" customHeight="1">
      <x:c r="A214" s="52" t="str">
        <x:v>声音资产</x:v>
      </x:c>
      <x:c r="B214" s="52" t="n">
        <x:v>6</x:v>
      </x:c>
      <x:c r="C214" s="52" t="n">
        <x:v>1</x:v>
      </x:c>
      <x:c r="D214" s="52" t="str">
        <x:v>稳定音色</x:v>
      </x:c>
      <x:c r="E214" s="41" t="str">
        <x:v>孙屹川稳定音色</x:v>
      </x:c>
      <x:c r="F214" s="41" t="str">
        <x:v>BY-VOI-P1-003-孙屹川声音</x:v>
      </x:c>
      <x:c r="G214" s="41" t="str"/>
      <x:c r="H214" s="52" t="str"/>
      <x:c r="I214" s="52" t="str">
        <x:v>VOI</x:v>
      </x:c>
      <x:c r="J214" s="52" t="str">
        <x:v>P1</x:v>
      </x:c>
      <x:c r="K214" s="41" t="str">
        <x:v>02场对白</x:v>
      </x:c>
      <x:c r="L214" s="41" t="str">
        <x:v>历史V1.1</x:v>
      </x:c>
      <x:c r="M214" s="41" t="str">
        <x:v>沉稳、精确、略年长</x:v>
      </x:c>
      <x:c r="N214" s="41" t="str">
        <x:v>工程术语清楚，不教学腔</x:v>
      </x:c>
      <x:c r="O214" s="41" t="str">
        <x:v>专家中性</x:v>
      </x:c>
      <x:c r="P214" s="41" t="str">
        <x:v>中低音域、偏慢</x:v>
      </x:c>
      <x:c r="Q214" s="41" t="str">
        <x:v>演播室干净声音</x:v>
      </x:c>
      <x:c r="R214" s="41" t="str">
        <x:v>独立制作稳定音色资产</x:v>
      </x:c>
      <x:c r="S214" s="41" t="str">
        <x:v>02</x:v>
      </x:c>
      <x:c r="T214" s="41" t="str">
        <x:v>剧本明确;创作者建议</x:v>
      </x:c>
      <x:c r="U214" s="41" t="str">
        <x:v>历史停用（V1.2不调用）</x:v>
      </x:c>
      <x:c r="V214" s="41" t="str">
        <x:v>随角色停用</x:v>
      </x:c>
      <x:c r="W214" s="52" t="n">
        <x:f>IF(OR(D214="场景母图",D214="场景多视角"),0,1)</x:f>
        <x:v>1</x:v>
      </x:c>
      <x:c r="X214" s="52" t="n">
        <x:f>IF(LEFT(U214,2)="历史",0,1)</x:f>
        <x:v>0</x:v>
      </x:c>
    </x:row>
    <x:row r="215" ht="44" customHeight="1">
      <x:c r="A215" s="50" t="str">
        <x:v>声音资产</x:v>
      </x:c>
      <x:c r="B215" s="50" t="n">
        <x:v>7</x:v>
      </x:c>
      <x:c r="C215" s="50" t="n">
        <x:v>1</x:v>
      </x:c>
      <x:c r="D215" s="50" t="str">
        <x:v>稳定音色</x:v>
      </x:c>
      <x:c r="E215" s="36" t="str">
        <x:v>北京飞控主调度稳定音色</x:v>
      </x:c>
      <x:c r="F215" s="36" t="str">
        <x:v>BY-VOI-P1-004-北京飞控主调度声音</x:v>
      </x:c>
      <x:c r="G215" s="36" t="str"/>
      <x:c r="H215" s="50" t="str"/>
      <x:c r="I215" s="50" t="str">
        <x:v>VOI</x:v>
      </x:c>
      <x:c r="J215" s="50" t="str">
        <x:v>P1</x:v>
      </x:c>
      <x:c r="K215" s="36" t="str">
        <x:v>V1.2逐镜映射见data/阶段1_114镜资产调用映射_V1.2.csv</x:v>
      </x:c>
      <x:c r="L215" s="36" t="str">
        <x:v>场1,2,4,5,6,7,8,9,10,12,13,14,15,16；镜003,005,006,010,012,021,023,024,026,028,031,036,041,045,050,051,053,057,064,065,067,072,073,080,083,088,093,095,097,102,104,106,108,113</x:v>
      </x:c>
      <x:c r="M215" s="36" t="str">
        <x:v>中性权威、短促、无情绪渲染</x:v>
      </x:c>
      <x:c r="N215" s="36" t="str">
        <x:v>与三名航天员明显区分</x:v>
      </x:c>
      <x:c r="O215" s="36" t="str">
        <x:v>任务调度</x:v>
      </x:c>
      <x:c r="P215" s="36" t="str">
        <x:v>中音域、中速</x:v>
      </x:c>
      <x:c r="Q215" s="36" t="str">
        <x:v>地月通信质感</x:v>
      </x:c>
      <x:c r="R215" s="36" t="str">
        <x:v>独立制作稳定音色资产</x:v>
      </x:c>
      <x:c r="S215" s="36" t="str">
        <x:v>飞控通信</x:v>
      </x:c>
      <x:c r="T215" s="36" t="str">
        <x:v>剧本明确;创作者建议</x:v>
      </x:c>
      <x:c r="U215" s="36" t="str">
        <x:v>已确认</x:v>
      </x:c>
      <x:c r="V215" s="36" t="str">
        <x:v>阶段2声音组</x:v>
      </x:c>
      <x:c r="W215" s="50" t="n">
        <x:f>IF(OR(D215="场景母图",D215="场景多视角"),0,1)</x:f>
        <x:v>1</x:v>
      </x:c>
      <x:c r="X215" s="50" t="n">
        <x:f>IF(LEFT(U215,2)="历史",0,1)</x:f>
        <x:v>1</x:v>
      </x:c>
    </x:row>
    <x:row r="216" ht="44" customHeight="1">
      <x:c r="A216" s="50" t="str">
        <x:v>声音资产</x:v>
      </x:c>
      <x:c r="B216" s="50" t="n">
        <x:v>8</x:v>
      </x:c>
      <x:c r="C216" s="50" t="n">
        <x:v>1</x:v>
      </x:c>
      <x:c r="D216" s="50" t="str">
        <x:v>稳定音色</x:v>
      </x:c>
      <x:c r="E216" s="36" t="str">
        <x:v>林海深空测控稳定音色</x:v>
      </x:c>
      <x:c r="F216" s="36" t="str">
        <x:v>BY-VOI-P1-005-林海深空测控声音</x:v>
      </x:c>
      <x:c r="G216" s="36" t="str"/>
      <x:c r="H216" s="50" t="str"/>
      <x:c r="I216" s="50" t="str">
        <x:v>VOI</x:v>
      </x:c>
      <x:c r="J216" s="50" t="str">
        <x:v>P1</x:v>
      </x:c>
      <x:c r="K216" s="36" t="str">
        <x:v>V1.2逐镜映射见data/阶段1_114镜资产调用映射_V1.2.csv</x:v>
      </x:c>
      <x:c r="L216" s="36" t="str">
        <x:v>场1,5,8,11,14；镜003,028,035,053,077,097</x:v>
      </x:c>
      <x:c r="M216" s="36" t="str">
        <x:v>佳木斯主链路席位的克制无线电声音。</x:v>
      </x:c>
      <x:c r="N216" s="36" t="str">
        <x:v>中性中低音、短句、清楚报数。</x:v>
      </x:c>
      <x:c r="O216" s="36" t="str">
        <x:v>中性样本</x:v>
      </x:c>
      <x:c r="P216" s="36" t="str">
        <x:v>稳定、专业、无表演腔</x:v>
      </x:c>
      <x:c r="Q216" s="36" t="str">
        <x:v>不适用</x:v>
      </x:c>
      <x:c r="R216" s="36" t="str">
        <x:v>独立音色验证</x:v>
      </x:c>
      <x:c r="S216" s="36" t="str">
        <x:v>第1、5、8、11、14场</x:v>
      </x:c>
      <x:c r="T216" s="36" t="str">
        <x:v>V1.2剧本明确＋项目锁定＋公开工程资料边界</x:v>
      </x:c>
      <x:c r="U216" s="36" t="str">
        <x:v>已确认生产方向</x:v>
      </x:c>
      <x:c r="V216" s="36" t="str">
        <x:v>阶段2A重入后按生产包执行</x:v>
      </x:c>
      <x:c r="W216" s="50" t="n">
        <x:f>IF(OR(D216="场景母图",D216="场景多视角"),0,1)</x:f>
        <x:v>1</x:v>
      </x:c>
      <x:c r="X216" s="50" t="n">
        <x:f>IF(LEFT(U216,2)="历史",0,1)</x:f>
        <x:v>1</x:v>
      </x:c>
    </x:row>
    <x:row r="217" ht="44" customHeight="1">
      <x:c r="A217" s="50" t="str">
        <x:v>声音资产</x:v>
      </x:c>
      <x:c r="B217" s="50" t="n">
        <x:v>9</x:v>
      </x:c>
      <x:c r="C217" s="50" t="n">
        <x:v>1</x:v>
      </x:c>
      <x:c r="D217" s="50" t="str">
        <x:v>稳定音色</x:v>
      </x:c>
      <x:c r="E217" s="36" t="str">
        <x:v>叶河深空测控稳定音色</x:v>
      </x:c>
      <x:c r="F217" s="36" t="str">
        <x:v>BY-VOI-P1-006-叶河深空测控声音</x:v>
      </x:c>
      <x:c r="G217" s="36" t="str"/>
      <x:c r="H217" s="50" t="str"/>
      <x:c r="I217" s="50" t="str">
        <x:v>VOI</x:v>
      </x:c>
      <x:c r="J217" s="50" t="str">
        <x:v>P1</x:v>
      </x:c>
      <x:c r="K217" s="36" t="str">
        <x:v>V1.2逐镜映射见data/阶段1_114镜资产调用映射_V1.2.csv</x:v>
      </x:c>
      <x:c r="L217" s="36" t="str">
        <x:v>场4,5,11；镜022,035,077</x:v>
      </x:c>
      <x:c r="M217" s="36" t="str">
        <x:v>喀什备份链路席位声音。</x:v>
      </x:c>
      <x:c r="N217" s="36" t="str">
        <x:v>与林海明显可辨。</x:v>
      </x:c>
      <x:c r="O217" s="36" t="str">
        <x:v>中性样本</x:v>
      </x:c>
      <x:c r="P217" s="36" t="str">
        <x:v>中音、简洁、冷静</x:v>
      </x:c>
      <x:c r="Q217" s="36" t="str">
        <x:v>不适用</x:v>
      </x:c>
      <x:c r="R217" s="36" t="str">
        <x:v>独立音色验证</x:v>
      </x:c>
      <x:c r="S217" s="36" t="str">
        <x:v>第4、5、11、14场</x:v>
      </x:c>
      <x:c r="T217" s="36" t="str">
        <x:v>V1.2剧本明确＋项目锁定＋公开工程资料边界</x:v>
      </x:c>
      <x:c r="U217" s="36" t="str">
        <x:v>已确认生产方向</x:v>
      </x:c>
      <x:c r="V217" s="36" t="str">
        <x:v>阶段2A重入后按生产包执行</x:v>
      </x:c>
      <x:c r="W217" s="50" t="n">
        <x:f>IF(OR(D217="场景母图",D217="场景多视角"),0,1)</x:f>
        <x:v>1</x:v>
      </x:c>
      <x:c r="X217" s="50" t="n">
        <x:f>IF(LEFT(U217,2)="历史",0,1)</x:f>
        <x:v>1</x:v>
      </x:c>
    </x:row>
    <x:row r="218" ht="44" customHeight="1">
      <x:c r="A218" s="50" t="str">
        <x:v>声音资产</x:v>
      </x:c>
      <x:c r="B218" s="50" t="n">
        <x:v>10</x:v>
      </x:c>
      <x:c r="C218" s="50" t="n">
        <x:v>1</x:v>
      </x:c>
      <x:c r="D218" s="50" t="str">
        <x:v>稳定音色</x:v>
      </x:c>
      <x:c r="E218" s="36" t="str">
        <x:v>天衡VLBI测轨稳定音色</x:v>
      </x:c>
      <x:c r="F218" s="36" t="str">
        <x:v>BY-VOI-P1-007-天衡测轨声音</x:v>
      </x:c>
      <x:c r="G218" s="36" t="str"/>
      <x:c r="H218" s="50" t="str"/>
      <x:c r="I218" s="50" t="str">
        <x:v>VOI</x:v>
      </x:c>
      <x:c r="J218" s="50" t="str">
        <x:v>P1</x:v>
      </x:c>
      <x:c r="K218" s="36" t="str">
        <x:v>V1.2逐镜映射见data/阶段1_114镜资产调用映射_V1.2.csv</x:v>
      </x:c>
      <x:c r="L218" s="36" t="str">
        <x:v>场4,5,10,12,14；镜022,035,072,083,099</x:v>
      </x:c>
      <x:c r="M218" s="36" t="str">
        <x:v>测轨网统一呼号声音。</x:v>
      </x:c>
      <x:c r="N218" s="36" t="str">
        <x:v>不等同于单一站点；语气偏数据校核。</x:v>
      </x:c>
      <x:c r="O218" s="36" t="str">
        <x:v>中性样本</x:v>
      </x:c>
      <x:c r="P218" s="36" t="str">
        <x:v>中低音、精确、无情绪化</x:v>
      </x:c>
      <x:c r="Q218" s="36" t="str">
        <x:v>不适用</x:v>
      </x:c>
      <x:c r="R218" s="36" t="str">
        <x:v>独立音色验证</x:v>
      </x:c>
      <x:c r="S218" s="36" t="str">
        <x:v>第4、5、10、12、14场</x:v>
      </x:c>
      <x:c r="T218" s="36" t="str">
        <x:v>V1.2剧本明确＋项目锁定＋公开工程资料边界</x:v>
      </x:c>
      <x:c r="U218" s="36" t="str">
        <x:v>已确认生产方向</x:v>
      </x:c>
      <x:c r="V218" s="36" t="str">
        <x:v>阶段2A重入后按生产包执行</x:v>
      </x:c>
      <x:c r="W218" s="50" t="n">
        <x:f>IF(OR(D218="场景母图",D218="场景多视角"),0,1)</x:f>
        <x:v>1</x:v>
      </x:c>
      <x:c r="X218" s="50" t="n">
        <x:f>IF(LEFT(U218,2)="历史",0,1)</x:f>
        <x:v>1</x:v>
      </x:c>
    </x:row>
    <x:row r="219" ht="44" customHeight="1">
      <x:c r="A219" s="50" t="str">
        <x:v>声音资产</x:v>
      </x:c>
      <x:c r="B219" s="50" t="n">
        <x:v>11</x:v>
      </x:c>
      <x:c r="C219" s="50" t="n">
        <x:v>1</x:v>
      </x:c>
      <x:c r="D219" s="50" t="str">
        <x:v>稳定音色</x:v>
      </x:c>
      <x:c r="E219" s="36" t="str">
        <x:v>东风着陆场调度／搜救指挥稳定音色</x:v>
      </x:c>
      <x:c r="F219" s="36" t="str">
        <x:v>BY-VOI-P1-008-搜救指挥声音</x:v>
      </x:c>
      <x:c r="G219" s="36" t="str"/>
      <x:c r="H219" s="50" t="str"/>
      <x:c r="I219" s="50" t="str">
        <x:v>VOI</x:v>
      </x:c>
      <x:c r="J219" s="50" t="str">
        <x:v>P1</x:v>
      </x:c>
      <x:c r="K219" s="36" t="str">
        <x:v>V1.2逐镜映射见data/阶段1_114镜资产调用映射_V1.2.csv</x:v>
      </x:c>
      <x:c r="L219" s="36" t="str">
        <x:v>第13—15场</x:v>
      </x:c>
      <x:c r="M219" s="36" t="str">
        <x:v>直播呼号“东风”的着陆场调度、目标跟踪和搜救指挥通话。</x:v>
      </x:c>
      <x:c r="N219" s="36" t="str">
        <x:v>与北京飞控主调度区分。</x:v>
      </x:c>
      <x:c r="O219" s="36" t="str">
        <x:v>中性样本</x:v>
      </x:c>
      <x:c r="P219" s="36" t="str">
        <x:v>中低音、现场调度感</x:v>
      </x:c>
      <x:c r="Q219" s="36" t="str">
        <x:v>不适用</x:v>
      </x:c>
      <x:c r="R219" s="36" t="str">
        <x:v>独立音色资产；正式镜头中的通话随视频同步生成。</x:v>
      </x:c>
      <x:c r="S219" s="36" t="str">
        <x:v>第15—16场</x:v>
      </x:c>
      <x:c r="T219" s="36" t="str">
        <x:v>V1.2剧本明确＋项目锁定＋公开工程资料边界</x:v>
      </x:c>
      <x:c r="U219" s="36" t="str">
        <x:v>已确认生产方向</x:v>
      </x:c>
      <x:c r="V219" s="36" t="str">
        <x:v>阶段2A重入后按生产包执行</x:v>
      </x:c>
      <x:c r="W219" s="50" t="n">
        <x:f>IF(OR(D219="场景母图",D219="场景多视角"),0,1)</x:f>
        <x:v>1</x:v>
      </x:c>
      <x:c r="X219" s="50" t="n">
        <x:f>IF(LEFT(U219,2)="历史",0,1)</x:f>
        <x:v>1</x:v>
      </x:c>
    </x:row>
    <x:row r="220" ht="44" customHeight="1">
      <x:c r="A220" s="50" t="str">
        <x:v>声音资产</x:v>
      </x:c>
      <x:c r="B220" s="50" t="n">
        <x:v>12</x:v>
      </x:c>
      <x:c r="C220" s="50" t="n">
        <x:v>1</x:v>
      </x:c>
      <x:c r="D220" s="50" t="str">
        <x:v>稳定音色</x:v>
      </x:c>
      <x:c r="E220" s="36" t="str">
        <x:v>小天任务智能体稳定音色</x:v>
      </x:c>
      <x:c r="F220" s="36" t="str">
        <x:v>BY-VOI-P1-009-小天任务智能体声音</x:v>
      </x:c>
      <x:c r="G220" s="36" t="str"/>
      <x:c r="H220" s="50" t="str"/>
      <x:c r="I220" s="50" t="str">
        <x:v>VOI</x:v>
      </x:c>
      <x:c r="J220" s="50" t="str">
        <x:v>P1</x:v>
      </x:c>
      <x:c r="K220" s="36" t="str">
        <x:v>V1.2逐镜映射见data/阶段1_114镜资产调用映射_V1.2.csv</x:v>
      </x:c>
      <x:c r="L220" s="36" t="str">
        <x:v>场1,2,3,5,7,10,11,12,13,15；镜004,007,018,030,032,034,046,070,076,085,094,103</x:v>
      </x:c>
      <x:c r="M220" s="36" t="str">
        <x:v>受限任务智能体的中性提示音色。</x:v>
      </x:c>
      <x:c r="N220" s="36" t="str">
        <x:v>不拟人化卖萌，不表现自主权威。</x:v>
      </x:c>
      <x:c r="O220" s="36" t="str">
        <x:v>中性样本</x:v>
      </x:c>
      <x:c r="P220" s="36" t="str">
        <x:v>清晰、中性、低情绪、短句</x:v>
      </x:c>
      <x:c r="Q220" s="36" t="str">
        <x:v>不适用</x:v>
      </x:c>
      <x:c r="R220" s="36" t="str">
        <x:v>独立音色验证</x:v>
      </x:c>
      <x:c r="S220" s="36" t="str">
        <x:v>第1—15场</x:v>
      </x:c>
      <x:c r="T220" s="36" t="str">
        <x:v>V1.2剧本明确＋项目锁定＋公开工程资料边界</x:v>
      </x:c>
      <x:c r="U220" s="36" t="str">
        <x:v>已确认生产方向</x:v>
      </x:c>
      <x:c r="V220" s="36" t="str">
        <x:v>阶段2A重入后按生产包执行</x:v>
      </x:c>
      <x:c r="W220" s="50" t="n">
        <x:f>IF(OR(D220="场景母图",D220="场景多视角"),0,1)</x:f>
        <x:v>1</x:v>
      </x:c>
      <x:c r="X220" s="50" t="n">
        <x:f>IF(LEFT(U220,2)="历史",0,1)</x:f>
        <x:v>1</x:v>
      </x:c>
    </x:row>
    <x:row r="221" ht="44" customHeight="1">
      <x:c r="A221" s="50" t="str">
        <x:v>声音资产</x:v>
      </x:c>
      <x:c r="B221" s="50" t="n">
        <x:v>13</x:v>
      </x:c>
      <x:c r="C221" s="50" t="n">
        <x:v>1</x:v>
      </x:c>
      <x:c r="D221" s="50" t="str">
        <x:v>稳定音色</x:v>
      </x:c>
      <x:c r="E221" s="36" t="str">
        <x:v>北京地质席稳定音色</x:v>
      </x:c>
      <x:c r="F221" s="36" t="str">
        <x:v>BY-VOI-P1-010-北京地质席声音</x:v>
      </x:c>
      <x:c r="G221" s="36" t="str"/>
      <x:c r="H221" s="50" t="str"/>
      <x:c r="I221" s="50" t="str">
        <x:v>VOI</x:v>
      </x:c>
      <x:c r="J221" s="50" t="str">
        <x:v>P1</x:v>
      </x:c>
      <x:c r="K221" s="36" t="str">
        <x:v>V1.2逐镜映射见data/阶段1_114镜资产调用映射_V1.2.csv</x:v>
      </x:c>
      <x:c r="L221" s="36" t="str">
        <x:v>场9；镜061</x:v>
      </x:c>
      <x:c r="M221" s="36" t="str">
        <x:v>月面路线与采样建议的科学席声音。</x:v>
      </x:c>
      <x:c r="N221" s="36" t="str">
        <x:v>与飞控主调度区分。</x:v>
      </x:c>
      <x:c r="O221" s="36" t="str">
        <x:v>中性样本</x:v>
      </x:c>
      <x:c r="P221" s="36" t="str">
        <x:v>专业、审慎、中等语速</x:v>
      </x:c>
      <x:c r="Q221" s="36" t="str">
        <x:v>不适用</x:v>
      </x:c>
      <x:c r="R221" s="36" t="str">
        <x:v>独立音色验证</x:v>
      </x:c>
      <x:c r="S221" s="36" t="str">
        <x:v>第9场</x:v>
      </x:c>
      <x:c r="T221" s="36" t="str">
        <x:v>V1.2剧本明确＋项目锁定＋公开工程资料边界</x:v>
      </x:c>
      <x:c r="U221" s="36" t="str">
        <x:v>已确认生产方向</x:v>
      </x:c>
      <x:c r="V221" s="36" t="str">
        <x:v>阶段2A重入后按生产包执行</x:v>
      </x:c>
      <x:c r="W221" s="50" t="n">
        <x:f>IF(OR(D221="场景母图",D221="场景多视角"),0,1)</x:f>
        <x:v>1</x:v>
      </x:c>
      <x:c r="X221" s="50" t="n">
        <x:f>IF(LEFT(U221,2)="历史",0,1)</x:f>
        <x:v>1</x:v>
      </x:c>
    </x:row>
    <x:row r="222" ht="44" customHeight="1">
      <x:c r="A222" s="50" t="str">
        <x:v>声音资产</x:v>
      </x:c>
      <x:c r="B222" s="50" t="n">
        <x:v>14</x:v>
      </x:c>
      <x:c r="C222" s="50" t="n">
        <x:v>1</x:v>
      </x:c>
      <x:c r="D222" s="50" t="str">
        <x:v>稳定音色</x:v>
      </x:c>
      <x:c r="E222" s="36" t="str">
        <x:v>回收现场指挥稳定音色</x:v>
      </x:c>
      <x:c r="F222" s="36" t="str">
        <x:v>BY-VOI-P1-011-现场指挥声音</x:v>
      </x:c>
      <x:c r="G222" s="36" t="str"/>
      <x:c r="H222" s="50" t="str"/>
      <x:c r="I222" s="50" t="str">
        <x:v>VOI</x:v>
      </x:c>
      <x:c r="J222" s="50" t="str">
        <x:v>P1</x:v>
      </x:c>
      <x:c r="K222" s="36" t="str">
        <x:v>V1.2逐镜映射见data/阶段1_114镜资产调用映射_V1.2.csv</x:v>
      </x:c>
      <x:c r="L222" s="36" t="str">
        <x:v>场16；镜111</x:v>
      </x:c>
      <x:c r="M222" s="36" t="str">
        <x:v>返回舱安全检查和开舱程序的现场声音。</x:v>
      </x:c>
      <x:c r="N222" s="36" t="str">
        <x:v>短句、明确、带现场通信质感。</x:v>
      </x:c>
      <x:c r="O222" s="36" t="str">
        <x:v>中性样本</x:v>
      </x:c>
      <x:c r="P222" s="36" t="str">
        <x:v>中音、清晰、无庆典语气</x:v>
      </x:c>
      <x:c r="Q222" s="36" t="str">
        <x:v>不适用</x:v>
      </x:c>
      <x:c r="R222" s="36" t="str">
        <x:v>独立音色验证</x:v>
      </x:c>
      <x:c r="S222" s="36" t="str">
        <x:v>第16场</x:v>
      </x:c>
      <x:c r="T222" s="36" t="str">
        <x:v>V1.2剧本明确＋项目锁定＋公开工程资料边界</x:v>
      </x:c>
      <x:c r="U222" s="36" t="str">
        <x:v>已确认生产方向</x:v>
      </x:c>
      <x:c r="V222" s="36" t="str">
        <x:v>阶段2A重入后按生产包执行</x:v>
      </x:c>
      <x:c r="W222" s="50" t="n">
        <x:f>IF(OR(D222="场景母图",D222="场景多视角"),0,1)</x:f>
        <x:v>1</x:v>
      </x:c>
      <x:c r="X222" s="50" t="n">
        <x:f>IF(LEFT(U222,2)="历史",0,1)</x:f>
        <x:v>1</x:v>
      </x:c>
    </x:row>
    <x:row r="223" ht="44" customHeight="1">
      <x:c r="A223" s="50" t="str">
        <x:v>声音资产</x:v>
      </x:c>
      <x:c r="B223" s="50" t="n">
        <x:v>15</x:v>
      </x:c>
      <x:c r="C223" s="50" t="n">
        <x:v>1</x:v>
      </x:c>
      <x:c r="D223" s="50" t="str">
        <x:v>稳定音色</x:v>
      </x:c>
      <x:c r="E223" s="36" t="str">
        <x:v>何文澜稳定音色</x:v>
      </x:c>
      <x:c r="F223" s="36" t="str">
        <x:v>BY-VOI-P1-012-何文澜声音</x:v>
      </x:c>
      <x:c r="G223" s="36" t="str"/>
      <x:c r="H223" s="50" t="str"/>
      <x:c r="I223" s="50" t="str">
        <x:v>VOI</x:v>
      </x:c>
      <x:c r="J223" s="50" t="str">
        <x:v>P1</x:v>
      </x:c>
      <x:c r="K223" s="36" t="str">
        <x:v>镜20、48—50、79、113</x:v>
      </x:c>
      <x:c r="L223" s="36" t="str">
        <x:v>第3、7、11、15场</x:v>
      </x:c>
      <x:c r="M223" s="36" t="str">
        <x:v>冷静、温和、医学解释清楚的中年专家音色。</x:v>
      </x:c>
      <x:c r="N223" s="36" t="str">
        <x:v>采访和画外保持同一身份。</x:v>
      </x:c>
      <x:c r="O223" s="36" t="str">
        <x:v>媒体区原声；专家画外</x:v>
      </x:c>
      <x:c r="P223" s="36" t="str">
        <x:v>无夸张播音腔</x:v>
      </x:c>
      <x:c r="Q223" s="36" t="str">
        <x:v>近讲收音，轻媒体区底噪</x:v>
      </x:c>
      <x:c r="R223" s="36" t="str">
        <x:v>独立制作、确认和登记；正式镜头对白同步生成</x:v>
      </x:c>
      <x:c r="S223" s="36" t="str">
        <x:v>何文澜所有台词</x:v>
      </x:c>
      <x:c r="T223" s="36" t="str">
        <x:v>V1.3.1正式分镜稿＋公开资料边界内艺术推演</x:v>
      </x:c>
      <x:c r="U223" s="36" t="str">
        <x:v>阶段1已确认生产方向</x:v>
      </x:c>
      <x:c r="V223" s="36" t="str">
        <x:v>阶段2B建立母资产并按镜头状态派生</x:v>
      </x:c>
      <x:c r="W223" s="50" t="n">
        <x:f>IF(OR(D223="场景母图",D223="场景多视角"),0,1)</x:f>
        <x:v>1</x:v>
      </x:c>
      <x:c r="X223" s="50" t="n">
        <x:f>IF(LEFT(U223,2)="历史",0,1)</x:f>
        <x:v>1</x:v>
      </x:c>
    </x:row>
    <x:row r="224" ht="44" customHeight="1">
      <x:c r="A224" s="50" t="str">
        <x:v>声音资产</x:v>
      </x:c>
      <x:c r="B224" s="50" t="n">
        <x:v>16</x:v>
      </x:c>
      <x:c r="C224" s="50" t="n">
        <x:v>1</x:v>
      </x:c>
      <x:c r="D224" s="50" t="str">
        <x:v>稳定音色</x:v>
      </x:c>
      <x:c r="E224" s="36" t="str">
        <x:v>孙亦川稳定音色</x:v>
      </x:c>
      <x:c r="F224" s="36" t="str">
        <x:v>BY-VOI-P1-013-孙亦川声音</x:v>
      </x:c>
      <x:c r="G224" s="36" t="str"/>
      <x:c r="H224" s="50" t="str"/>
      <x:c r="I224" s="50" t="str">
        <x:v>VOI</x:v>
      </x:c>
      <x:c r="J224" s="50" t="str">
        <x:v>P1</x:v>
      </x:c>
      <x:c r="K224" s="36" t="str">
        <x:v>镜35、88、93、100</x:v>
      </x:c>
      <x:c r="L224" s="36" t="str">
        <x:v>第6、12—14场</x:v>
      </x:c>
      <x:c r="M224" s="36" t="str">
        <x:v>逻辑清晰、节奏克制的轨道动力学专家音色。</x:v>
      </x:c>
      <x:c r="N224" s="36" t="str">
        <x:v>与历史停用“孙屹川”音色彻底隔离。</x:v>
      </x:c>
      <x:c r="O224" s="36" t="str">
        <x:v>媒体区原声；专家画外</x:v>
      </x:c>
      <x:c r="P224" s="36" t="str">
        <x:v>不使用激昂新闻腔</x:v>
      </x:c>
      <x:c r="Q224" s="36" t="str">
        <x:v>近讲收音</x:v>
      </x:c>
      <x:c r="R224" s="36" t="str">
        <x:v>独立制作、确认和登记；正式镜头对白同步生成</x:v>
      </x:c>
      <x:c r="S224" s="36" t="str">
        <x:v>孙亦川所有台词</x:v>
      </x:c>
      <x:c r="T224" s="36" t="str">
        <x:v>V1.3.1正式分镜稿＋公开资料边界内艺术推演</x:v>
      </x:c>
      <x:c r="U224" s="36" t="str">
        <x:v>阶段1已确认生产方向</x:v>
      </x:c>
      <x:c r="V224" s="36" t="str">
        <x:v>阶段2B建立母资产并按镜头状态派生</x:v>
      </x:c>
      <x:c r="W224" s="50" t="n">
        <x:f>IF(OR(D224="场景母图",D224="场景多视角"),0,1)</x:f>
        <x:v>1</x:v>
      </x:c>
      <x:c r="X224" s="50" t="n">
        <x:f>IF(LEFT(U224,2)="历史",0,1)</x:f>
        <x:v>1</x:v>
      </x:c>
    </x:row>
    <x:row r="225" ht="44" customHeight="1">
      <x:c r="A225" s="50" t="str">
        <x:v>声音资产</x:v>
      </x:c>
      <x:c r="B225" s="50" t="n">
        <x:v>17</x:v>
      </x:c>
      <x:c r="C225" s="50" t="n">
        <x:v>1</x:v>
      </x:c>
      <x:c r="D225" s="50" t="str">
        <x:v>稳定音色</x:v>
      </x:c>
      <x:c r="E225" s="36" t="str">
        <x:v>顾青岚稳定音色</x:v>
      </x:c>
      <x:c r="F225" s="36" t="str">
        <x:v>BY-VOI-P1-014-顾青岚声音</x:v>
      </x:c>
      <x:c r="G225" s="36" t="str"/>
      <x:c r="H225" s="50" t="str"/>
      <x:c r="I225" s="50" t="str">
        <x:v>VOI</x:v>
      </x:c>
      <x:c r="J225" s="50" t="str">
        <x:v>P1</x:v>
      </x:c>
      <x:c r="K225" s="36" t="str">
        <x:v>镜66—67、72</x:v>
      </x:c>
      <x:c r="L225" s="36" t="str">
        <x:v>第9—10场</x:v>
      </x:c>
      <x:c r="M225" s="36" t="str">
        <x:v>清晰、沉稳的月球地质专家音色。</x:v>
      </x:c>
      <x:c r="N225" s="36" t="str">
        <x:v>采访与科学画外连续。</x:v>
      </x:c>
      <x:c r="O225" s="36" t="str">
        <x:v>媒体区原声；专家画外</x:v>
      </x:c>
      <x:c r="P225" s="36" t="str">
        <x:v>自然语言节奏</x:v>
      </x:c>
      <x:c r="Q225" s="36" t="str">
        <x:v>近讲收音</x:v>
      </x:c>
      <x:c r="R225" s="36" t="str">
        <x:v>独立制作、确认和登记；正式镜头对白同步生成</x:v>
      </x:c>
      <x:c r="S225" s="36" t="str">
        <x:v>顾青岚所有台词</x:v>
      </x:c>
      <x:c r="T225" s="36" t="str">
        <x:v>V1.3.1正式分镜稿＋公开资料边界内艺术推演</x:v>
      </x:c>
      <x:c r="U225" s="36" t="str">
        <x:v>阶段1已确认生产方向</x:v>
      </x:c>
      <x:c r="V225" s="36" t="str">
        <x:v>阶段2B建立母资产并按镜头状态派生</x:v>
      </x:c>
      <x:c r="W225" s="50" t="n">
        <x:f>IF(OR(D225="场景母图",D225="场景多视角"),0,1)</x:f>
        <x:v>1</x:v>
      </x:c>
      <x:c r="X225" s="50" t="n">
        <x:f>IF(LEFT(U225,2)="历史",0,1)</x:f>
        <x:v>1</x:v>
      </x:c>
    </x:row>
    <x:row r="226" ht="44" customHeight="1">
      <x:c r="A226" s="50" t="str">
        <x:v>声音资产</x:v>
      </x:c>
      <x:c r="B226" s="50" t="n">
        <x:v>18</x:v>
      </x:c>
      <x:c r="C226" s="50" t="n">
        <x:v>1</x:v>
      </x:c>
      <x:c r="D226" s="50" t="str">
        <x:v>稳定音色</x:v>
      </x:c>
      <x:c r="E226" s="36" t="str">
        <x:v>东风医监人员稳定音色</x:v>
      </x:c>
      <x:c r="F226" s="36" t="str">
        <x:v>BY-VOI-P1-015-医监人员声音</x:v>
      </x:c>
      <x:c r="G226" s="36" t="str"/>
      <x:c r="H226" s="50" t="str"/>
      <x:c r="I226" s="50" t="str">
        <x:v>VOI</x:v>
      </x:c>
      <x:c r="J226" s="50" t="str">
        <x:v>P1</x:v>
      </x:c>
      <x:c r="K226" s="36" t="str">
        <x:v>镜114</x:v>
      </x:c>
      <x:c r="L226" s="36" t="str">
        <x:v>第15场</x:v>
      </x:c>
      <x:c r="M226" s="36" t="str">
        <x:v>现场医监人员的短句程序口令。</x:v>
      </x:c>
      <x:c r="N226" s="36" t="str">
        <x:v>与现场指挥、东风调度保持可辨识差异。</x:v>
      </x:c>
      <x:c r="O226" s="36" t="str">
        <x:v>舱门开启前后</x:v>
      </x:c>
      <x:c r="P226" s="36" t="str">
        <x:v>现场对讲质感</x:v>
      </x:c>
      <x:c r="Q226" s="36" t="str">
        <x:v>东风清晨户外</x:v>
      </x:c>
      <x:c r="R226" s="36" t="str">
        <x:v>独立登记；正式镜头通话同步生成</x:v>
      </x:c>
      <x:c r="S226" s="36" t="str">
        <x:v>开舱医学评估</x:v>
      </x:c>
      <x:c r="T226" s="36" t="str">
        <x:v>V1.3.1正式分镜稿＋公开资料边界内艺术推演</x:v>
      </x:c>
      <x:c r="U226" s="36" t="str">
        <x:v>阶段1已确认生产方向</x:v>
      </x:c>
      <x:c r="V226" s="36" t="str">
        <x:v>阶段2B建立母资产并按镜头状态派生</x:v>
      </x:c>
      <x:c r="W226" s="50" t="n">
        <x:f>IF(OR(D226="场景母图",D226="场景多视角"),0,1)</x:f>
        <x:v>1</x:v>
      </x:c>
      <x:c r="X226" s="50" t="n">
        <x:f>IF(LEFT(U226,2)="历史",0,1)</x:f>
        <x:v>1</x:v>
      </x:c>
    </x:row>
    <x:row r="227" ht="44" customHeight="1">
      <x:c r="A227" s="50" t="str">
        <x:v>声音资产</x:v>
      </x:c>
      <x:c r="B227" s="50" t="n">
        <x:v>19</x:v>
      </x:c>
      <x:c r="C227" s="50" t="n">
        <x:v>1</x:v>
      </x:c>
      <x:c r="D227" s="50" t="str">
        <x:v>同步声音约束</x:v>
      </x:c>
      <x:c r="E227" s="36" t="str">
        <x:v>舱内生命保障与设备底噪</x:v>
      </x:c>
      <x:c r="F227" s="36" t="str">
        <x:v>BY-SND-P0-001-舱内生命保障与设备底噪</x:v>
      </x:c>
      <x:c r="G227" s="36" t="str"/>
      <x:c r="H227" s="50" t="str"/>
      <x:c r="I227" s="50" t="str">
        <x:v>SND</x:v>
      </x:c>
      <x:c r="J227" s="50" t="str">
        <x:v>P0</x:v>
      </x:c>
      <x:c r="K227" s="36" t="str">
        <x:v>V1.2逐镜映射见data/阶段1_114镜资产调用映射_V1.2.csv</x:v>
      </x:c>
      <x:c r="L227" s="36" t="str">
        <x:v>场1,2,3,4,5,6,7,9,10,11,12,13,14,15；镜004,007,009,011,015,017,018,023,029,032,036,038,040,043,063,069,071,076,079,081,082,090,094,098,100,101,103,106</x:v>
      </x:c>
      <x:c r="M227" s="36" t="str">
        <x:v>稳定连续的舱内声音母题</x:v>
      </x:c>
      <x:c r="N227" s="36" t="str">
        <x:v>不独立制作，随视频同步生成，不压对白</x:v>
      </x:c>
      <x:c r="O227" s="36" t="str">
        <x:v>梦舟;揽月</x:v>
      </x:c>
      <x:c r="P227" s="36" t="str">
        <x:v>风扇、设备、轻微结构声</x:v>
      </x:c>
      <x:c r="Q227" s="36" t="str">
        <x:v>封闭舱内</x:v>
      </x:c>
      <x:c r="R227" s="36" t="str">
        <x:v>正式镜头Prompt声音约束</x:v>
      </x:c>
      <x:c r="S227" s="36" t="str">
        <x:v>舱内场次</x:v>
      </x:c>
      <x:c r="T227" s="36" t="str">
        <x:v>项目锁定;剧本明确</x:v>
      </x:c>
      <x:c r="U227" s="36" t="str">
        <x:v>已确认锁定</x:v>
      </x:c>
      <x:c r="V227" s="36" t="str">
        <x:v>不进入独立声音资产映射</x:v>
      </x:c>
      <x:c r="W227" s="50" t="n">
        <x:f>IF(OR(D227="场景母图",D227="场景多视角"),0,1)</x:f>
        <x:v>1</x:v>
      </x:c>
      <x:c r="X227" s="50" t="n">
        <x:f>IF(LEFT(U227,2)="历史",0,1)</x:f>
        <x:v>1</x:v>
      </x:c>
    </x:row>
    <x:row r="228" ht="44" customHeight="1">
      <x:c r="A228" s="50" t="str">
        <x:v>声音资产</x:v>
      </x:c>
      <x:c r="B228" s="50" t="n">
        <x:v>20</x:v>
      </x:c>
      <x:c r="C228" s="50" t="n">
        <x:v>1</x:v>
      </x:c>
      <x:c r="D228" s="50" t="str">
        <x:v>同步声音约束</x:v>
      </x:c>
      <x:c r="E228" s="36" t="str">
        <x:v>地月无线电通信质感</x:v>
      </x:c>
      <x:c r="F228" s="36" t="str">
        <x:v>BY-SND-P0-002-地月无线电通信质感</x:v>
      </x:c>
      <x:c r="G228" s="36" t="str"/>
      <x:c r="H228" s="50" t="str"/>
      <x:c r="I228" s="50" t="str">
        <x:v>SND</x:v>
      </x:c>
      <x:c r="J228" s="50" t="str">
        <x:v>P0</x:v>
      </x:c>
      <x:c r="K228" s="36" t="str">
        <x:v>V1.2逐镜映射见data/阶段1_114镜资产调用映射_V1.2.csv</x:v>
      </x:c>
      <x:c r="L228" s="36" t="str">
        <x:v>场1,2,3,4,5,6,7,8,9,10,11,12,13,14,15,16；镜001,003,004,005,006,007,008,009,010,011,012,013,014,015,016,017,018,019,020,021,022,023,024,025,026,027,028,029,030,031,032,033,034,035,036,038,040,041,043,044,045,046,047,048,049,050,051,052,053,054,057,058,059,060,061,062,063,064,065,066,067,068,069,070,071,072,073,074,075,076,077,078,079,080,081,082,083,084,085,086,087,088,089,090,091,092,093,094,095,096,097,098,099,101,102,103,104,106,108,112,113</x:v>
      </x:c>
      <x:c r="M228" s="36" t="str">
        <x:v>带宽感、底噪和传播停顿</x:v>
      </x:c>
      <x:c r="N228" s="36" t="str">
        <x:v>不独立制作，随视频同步生成，保持可懂度</x:v>
      </x:c>
      <x:c r="O228" s="36" t="str">
        <x:v>地面到月球;月球到地面</x:v>
      </x:c>
      <x:c r="P228" s="36" t="str">
        <x:v>无线电质感</x:v>
      </x:c>
      <x:c r="Q228" s="36" t="str">
        <x:v>任务通信链</x:v>
      </x:c>
      <x:c r="R228" s="36" t="str">
        <x:v>正式镜头Prompt声音约束</x:v>
      </x:c>
      <x:c r="S228" s="36" t="str">
        <x:v>通信场次</x:v>
      </x:c>
      <x:c r="T228" s="36" t="str">
        <x:v>项目锁定;科学约束</x:v>
      </x:c>
      <x:c r="U228" s="36" t="str">
        <x:v>已确认锁定</x:v>
      </x:c>
      <x:c r="V228" s="36" t="str">
        <x:v>不进入独立声音资产映射</x:v>
      </x:c>
      <x:c r="W228" s="50" t="n">
        <x:f>IF(OR(D228="场景母图",D228="场景多视角"),0,1)</x:f>
        <x:v>1</x:v>
      </x:c>
      <x:c r="X228" s="50" t="n">
        <x:f>IF(LEFT(U228,2)="历史",0,1)</x:f>
        <x:v>1</x:v>
      </x:c>
    </x:row>
    <x:row r="229" ht="44" customHeight="1">
      <x:c r="A229" s="50" t="str">
        <x:v>声音资产</x:v>
      </x:c>
      <x:c r="B229" s="50" t="n">
        <x:v>21</x:v>
      </x:c>
      <x:c r="C229" s="50" t="n">
        <x:v>1</x:v>
      </x:c>
      <x:c r="D229" s="50" t="str">
        <x:v>同步声音约束</x:v>
      </x:c>
      <x:c r="E229" s="36" t="str">
        <x:v>舱门对接机构结构传导</x:v>
      </x:c>
      <x:c r="F229" s="36" t="str">
        <x:v>BY-SND-P1-001-舱门对接机构结构传导</x:v>
      </x:c>
      <x:c r="G229" s="36" t="str"/>
      <x:c r="H229" s="50" t="str"/>
      <x:c r="I229" s="50" t="str">
        <x:v>SND</x:v>
      </x:c>
      <x:c r="J229" s="50" t="str">
        <x:v>P1</x:v>
      </x:c>
      <x:c r="K229" s="36" t="str">
        <x:v>V1.2逐镜映射见data/阶段1_114镜资产调用映射_V1.2.csv</x:v>
      </x:c>
      <x:c r="L229" s="36" t="str">
        <x:v>场1,2,3,4,7,10,12,13,16；镜005,008,010,011,013,014,016,018,019,020,046,047,048,070,087,089,092,111,112</x:v>
      </x:c>
      <x:c r="M229" s="36" t="str">
        <x:v>舱门、分离、接触、锁紧的结构传导声</x:v>
      </x:c>
      <x:c r="N229" s="36" t="str">
        <x:v>只在舱内或结构路径可听，外部真空无巨大撞击</x:v>
      </x:c>
      <x:c r="O229" s="36" t="str">
        <x:v>关闭;分离;接触;锁紧</x:v>
      </x:c>
      <x:c r="P229" s="36" t="str">
        <x:v>机械与结构传导</x:v>
      </x:c>
      <x:c r="Q229" s="36" t="str">
        <x:v>舱内或结构路径</x:v>
      </x:c>
      <x:c r="R229" s="36" t="str">
        <x:v>正式镜头Prompt声音约束</x:v>
      </x:c>
      <x:c r="S229" s="36" t="str">
        <x:v>对接场次</x:v>
      </x:c>
      <x:c r="T229" s="36" t="str">
        <x:v>剧本明确;科学约束</x:v>
      </x:c>
      <x:c r="U229" s="36" t="str">
        <x:v>已确认锁定</x:v>
      </x:c>
      <x:c r="V229" s="36" t="str">
        <x:v>随视频同步生成</x:v>
      </x:c>
      <x:c r="W229" s="50" t="n">
        <x:f>IF(OR(D229="场景母图",D229="场景多视角"),0,1)</x:f>
        <x:v>1</x:v>
      </x:c>
      <x:c r="X229" s="50" t="n">
        <x:f>IF(LEFT(U229,2)="历史",0,1)</x:f>
        <x:v>1</x:v>
      </x:c>
    </x:row>
    <x:row r="230" ht="44" customHeight="1">
      <x:c r="A230" s="50" t="str">
        <x:v>声音资产</x:v>
      </x:c>
      <x:c r="B230" s="50" t="n">
        <x:v>22</x:v>
      </x:c>
      <x:c r="C230" s="50" t="n">
        <x:v>1</x:v>
      </x:c>
      <x:c r="D230" s="50" t="str">
        <x:v>同步声音约束</x:v>
      </x:c>
      <x:c r="E230" s="36" t="str">
        <x:v>登月服内部呼吸与结构声</x:v>
      </x:c>
      <x:c r="F230" s="36" t="str">
        <x:v>BY-SND-P1-002-登月服内部呼吸与结构声</x:v>
      </x:c>
      <x:c r="G230" s="36" t="str"/>
      <x:c r="H230" s="50" t="str"/>
      <x:c r="I230" s="50" t="str">
        <x:v>SND</x:v>
      </x:c>
      <x:c r="J230" s="50" t="str">
        <x:v>P1</x:v>
      </x:c>
      <x:c r="K230" s="36" t="str">
        <x:v>V1.2逐镜映射见data/阶段1_114镜资产调用映射_V1.2.csv</x:v>
      </x:c>
      <x:c r="L230" s="36" t="str">
        <x:v>场7,8,9,10,11；镜044,046,047,048,049,050,051,052,054,057,058,059,060,061,062,064,066,067,068,069,070,071,073,074,075,076,078</x:v>
      </x:c>
      <x:c r="M230" s="36" t="str">
        <x:v>头盔内呼吸、关节和扶手接触传导</x:v>
      </x:c>
      <x:c r="N230" s="36" t="str">
        <x:v>来自航天服内部与任务通信音轨，不是月面外部环境声</x:v>
      </x:c>
      <x:c r="O230" s="36" t="str">
        <x:v>静息;活动;略重呼吸</x:v>
      </x:c>
      <x:c r="P230" s="36" t="str">
        <x:v>呼吸、织物、关节结构声</x:v>
      </x:c>
      <x:c r="Q230" s="36" t="str">
        <x:v>登月服内部</x:v>
      </x:c>
      <x:c r="R230" s="36" t="str">
        <x:v>正式镜头Prompt声音约束</x:v>
      </x:c>
      <x:c r="S230" s="36" t="str">
        <x:v>月面场次</x:v>
      </x:c>
      <x:c r="T230" s="36" t="str">
        <x:v>项目锁定;科学约束</x:v>
      </x:c>
      <x:c r="U230" s="36" t="str">
        <x:v>已确认锁定</x:v>
      </x:c>
      <x:c r="V230" s="36" t="str">
        <x:v>随视频同步生成</x:v>
      </x:c>
      <x:c r="W230" s="50" t="n">
        <x:f>IF(OR(D230="场景母图",D230="场景多视角"),0,1)</x:f>
        <x:v>1</x:v>
      </x:c>
      <x:c r="X230" s="50" t="n">
        <x:f>IF(LEFT(U230,2)="历史",0,1)</x:f>
        <x:v>1</x:v>
      </x:c>
    </x:row>
    <x:row r="231" ht="44" customHeight="1">
      <x:c r="A231" s="50" t="str">
        <x:v>声音资产</x:v>
      </x:c>
      <x:c r="B231" s="50" t="n">
        <x:v>23</x:v>
      </x:c>
      <x:c r="C231" s="50" t="n">
        <x:v>1</x:v>
      </x:c>
      <x:c r="D231" s="50" t="str">
        <x:v>同步声音约束</x:v>
      </x:c>
      <x:c r="E231" s="36" t="str">
        <x:v>发动机舱内结构振动</x:v>
      </x:c>
      <x:c r="F231" s="36" t="str">
        <x:v>BY-SND-P1-003-发动机舱内结构振动</x:v>
      </x:c>
      <x:c r="G231" s="36" t="str"/>
      <x:c r="H231" s="50" t="str"/>
      <x:c r="I231" s="50" t="str">
        <x:v>SND</x:v>
      </x:c>
      <x:c r="J231" s="50" t="str">
        <x:v>P1</x:v>
      </x:c>
      <x:c r="K231" s="36" t="str">
        <x:v>V1.2逐镜映射见data/阶段1_114镜资产调用映射_V1.2.csv</x:v>
      </x:c>
      <x:c r="L231" s="36" t="str">
        <x:v>场4,5,14,15；镜024,038,098,103</x:v>
      </x:c>
      <x:c r="M231" s="36" t="str">
        <x:v>下降和起飞时舱内可感知的结构振动</x:v>
      </x:c>
      <x:c r="N231" s="36" t="str">
        <x:v>外部画面无空气轰鸣</x:v>
      </x:c>
      <x:c r="O231" s="36" t="str">
        <x:v>点火;稳定工作;关机</x:v>
      </x:c>
      <x:c r="P231" s="36" t="str">
        <x:v>低频结构振动</x:v>
      </x:c>
      <x:c r="Q231" s="36" t="str">
        <x:v>揽月舱内</x:v>
      </x:c>
      <x:c r="R231" s="36" t="str">
        <x:v>正式镜头Prompt声音约束</x:v>
      </x:c>
      <x:c r="S231" s="36" t="str">
        <x:v>下降与起飞</x:v>
      </x:c>
      <x:c r="T231" s="36" t="str">
        <x:v>剧本明确;科学约束</x:v>
      </x:c>
      <x:c r="U231" s="36" t="str">
        <x:v>已确认锁定</x:v>
      </x:c>
      <x:c r="V231" s="36" t="str">
        <x:v>随视频同步生成</x:v>
      </x:c>
      <x:c r="W231" s="50" t="n">
        <x:f>IF(OR(D231="场景母图",D231="场景多视角"),0,1)</x:f>
        <x:v>1</x:v>
      </x:c>
      <x:c r="X231" s="50" t="n">
        <x:f>IF(LEFT(U231,2)="历史",0,1)</x:f>
        <x:v>1</x:v>
      </x:c>
    </x:row>
    <x:row r="232" ht="44" customHeight="1">
      <x:c r="A232" s="52" t="str">
        <x:v>声音资产</x:v>
      </x:c>
      <x:c r="B232" s="52" t="n">
        <x:v>24</x:v>
      </x:c>
      <x:c r="C232" s="52" t="n">
        <x:v>1</x:v>
      </x:c>
      <x:c r="D232" s="52" t="str">
        <x:v>同步声音约束</x:v>
      </x:c>
      <x:c r="E232" s="41" t="str">
        <x:v>新闻提示音</x:v>
      </x:c>
      <x:c r="F232" s="41" t="str">
        <x:v>BY-SND-P2-001-新闻提示音</x:v>
      </x:c>
      <x:c r="G232" s="41" t="str"/>
      <x:c r="H232" s="52" t="str"/>
      <x:c r="I232" s="52" t="str">
        <x:v>SND</x:v>
      </x:c>
      <x:c r="J232" s="52" t="str">
        <x:v>P2</x:v>
      </x:c>
      <x:c r="K232" s="41" t="str">
        <x:v>01-01镜头</x:v>
      </x:c>
      <x:c r="L232" s="41" t="str">
        <x:v>历史V1.1</x:v>
      </x:c>
      <x:c r="M232" s="41" t="str">
        <x:v>片头单一克制提示音</x:v>
      </x:c>
      <x:c r="N232" s="41" t="str">
        <x:v>不形成配乐，不反复使用</x:v>
      </x:c>
      <x:c r="O232" s="41" t="str">
        <x:v>单次</x:v>
      </x:c>
      <x:c r="P232" s="41" t="str">
        <x:v>短促提示音</x:v>
      </x:c>
      <x:c r="Q232" s="41" t="str">
        <x:v>新闻演播室</x:v>
      </x:c>
      <x:c r="R232" s="41" t="str">
        <x:v>随片头视频生成或后期单点制作</x:v>
      </x:c>
      <x:c r="S232" s="41" t="str">
        <x:v>01</x:v>
      </x:c>
      <x:c r="T232" s="41" t="str">
        <x:v>剧本明确;项目锁定</x:v>
      </x:c>
      <x:c r="U232" s="41" t="str">
        <x:v>历史停用（V1.2不调用）</x:v>
      </x:c>
      <x:c r="V232" s="41" t="str">
        <x:v>V1.2无新闻包装提示音且全片无配乐</x:v>
      </x:c>
      <x:c r="W232" s="52" t="n">
        <x:f>IF(OR(D232="场景母图",D232="场景多视角"),0,1)</x:f>
        <x:v>1</x:v>
      </x:c>
      <x:c r="X232" s="52" t="n">
        <x:f>IF(LEFT(U232,2)="历史",0,1)</x:f>
        <x:v>0</x:v>
      </x:c>
    </x:row>
    <x:row r="233" ht="44" customHeight="1">
      <x:c r="A233" s="50" t="str">
        <x:v>声音资产</x:v>
      </x:c>
      <x:c r="B233" s="50" t="n">
        <x:v>25</x:v>
      </x:c>
      <x:c r="C233" s="50" t="n">
        <x:v>1</x:v>
      </x:c>
      <x:c r="D233" s="50" t="str">
        <x:v>同步声音约束</x:v>
      </x:c>
      <x:c r="E233" s="36" t="str">
        <x:v>再入舱内结构与通信衰减</x:v>
      </x:c>
      <x:c r="F233" s="36" t="str">
        <x:v>BY-SND-P1-004-再入结构与通信衰减</x:v>
      </x:c>
      <x:c r="G233" s="36" t="str"/>
      <x:c r="H233" s="50" t="str"/>
      <x:c r="I233" s="50" t="str">
        <x:v>SND</x:v>
      </x:c>
      <x:c r="J233" s="50" t="str">
        <x:v>P1</x:v>
      </x:c>
      <x:c r="K233" s="36" t="str">
        <x:v>V1.2逐镜映射见data/阶段1_114镜资产调用映射_V1.2.csv</x:v>
      </x:c>
      <x:c r="L233" s="36" t="str">
        <x:v>场15；镜102,103,104,105,106,108</x:v>
      </x:c>
      <x:c r="M233" s="36" t="str">
        <x:v>再入振动、结构传导、无线电衰减与黑障噪声的同步生成约束。</x:v>
      </x:c>
      <x:c r="N233" s="36" t="str">
        <x:v>不独立制作基础音频。</x:v>
      </x:c>
      <x:c r="O233" s="36" t="str">
        <x:v>第一次再入；黑障；恢复</x:v>
      </x:c>
      <x:c r="P233" s="36" t="str">
        <x:v>低频结构声、通信噪声</x:v>
      </x:c>
      <x:c r="Q233" s="36" t="str">
        <x:v>声音来自舱内与通信链路</x:v>
      </x:c>
      <x:c r="R233" s="36" t="str">
        <x:v>随镜头视频同步生成</x:v>
      </x:c>
      <x:c r="S233" s="36" t="str">
        <x:v>第15场</x:v>
      </x:c>
      <x:c r="T233" s="36" t="str">
        <x:v>V1.2剧本明确＋项目锁定＋公开工程资料边界</x:v>
      </x:c>
      <x:c r="U233" s="36" t="str">
        <x:v>已确认生产方向</x:v>
      </x:c>
      <x:c r="V233" s="36" t="str">
        <x:v>阶段2A重入后按生产包执行</x:v>
      </x:c>
      <x:c r="W233" s="50" t="n">
        <x:f>IF(OR(D233="场景母图",D233="场景多视角"),0,1)</x:f>
        <x:v>1</x:v>
      </x:c>
      <x:c r="X233" s="50" t="n">
        <x:f>IF(LEFT(U233,2)="历史",0,1)</x:f>
        <x:v>1</x:v>
      </x:c>
    </x:row>
    <x:row r="234" ht="44" customHeight="1">
      <x:c r="A234" s="50" t="str">
        <x:v>声音资产</x:v>
      </x:c>
      <x:c r="B234" s="50" t="n">
        <x:v>26</x:v>
      </x:c>
      <x:c r="C234" s="50" t="n">
        <x:v>1</x:v>
      </x:c>
      <x:c r="D234" s="50" t="str">
        <x:v>同步声音约束</x:v>
      </x:c>
      <x:c r="E234" s="36" t="str">
        <x:v>降落伞气动与着陆冲击</x:v>
      </x:c>
      <x:c r="F234" s="36" t="str">
        <x:v>BY-SND-P1-005-降落伞与着陆冲击</x:v>
      </x:c>
      <x:c r="G234" s="36" t="str"/>
      <x:c r="H234" s="50" t="str"/>
      <x:c r="I234" s="50" t="str">
        <x:v>SND</x:v>
      </x:c>
      <x:c r="J234" s="50" t="str">
        <x:v>P1</x:v>
      </x:c>
      <x:c r="K234" s="36" t="str">
        <x:v>V1.2逐镜映射见data/阶段1_114镜资产调用映射_V1.2.csv</x:v>
      </x:c>
      <x:c r="L234" s="36" t="str">
        <x:v>场15；镜108,109</x:v>
      </x:c>
      <x:c r="M234" s="36" t="str">
        <x:v>地球大气中的伞具气动、舱内冲击和地面接触声。</x:v>
      </x:c>
      <x:c r="N234" s="36" t="str">
        <x:v>不混入配乐。</x:v>
      </x:c>
      <x:c r="O234" s="36" t="str">
        <x:v>开伞；气囊触地；滚摆</x:v>
      </x:c>
      <x:c r="P234" s="36" t="str">
        <x:v>真实气动与结构声</x:v>
      </x:c>
      <x:c r="Q234" s="36" t="str">
        <x:v>仅地球大气／舱内可传播</x:v>
      </x:c>
      <x:c r="R234" s="36" t="str">
        <x:v>随镜头视频同步生成</x:v>
      </x:c>
      <x:c r="S234" s="36" t="str">
        <x:v>第15场</x:v>
      </x:c>
      <x:c r="T234" s="36" t="str">
        <x:v>V1.2剧本明确＋项目锁定＋公开工程资料边界</x:v>
      </x:c>
      <x:c r="U234" s="36" t="str">
        <x:v>已确认生产方向</x:v>
      </x:c>
      <x:c r="V234" s="36" t="str">
        <x:v>阶段2A重入后按生产包执行</x:v>
      </x:c>
      <x:c r="W234" s="50" t="n">
        <x:f>IF(OR(D234="场景母图",D234="场景多视角"),0,1)</x:f>
        <x:v>1</x:v>
      </x:c>
      <x:c r="X234" s="50" t="n">
        <x:f>IF(LEFT(U234,2)="历史",0,1)</x:f>
        <x:v>1</x:v>
      </x:c>
    </x:row>
    <x:row r="235" ht="44" customHeight="1">
      <x:c r="A235" s="50" t="str">
        <x:v>声音资产</x:v>
      </x:c>
      <x:c r="B235" s="50" t="n">
        <x:v>27</x:v>
      </x:c>
      <x:c r="C235" s="50" t="n">
        <x:v>1</x:v>
      </x:c>
      <x:c r="D235" s="50" t="str">
        <x:v>同步声音约束</x:v>
      </x:c>
      <x:c r="E235" s="36" t="str">
        <x:v>搜救现场风声、车辆设备与远距通信</x:v>
      </x:c>
      <x:c r="F235" s="36" t="str">
        <x:v>BY-SND-P1-006-搜救现场声</x:v>
      </x:c>
      <x:c r="G235" s="36" t="str"/>
      <x:c r="H235" s="50" t="str"/>
      <x:c r="I235" s="50" t="str">
        <x:v>SND</x:v>
      </x:c>
      <x:c r="J235" s="50" t="str">
        <x:v>P1</x:v>
      </x:c>
      <x:c r="K235" s="36" t="str">
        <x:v>V1.2逐镜映射见data/阶段1_114镜资产调用映射_V1.2.csv</x:v>
      </x:c>
      <x:c r="L235" s="36" t="str">
        <x:v>场16；镜110,111,112,113,114</x:v>
      </x:c>
      <x:c r="M235" s="36" t="str">
        <x:v>回收现场的地球环境声和任务通信。</x:v>
      </x:c>
      <x:c r="N235" s="36" t="str">
        <x:v>不做英雄式音乐。</x:v>
      </x:c>
      <x:c r="O235" s="36" t="str">
        <x:v>接近；安全检查；开舱；终景</x:v>
      </x:c>
      <x:c r="P235" s="36" t="str">
        <x:v>自然风、车辆、设备、远距无线电</x:v>
      </x:c>
      <x:c r="Q235" s="36" t="str">
        <x:v>地球大气环境</x:v>
      </x:c>
      <x:c r="R235" s="36" t="str">
        <x:v>随镜头视频同步生成</x:v>
      </x:c>
      <x:c r="S235" s="36" t="str">
        <x:v>第16场</x:v>
      </x:c>
      <x:c r="T235" s="36" t="str">
        <x:v>V1.2剧本明确＋项目锁定＋公开工程资料边界</x:v>
      </x:c>
      <x:c r="U235" s="36" t="str">
        <x:v>已确认生产方向</x:v>
      </x:c>
      <x:c r="V235" s="36" t="str">
        <x:v>阶段2A重入后按生产包执行</x:v>
      </x:c>
      <x:c r="W235" s="50" t="n">
        <x:f>IF(OR(D235="场景母图",D235="场景多视角"),0,1)</x:f>
        <x:v>1</x:v>
      </x:c>
      <x:c r="X235" s="50" t="n">
        <x:f>IF(LEFT(U235,2)="历史",0,1)</x:f>
        <x:v>1</x:v>
      </x:c>
    </x:row>
    <x:row r="236" ht="44" customHeight="1">
      <x:c r="A236" s="50" t="str">
        <x:v>声音资产</x:v>
      </x:c>
      <x:c r="B236" s="50" t="n">
        <x:v>28</x:v>
      </x:c>
      <x:c r="C236" s="50" t="n">
        <x:v>1</x:v>
      </x:c>
      <x:c r="D236" s="50" t="str">
        <x:v>同步声音约束</x:v>
      </x:c>
      <x:c r="E236" s="36" t="str">
        <x:v>月球车设备链路结构声</x:v>
      </x:c>
      <x:c r="F236" s="36" t="str">
        <x:v>BY-SND-P1-007-月球车设备链路结构声</x:v>
      </x:c>
      <x:c r="G236" s="36" t="str"/>
      <x:c r="H236" s="50" t="str"/>
      <x:c r="I236" s="50" t="str">
        <x:v>SND</x:v>
      </x:c>
      <x:c r="J236" s="50" t="str">
        <x:v>P1</x:v>
      </x:c>
      <x:c r="K236" s="36" t="str">
        <x:v>V1.2逐镜映射见data/阶段1_114镜资产调用映射_V1.2.csv</x:v>
      </x:c>
      <x:c r="L236" s="36" t="str">
        <x:v>场9；镜058,059,066,067</x:v>
      </x:c>
      <x:c r="M236" s="36" t="str">
        <x:v>经车载／通信设备传回的电机和结构振动。</x:v>
      </x:c>
      <x:c r="N236" s="36" t="str">
        <x:v>不是月面外部空气拾音。</x:v>
      </x:c>
      <x:c r="O236" s="36" t="str">
        <x:v>卸载；行驶；返程</x:v>
      </x:c>
      <x:c r="P236" s="36" t="str">
        <x:v>受限频带电机结构声</x:v>
      </x:c>
      <x:c r="Q236" s="36" t="str">
        <x:v>通信链路来源</x:v>
      </x:c>
      <x:c r="R236" s="36" t="str">
        <x:v>随镜头视频同步生成</x:v>
      </x:c>
      <x:c r="S236" s="36" t="str">
        <x:v>第9场</x:v>
      </x:c>
      <x:c r="T236" s="36" t="str">
        <x:v>V1.2剧本明确＋项目锁定＋公开工程资料边界</x:v>
      </x:c>
      <x:c r="U236" s="36" t="str">
        <x:v>已确认生产方向</x:v>
      </x:c>
      <x:c r="V236" s="36" t="str">
        <x:v>阶段2A重入后按生产包执行</x:v>
      </x:c>
      <x:c r="W236" s="50" t="n">
        <x:f>IF(OR(D236="场景母图",D236="场景多视角"),0,1)</x:f>
        <x:v>1</x:v>
      </x:c>
      <x:c r="X236" s="50" t="n">
        <x:f>IF(LEFT(U236,2)="历史",0,1)</x:f>
        <x:v>1</x:v>
      </x:c>
    </x:row>
    <x:row r="237" ht="44" customHeight="1">
      <x:c r="A237" s="50" t="str">
        <x:v>声音资产</x:v>
      </x:c>
      <x:c r="B237" s="50" t="n">
        <x:v>29</x:v>
      </x:c>
      <x:c r="C237" s="50" t="n">
        <x:v>1</x:v>
      </x:c>
      <x:c r="D237" s="50" t="str">
        <x:v>同步声音约束</x:v>
      </x:c>
      <x:c r="E237" s="36" t="str">
        <x:v>飞控与测控大厅设备底噪</x:v>
      </x:c>
      <x:c r="F237" s="36" t="str">
        <x:v>BY-SND-P1-008-飞控与测控大厅底噪</x:v>
      </x:c>
      <x:c r="G237" s="36" t="str"/>
      <x:c r="H237" s="50" t="str"/>
      <x:c r="I237" s="50" t="str">
        <x:v>SND</x:v>
      </x:c>
      <x:c r="J237" s="50" t="str">
        <x:v>P1</x:v>
      </x:c>
      <x:c r="K237" s="36" t="str">
        <x:v>V1.2逐镜映射见data/阶段1_114镜资产调用映射_V1.2.csv</x:v>
      </x:c>
      <x:c r="L237" s="36" t="str">
        <x:v>场2,4,5,6,8,10,11,12,14,15,16；镜006,012,022,028,031,035,041,053,072,077,083,088,097,104,107,113</x:v>
      </x:c>
      <x:c r="M237" s="36" t="str">
        <x:v>北京飞控、深空测控和搜救指挥空间中的克制设备与席位环境声。</x:v>
      </x:c>
      <x:c r="N237" s="36" t="str">
        <x:v>不形成节奏性音乐。</x:v>
      </x:c>
      <x:c r="O237" s="36" t="str">
        <x:v>常态任务；关键节点</x:v>
      </x:c>
      <x:c r="P237" s="36" t="str">
        <x:v>低强度空调、设备风扇、键控与远距席位声</x:v>
      </x:c>
      <x:c r="Q237" s="36" t="str">
        <x:v>地球室内环境</x:v>
      </x:c>
      <x:c r="R237" s="36" t="str">
        <x:v>随镜头视频同步生成</x:v>
      </x:c>
      <x:c r="S237" s="36" t="str">
        <x:v>地面系统场次</x:v>
      </x:c>
      <x:c r="T237" s="36" t="str">
        <x:v>V1.2剧本明确＋项目锁定＋公开工程资料边界</x:v>
      </x:c>
      <x:c r="U237" s="36" t="str">
        <x:v>已确认生产方向</x:v>
      </x:c>
      <x:c r="V237" s="36" t="str">
        <x:v>阶段2A重入后按生产包执行</x:v>
      </x:c>
      <x:c r="W237" s="50" t="n">
        <x:f>IF(OR(D237="场景母图",D237="场景多视角"),0,1)</x:f>
        <x:v>1</x:v>
      </x:c>
      <x:c r="X237" s="50" t="n">
        <x:f>IF(LEFT(U237,2)="历史",0,1)</x:f>
        <x:v>1</x:v>
      </x:c>
    </x:row>
    <x:row r="238" ht="44" customHeight="1">
      <x:c r="A238" s="50" t="str">
        <x:v>声音资产</x:v>
      </x:c>
      <x:c r="B238" s="50" t="n">
        <x:v>30</x:v>
      </x:c>
      <x:c r="C238" s="50" t="n">
        <x:v>1</x:v>
      </x:c>
      <x:c r="D238" s="50" t="str">
        <x:v>同步声音约束</x:v>
      </x:c>
      <x:c r="E238" s="36" t="str">
        <x:v>飞控媒体区直播现场声</x:v>
      </x:c>
      <x:c r="F238" s="36" t="str">
        <x:v>BY-SND-P1-009-媒体区直播现场声</x:v>
      </x:c>
      <x:c r="G238" s="36" t="str"/>
      <x:c r="H238" s="50" t="str"/>
      <x:c r="I238" s="50" t="str">
        <x:v>SND</x:v>
      </x:c>
      <x:c r="J238" s="50" t="str">
        <x:v>P1</x:v>
      </x:c>
      <x:c r="K238" s="36" t="str">
        <x:v>记者与专家镜头</x:v>
      </x:c>
      <x:c r="L238" s="36" t="str">
        <x:v>三段直播</x:v>
      </x:c>
      <x:c r="M238" s="36" t="str">
        <x:v>低声工作环境、轻空调底噪、现场掌声与人物近讲。</x:v>
      </x:c>
      <x:c r="N238" s="36" t="str">
        <x:v>关键任务动作期间不以媒体区声覆盖无线电。</x:v>
      </x:c>
      <x:c r="O238" s="36" t="str">
        <x:v>开场安静；采访；克制掌声；片尾收束</x:v>
      </x:c>
      <x:c r="P238" s="36" t="str">
        <x:v>真实室内空间声</x:v>
      </x:c>
      <x:c r="Q238" s="36" t="str">
        <x:v>飞控媒体区</x:v>
      </x:c>
      <x:c r="R238" s="36" t="str">
        <x:v>无配乐、无新闻提示音</x:v>
      </x:c>
      <x:c r="S238" s="36" t="str">
        <x:v>媒体区镜头</x:v>
      </x:c>
      <x:c r="T238" s="36" t="str">
        <x:v>V1.3.1正式分镜稿＋公开资料边界内艺术推演</x:v>
      </x:c>
      <x:c r="U238" s="36" t="str">
        <x:v>阶段1已确认生产方向</x:v>
      </x:c>
      <x:c r="V238" s="36" t="str">
        <x:v>阶段2B建立母资产并按镜头状态派生</x:v>
      </x:c>
      <x:c r="W238" s="50" t="n">
        <x:f>IF(OR(D238="场景母图",D238="场景多视角"),0,1)</x:f>
        <x:v>1</x:v>
      </x:c>
      <x:c r="X238" s="50" t="n">
        <x:f>IF(LEFT(U238,2)="历史",0,1)</x:f>
        <x:v>1</x:v>
      </x:c>
    </x:row>
  </x:sheetData>
  <x:mergeCells>
    <x:mergeCell ref="A1:X1"/>
    <x:mergeCell ref="A2:X2"/>
  </x:mergeCells>
  <x:conditionalFormatting sqref="J5:J238">
    <x:cfRule type="containsText" dxfId="0" priority="1" operator="containsText" text="P0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" hidden="0" customWidth="1"/>
    <x:col min="3" max="3" width="18" hidden="0" customWidth="1"/>
    <x:col min="4" max="4" width="30" hidden="0" customWidth="1"/>
    <x:col min="5" max="5" width="43" hidden="0" customWidth="1"/>
    <x:col min="6" max="6" width="43" hidden="0" customWidth="1"/>
    <x:col min="7" max="7" width="18" hidden="0" customWidth="1"/>
    <x:col min="8" max="8" width="12" hidden="0" customWidth="1"/>
    <x:col min="9" max="9" width="9" hidden="0" customWidth="1"/>
    <x:col min="10" max="10" width="28" hidden="0" customWidth="1"/>
    <x:col min="11" max="11" width="45" hidden="0" customWidth="1"/>
    <x:col min="12" max="12" width="38" hidden="0" customWidth="1"/>
    <x:col min="13" max="13" width="48" hidden="0" customWidth="1"/>
    <x:col min="14" max="14" width="26" hidden="0" customWidth="1"/>
    <x:col min="15" max="15" width="38" hidden="0" customWidth="1"/>
  </x:cols>
  <x:sheetData>
    <x:row r="1" ht="38" customHeight="1">
      <x:c r="A1" s="3" t="str">
        <x:v>《奔月》V1.3.1｜人物资产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人物母资产在前；每套服装、服装状态紧跟对应人物并以父资产ID关联。稳定音色单列于“声音资产”。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4" customHeight="1">
      <x:c r="A4" s="18" t="str">
        <x:v>分类序号</x:v>
      </x:c>
      <x:c r="B4" s="19" t="str">
        <x:v>层级</x:v>
      </x:c>
      <x:c r="C4" s="19" t="str">
        <x:v>登记项类型</x:v>
      </x:c>
      <x:c r="D4" s="19" t="str">
        <x:v>显示名称</x:v>
      </x:c>
      <x:c r="E4" s="19" t="str">
        <x:v>生产资产ID</x:v>
      </x:c>
      <x:c r="F4" s="19" t="str">
        <x:v>父资产ID</x:v>
      </x:c>
      <x:c r="G4" s="19" t="str">
        <x:v>视图代码</x:v>
      </x:c>
      <x:c r="H4" s="19" t="str">
        <x:v>资产类型</x:v>
      </x:c>
      <x:c r="I4" s="19" t="str">
        <x:v>资产级别</x:v>
      </x:c>
      <x:c r="J4" s="19" t="str">
        <x:v>关联场次或段落</x:v>
      </x:c>
      <x:c r="K4" s="19" t="str">
        <x:v>基础描述</x:v>
      </x:c>
      <x:c r="L4" s="19" t="str">
        <x:v>状态变体</x:v>
      </x:c>
      <x:c r="M4" s="19" t="str">
        <x:v>使用或生成需求</x:v>
      </x:c>
      <x:c r="N4" s="19" t="str">
        <x:v>确认状态</x:v>
      </x:c>
      <x:c r="O4" s="20" t="str">
        <x:v>阶段2处理建议</x:v>
      </x:c>
    </x:row>
    <x:row r="5" ht="46" customHeight="1">
      <x:c r="A5" s="50" t="n">
        <x:v>1</x:v>
      </x:c>
      <x:c r="B5" s="50" t="n">
        <x:v>1</x:v>
      </x:c>
      <x:c r="C5" s="50" t="str">
        <x:v>人物母资产</x:v>
      </x:c>
      <x:c r="D5" s="36" t="str">
        <x:v>杨凛</x:v>
      </x:c>
      <x:c r="E5" s="36" t="str">
        <x:v>BY-CHR-P0-001-杨凛</x:v>
      </x:c>
      <x:c r="F5" s="36" t="str"/>
      <x:c r="G5" s="50" t="str"/>
      <x:c r="H5" s="50" t="str">
        <x:v>CHR</x:v>
      </x:c>
      <x:c r="I5" s="50" t="str">
        <x:v>P0</x:v>
      </x:c>
      <x:c r="J5" s="36" t="str">
        <x:v>场1,2,3,4,5,6,7,8,9,10,12,13,16；镜005,009,015,016,023,029,032,036,040,043,044,046,047,048,049,051,052,054,057,059,060,064,066,067,069,070,071,073,082,086,090,094,112</x:v>
      </x:c>
      <x:c r="K5" s="36" t="str">
        <x:v>乘组指令长，首次出舱与月面任务核心人物</x:v>
      </x:c>
      <x:c r="L5" s="36" t="str">
        <x:v>舱内飞行;望宇登月服;月尘状态</x:v>
      </x:c>
      <x:c r="M5" s="36" t="str">
        <x:v>剧照验证图、基础多视图、服装继承</x:v>
      </x:c>
      <x:c r="N5" s="36" t="str">
        <x:v>已确认</x:v>
      </x:c>
      <x:c r="O5" s="36" t="str">
        <x:v>阶段2A首批人物测试</x:v>
      </x:c>
    </x:row>
    <x:row r="6" ht="40" customHeight="1">
      <x:c r="A6" s="51" t="n">
        <x:v>2</x:v>
      </x:c>
      <x:c r="B6" s="51" t="n">
        <x:v>2</x:v>
      </x:c>
      <x:c r="C6" s="51" t="str">
        <x:v>服装子资产</x:v>
      </x:c>
      <x:c r="D6" s="37" t="str">
        <x:v>↳ 杨凛舱内飞行服</x:v>
      </x:c>
      <x:c r="E6" s="37" t="str">
        <x:v>BY-CST-P0-001-杨凛舱内飞行服</x:v>
      </x:c>
      <x:c r="F6" s="37" t="str">
        <x:v>BY-CHR-P0-001-杨凛</x:v>
      </x:c>
      <x:c r="G6" s="51" t="str"/>
      <x:c r="H6" s="51" t="str">
        <x:v>CST</x:v>
      </x:c>
      <x:c r="I6" s="51" t="str">
        <x:v>P0</x:v>
      </x:c>
      <x:c r="J6" s="37" t="str">
        <x:v>场1,2,3,4,5,6,7,12,13,16；镜005,009,015,016,023,029,032,036,040,043,082,086,090,094,112</x:v>
      </x:c>
      <x:c r="K6" s="37" t="str">
        <x:v>未来中国载人舱内飞行服</x:v>
      </x:c>
      <x:c r="L6" s="37" t="str">
        <x:v>头盔开启;头盔关闭;座椅约束</x:v>
      </x:c>
      <x:c r="M6" s="37" t="str">
        <x:v>人物服装基础资产</x:v>
      </x:c>
      <x:c r="N6" s="37" t="str">
        <x:v>已确认</x:v>
      </x:c>
      <x:c r="O6" s="37" t="str">
        <x:v>随杨凛基础人物制作</x:v>
      </x:c>
    </x:row>
    <x:row r="7" ht="40" customHeight="1">
      <x:c r="A7" s="51" t="n">
        <x:v>3</x:v>
      </x:c>
      <x:c r="B7" s="51" t="n">
        <x:v>2</x:v>
      </x:c>
      <x:c r="C7" s="51" t="str">
        <x:v>服装子资产</x:v>
      </x:c>
      <x:c r="D7" s="37" t="str">
        <x:v>↳ 杨凛望宇登月服</x:v>
      </x:c>
      <x:c r="E7" s="37" t="str">
        <x:v>BY-CST-P0-004-杨凛望宇登月服</x:v>
      </x:c>
      <x:c r="F7" s="37" t="str">
        <x:v>BY-CHR-P0-001-杨凛</x:v>
      </x:c>
      <x:c r="G7" s="51" t="str"/>
      <x:c r="H7" s="51" t="str">
        <x:v>CST</x:v>
      </x:c>
      <x:c r="I7" s="51" t="str">
        <x:v>P0</x:v>
      </x:c>
      <x:c r="J7" s="37" t="str">
        <x:v>场7,8,9,10；镜044,046,047,048,049,051,052,054,057,059,060,064,066,067,069,070,071,073</x:v>
      </x:c>
      <x:c r="K7" s="37" t="str">
        <x:v>杨凛月面活动登月服</x:v>
      </x:c>
      <x:c r="L7" s="37" t="str">
        <x:v>清洁基础;轻度月尘</x:v>
      </x:c>
      <x:c r="M7" s="37" t="str">
        <x:v>基础多视图、动作关节与舷梯尺度测试</x:v>
      </x:c>
      <x:c r="N7" s="37" t="str">
        <x:v>已确认</x:v>
      </x:c>
      <x:c r="O7" s="37" t="str">
        <x:v>月面人物状态包</x:v>
      </x:c>
    </x:row>
    <x:row r="8" ht="40" customHeight="1">
      <x:c r="A8" s="51" t="n">
        <x:v>4</x:v>
      </x:c>
      <x:c r="B8" s="51" t="n">
        <x:v>2</x:v>
      </x:c>
      <x:c r="C8" s="51" t="str">
        <x:v>服装子资产</x:v>
      </x:c>
      <x:c r="D8" s="37" t="str">
        <x:v>↳ 杨凛登月服轻度月尘状态</x:v>
      </x:c>
      <x:c r="E8" s="37" t="str">
        <x:v>BY-CST-P1-001-杨凛登月服轻度月尘状态</x:v>
      </x:c>
      <x:c r="F8" s="37" t="str">
        <x:v>BY-CHR-P0-001-杨凛</x:v>
      </x:c>
      <x:c r="G8" s="51" t="str"/>
      <x:c r="H8" s="51" t="str">
        <x:v>CST</x:v>
      </x:c>
      <x:c r="I8" s="51" t="str">
        <x:v>P1</x:v>
      </x:c>
      <x:c r="J8" s="37" t="str">
        <x:v>场13；镜090,091,094</x:v>
      </x:c>
      <x:c r="K8" s="37" t="str">
        <x:v>EVA后真实月尘附着</x:v>
      </x:c>
      <x:c r="L8" s="37" t="str">
        <x:v>轻度月尘</x:v>
      </x:c>
      <x:c r="M8" s="37" t="str">
        <x:v>基于确认登月服制作状态变体</x:v>
      </x:c>
      <x:c r="N8" s="37" t="str">
        <x:v>已确认采用</x:v>
      </x:c>
      <x:c r="O8" s="37" t="str">
        <x:v>基础登月服确认后制作</x:v>
      </x:c>
    </x:row>
    <x:row r="9" ht="46" customHeight="1">
      <x:c r="A9" s="50" t="n">
        <x:v>5</x:v>
      </x:c>
      <x:c r="B9" s="50" t="n">
        <x:v>1</x:v>
      </x:c>
      <x:c r="C9" s="50" t="str">
        <x:v>人物母资产</x:v>
      </x:c>
      <x:c r="D9" s="36" t="str">
        <x:v>陈砚</x:v>
      </x:c>
      <x:c r="E9" s="36" t="str">
        <x:v>BY-CHR-P0-002-陈砚</x:v>
      </x:c>
      <x:c r="F9" s="36" t="str"/>
      <x:c r="G9" s="50" t="str"/>
      <x:c r="H9" s="50" t="str">
        <x:v>CHR</x:v>
      </x:c>
      <x:c r="I9" s="50" t="str">
        <x:v>P0</x:v>
      </x:c>
      <x:c r="J9" s="36" t="str">
        <x:v>场1,2,3,4,5,6,7,8,9,10,12,13；镜005,009,014,015,016,023,029,036,040,043,044,046,048,052,054,057,059,060,062,064,066,067,068,069,070,071,073,082,090</x:v>
      </x:c>
      <x:c r="K9" s="36" t="str">
        <x:v>月面任务工程师，负责装备、采样与科学任务</x:v>
      </x:c>
      <x:c r="L9" s="36" t="str">
        <x:v>舱内飞行;望宇登月服;月尘状态</x:v>
      </x:c>
      <x:c r="M9" s="36" t="str">
        <x:v>剧照验证图、基础多视图、服装继承</x:v>
      </x:c>
      <x:c r="N9" s="36" t="str">
        <x:v>已确认</x:v>
      </x:c>
      <x:c r="O9" s="36" t="str">
        <x:v>阶段2A／2B首批</x:v>
      </x:c>
    </x:row>
    <x:row r="10" ht="40" customHeight="1">
      <x:c r="A10" s="51" t="n">
        <x:v>6</x:v>
      </x:c>
      <x:c r="B10" s="51" t="n">
        <x:v>2</x:v>
      </x:c>
      <x:c r="C10" s="51" t="str">
        <x:v>服装子资产</x:v>
      </x:c>
      <x:c r="D10" s="37" t="str">
        <x:v>↳ 陈砚舱内飞行服</x:v>
      </x:c>
      <x:c r="E10" s="37" t="str">
        <x:v>BY-CST-P0-002-陈砚舱内飞行服</x:v>
      </x:c>
      <x:c r="F10" s="37" t="str">
        <x:v>BY-CHR-P0-002-陈砚</x:v>
      </x:c>
      <x:c r="G10" s="51" t="str"/>
      <x:c r="H10" s="51" t="str">
        <x:v>CST</x:v>
      </x:c>
      <x:c r="I10" s="51" t="str">
        <x:v>P0</x:v>
      </x:c>
      <x:c r="J10" s="37" t="str">
        <x:v>场1,2,3,4,5,6,7,12,13；镜005,009,014,015,016,023,029,036,040,043,082,090</x:v>
      </x:c>
      <x:c r="K10" s="37" t="str">
        <x:v>与杨凛同体系的舱内飞行服</x:v>
      </x:c>
      <x:c r="L10" s="37" t="str">
        <x:v>头盔开启;头盔关闭;座椅约束</x:v>
      </x:c>
      <x:c r="M10" s="37" t="str">
        <x:v>人物服装基础资产</x:v>
      </x:c>
      <x:c r="N10" s="37" t="str">
        <x:v>已确认</x:v>
      </x:c>
      <x:c r="O10" s="37" t="str">
        <x:v>随陈砚基础人物制作</x:v>
      </x:c>
    </x:row>
    <x:row r="11" ht="40" customHeight="1">
      <x:c r="A11" s="51" t="n">
        <x:v>7</x:v>
      </x:c>
      <x:c r="B11" s="51" t="n">
        <x:v>2</x:v>
      </x:c>
      <x:c r="C11" s="51" t="str">
        <x:v>服装子资产</x:v>
      </x:c>
      <x:c r="D11" s="37" t="str">
        <x:v>↳ 陈砚望宇登月服</x:v>
      </x:c>
      <x:c r="E11" s="37" t="str">
        <x:v>BY-CST-P0-005-陈砚望宇登月服</x:v>
      </x:c>
      <x:c r="F11" s="37" t="str">
        <x:v>BY-CHR-P0-002-陈砚</x:v>
      </x:c>
      <x:c r="G11" s="51" t="str"/>
      <x:c r="H11" s="51" t="str">
        <x:v>CST</x:v>
      </x:c>
      <x:c r="I11" s="51" t="str">
        <x:v>P0</x:v>
      </x:c>
      <x:c r="J11" s="37" t="str">
        <x:v>场7,8,9,10；镜044,046,048,052,054,057,059,060,062,064,066,067,068,069,070,071,073</x:v>
      </x:c>
      <x:c r="K11" s="37" t="str">
        <x:v>陈砚月面活动登月服</x:v>
      </x:c>
      <x:c r="L11" s="37" t="str">
        <x:v>清洁基础;轻度月尘</x:v>
      </x:c>
      <x:c r="M11" s="37" t="str">
        <x:v>基础多视图、工具操作与月球车乘坐测试</x:v>
      </x:c>
      <x:c r="N11" s="37" t="str">
        <x:v>已确认</x:v>
      </x:c>
      <x:c r="O11" s="37" t="str">
        <x:v>月面人物状态包</x:v>
      </x:c>
    </x:row>
    <x:row r="12" ht="40" customHeight="1">
      <x:c r="A12" s="51" t="n">
        <x:v>8</x:v>
      </x:c>
      <x:c r="B12" s="51" t="n">
        <x:v>2</x:v>
      </x:c>
      <x:c r="C12" s="51" t="str">
        <x:v>服装子资产</x:v>
      </x:c>
      <x:c r="D12" s="37" t="str">
        <x:v>↳ 陈砚登月服轻度月尘状态</x:v>
      </x:c>
      <x:c r="E12" s="37" t="str">
        <x:v>BY-CST-P1-002-陈砚登月服轻度月尘状态</x:v>
      </x:c>
      <x:c r="F12" s="37" t="str">
        <x:v>BY-CHR-P0-002-陈砚</x:v>
      </x:c>
      <x:c r="G12" s="51" t="str"/>
      <x:c r="H12" s="51" t="str">
        <x:v>CST</x:v>
      </x:c>
      <x:c r="I12" s="51" t="str">
        <x:v>P1</x:v>
      </x:c>
      <x:c r="J12" s="37" t="str">
        <x:v>场13；镜090,091,094</x:v>
      </x:c>
      <x:c r="K12" s="37" t="str">
        <x:v>EVA后月尘附着，工具接触区更明显</x:v>
      </x:c>
      <x:c r="L12" s="37" t="str">
        <x:v>轻度月尘</x:v>
      </x:c>
      <x:c r="M12" s="37" t="str">
        <x:v>基于确认登月服制作状态变体</x:v>
      </x:c>
      <x:c r="N12" s="37" t="str">
        <x:v>已确认采用</x:v>
      </x:c>
      <x:c r="O12" s="37" t="str">
        <x:v>基础登月服确认后制作</x:v>
      </x:c>
    </x:row>
    <x:row r="13" ht="46" customHeight="1">
      <x:c r="A13" s="50" t="n">
        <x:v>9</x:v>
      </x:c>
      <x:c r="B13" s="50" t="n">
        <x:v>1</x:v>
      </x:c>
      <x:c r="C13" s="50" t="str">
        <x:v>人物母资产</x:v>
      </x:c>
      <x:c r="D13" s="36" t="str">
        <x:v>刘定槎</x:v>
      </x:c>
      <x:c r="E13" s="36" t="str">
        <x:v>BY-CHR-P0-003-刘定槎</x:v>
      </x:c>
      <x:c r="F13" s="36" t="str"/>
      <x:c r="G13" s="50" t="str"/>
      <x:c r="H13" s="50" t="str">
        <x:v>CHR</x:v>
      </x:c>
      <x:c r="I13" s="50" t="str">
        <x:v>P0</x:v>
      </x:c>
      <x:c r="J13" s="36" t="str">
        <x:v>场1,2,3,9,11,12,13,14,15；镜004,007,013,015,016,018,063,079,081,086,090,094,100,101,103,106</x:v>
      </x:c>
      <x:c r="K13" s="36" t="str">
        <x:v>梦舟飞行工程师，留轨与返程视觉锚点</x:v>
      </x:c>
      <x:c r="L13" s="36" t="str">
        <x:v>发射;独处巡航;对接;返程</x:v>
      </x:c>
      <x:c r="M13" s="36" t="str">
        <x:v>剧照验证图、基础多视图、空座椅关系图</x:v>
      </x:c>
      <x:c r="N13" s="36" t="str">
        <x:v>已确认</x:v>
      </x:c>
      <x:c r="O13" s="36" t="str">
        <x:v>阶段2A／2B首批</x:v>
      </x:c>
    </x:row>
    <x:row r="14" ht="40" customHeight="1">
      <x:c r="A14" s="51" t="n">
        <x:v>10</x:v>
      </x:c>
      <x:c r="B14" s="51" t="n">
        <x:v>2</x:v>
      </x:c>
      <x:c r="C14" s="51" t="str">
        <x:v>服装子资产</x:v>
      </x:c>
      <x:c r="D14" s="37" t="str">
        <x:v>↳ 刘定槎舱内飞行服</x:v>
      </x:c>
      <x:c r="E14" s="37" t="str">
        <x:v>BY-CST-P0-003-刘定槎舱内飞行服</x:v>
      </x:c>
      <x:c r="F14" s="37" t="str">
        <x:v>BY-CHR-P0-003-刘定槎</x:v>
      </x:c>
      <x:c r="G14" s="51" t="str"/>
      <x:c r="H14" s="51" t="str">
        <x:v>CST</x:v>
      </x:c>
      <x:c r="I14" s="51" t="str">
        <x:v>P0</x:v>
      </x:c>
      <x:c r="J14" s="37" t="str">
        <x:v>场1,2,3,9,11,12,13,14,15；镜004,007,013,015,016,018,063,079,081,086,090,094,100,101,103,106</x:v>
      </x:c>
      <x:c r="K14" s="37" t="str">
        <x:v>梦舟舱内飞行服</x:v>
      </x:c>
      <x:c r="L14" s="37" t="str">
        <x:v>发射;巡航;对接;返程</x:v>
      </x:c>
      <x:c r="M14" s="37" t="str">
        <x:v>人物服装基础资产</x:v>
      </x:c>
      <x:c r="N14" s="37" t="str">
        <x:v>已确认</x:v>
      </x:c>
      <x:c r="O14" s="37" t="str">
        <x:v>随刘定槎基础人物制作</x:v>
      </x:c>
    </x:row>
    <x:row r="15" ht="46" customHeight="1">
      <x:c r="A15" s="52" t="n">
        <x:v>11</x:v>
      </x:c>
      <x:c r="B15" s="52" t="n">
        <x:v>1</x:v>
      </x:c>
      <x:c r="C15" s="52" t="str">
        <x:v>人物母资产</x:v>
      </x:c>
      <x:c r="D15" s="41" t="str">
        <x:v>周明远</x:v>
      </x:c>
      <x:c r="E15" s="41" t="str">
        <x:v>BY-CHR-P1-001-周明远</x:v>
      </x:c>
      <x:c r="F15" s="41" t="str"/>
      <x:c r="G15" s="52" t="str"/>
      <x:c r="H15" s="52" t="str">
        <x:v>CHR</x:v>
      </x:c>
      <x:c r="I15" s="52" t="str">
        <x:v>P1</x:v>
      </x:c>
      <x:c r="J15" s="41" t="str">
        <x:v>历史V1.1</x:v>
      </x:c>
      <x:c r="K15" s="41" t="str">
        <x:v>未来特别报道新闻主播</x:v>
      </x:c>
      <x:c r="L15" s="41" t="str">
        <x:v>主播台;双人专家位</x:v>
      </x:c>
      <x:c r="M15" s="41" t="str">
        <x:v>剧照验证图、半身与全身</x:v>
      </x:c>
      <x:c r="N15" s="41" t="str">
        <x:v>历史停用（V1.2不调用）</x:v>
      </x:c>
      <x:c r="O15" s="41" t="str">
        <x:v>V1.2不出场</x:v>
      </x:c>
    </x:row>
    <x:row r="16" ht="40" customHeight="1">
      <x:c r="A16" s="53" t="n">
        <x:v>12</x:v>
      </x:c>
      <x:c r="B16" s="53" t="n">
        <x:v>2</x:v>
      </x:c>
      <x:c r="C16" s="53" t="str">
        <x:v>服装子资产</x:v>
      </x:c>
      <x:c r="D16" s="43" t="str">
        <x:v>↳ 周明远主播服装</x:v>
      </x:c>
      <x:c r="E16" s="43" t="str">
        <x:v>BY-CST-P1-003-周明远主播服装</x:v>
      </x:c>
      <x:c r="F16" s="43" t="str">
        <x:v>BY-CHR-P1-001-周明远</x:v>
      </x:c>
      <x:c r="G16" s="53" t="str"/>
      <x:c r="H16" s="53" t="str">
        <x:v>CST</x:v>
      </x:c>
      <x:c r="I16" s="53" t="str">
        <x:v>P1</x:v>
      </x:c>
      <x:c r="J16" s="43" t="str">
        <x:v>历史V1.1</x:v>
      </x:c>
      <x:c r="K16" s="43" t="str">
        <x:v>未来但克制的正式主播服装</x:v>
      </x:c>
      <x:c r="L16" s="43" t="str">
        <x:v>基础</x:v>
      </x:c>
      <x:c r="M16" s="43" t="str">
        <x:v>人物定妆服装</x:v>
      </x:c>
      <x:c r="N16" s="43" t="str">
        <x:v>历史停用（V1.2不调用）</x:v>
      </x:c>
      <x:c r="O16" s="43" t="str">
        <x:v>随角色停用</x:v>
      </x:c>
    </x:row>
    <x:row r="17" ht="46" customHeight="1">
      <x:c r="A17" s="50" t="n">
        <x:v>13</x:v>
      </x:c>
      <x:c r="B17" s="50" t="n">
        <x:v>1</x:v>
      </x:c>
      <x:c r="C17" s="50" t="str">
        <x:v>人物母资产</x:v>
      </x:c>
      <x:c r="D17" s="36" t="str">
        <x:v>林知夏</x:v>
      </x:c>
      <x:c r="E17" s="36" t="str">
        <x:v>BY-CHR-P1-002-林知夏</x:v>
      </x:c>
      <x:c r="F17" s="36" t="str"/>
      <x:c r="G17" s="50" t="str"/>
      <x:c r="H17" s="50" t="str">
        <x:v>CHR</x:v>
      </x:c>
      <x:c r="I17" s="50" t="str">
        <x:v>P1</x:v>
      </x:c>
      <x:c r="J17" s="36" t="str">
        <x:v>场8；镜056</x:v>
      </x:c>
      <x:c r="K17" s="36" t="str">
        <x:v>飞控中心特派记者</x:v>
      </x:c>
      <x:c r="L17" s="36" t="str">
        <x:v>记者直播</x:v>
      </x:c>
      <x:c r="M17" s="36" t="str">
        <x:v>剧照验证图、半身与全身</x:v>
      </x:c>
      <x:c r="N17" s="36" t="str">
        <x:v>已确认</x:v>
      </x:c>
      <x:c r="O17" s="36" t="str">
        <x:v>新闻支持资产包</x:v>
      </x:c>
    </x:row>
    <x:row r="18" ht="40" customHeight="1">
      <x:c r="A18" s="51" t="n">
        <x:v>14</x:v>
      </x:c>
      <x:c r="B18" s="51" t="n">
        <x:v>2</x:v>
      </x:c>
      <x:c r="C18" s="51" t="str">
        <x:v>服装子资产</x:v>
      </x:c>
      <x:c r="D18" s="37" t="str">
        <x:v>↳ 林知夏记者服装</x:v>
      </x:c>
      <x:c r="E18" s="37" t="str">
        <x:v>BY-CST-P1-004-林知夏记者服装</x:v>
      </x:c>
      <x:c r="F18" s="37" t="str">
        <x:v>BY-CHR-P1-002-林知夏</x:v>
      </x:c>
      <x:c r="G18" s="51" t="str"/>
      <x:c r="H18" s="51" t="str">
        <x:v>CST</x:v>
      </x:c>
      <x:c r="I18" s="51" t="str">
        <x:v>P1</x:v>
      </x:c>
      <x:c r="J18" s="37" t="str">
        <x:v>场8；镜056</x:v>
      </x:c>
      <x:c r="K18" s="37" t="str">
        <x:v>正式且适合媒体区工作的记者服装</x:v>
      </x:c>
      <x:c r="L18" s="37" t="str">
        <x:v>基础</x:v>
      </x:c>
      <x:c r="M18" s="37" t="str">
        <x:v>人物定妆服装</x:v>
      </x:c>
      <x:c r="N18" s="37" t="str">
        <x:v>已确认</x:v>
      </x:c>
      <x:c r="O18" s="37" t="str">
        <x:v>阶段2A定色后制作</x:v>
      </x:c>
    </x:row>
    <x:row r="19" ht="46" customHeight="1">
      <x:c r="A19" s="52" t="n">
        <x:v>15</x:v>
      </x:c>
      <x:c r="B19" s="52" t="n">
        <x:v>1</x:v>
      </x:c>
      <x:c r="C19" s="52" t="str">
        <x:v>人物母资产</x:v>
      </x:c>
      <x:c r="D19" s="41" t="str">
        <x:v>孙屹川</x:v>
      </x:c>
      <x:c r="E19" s="41" t="str">
        <x:v>BY-CHR-P1-003-孙屹川</x:v>
      </x:c>
      <x:c r="F19" s="41" t="str"/>
      <x:c r="G19" s="52" t="str"/>
      <x:c r="H19" s="52" t="str">
        <x:v>CHR</x:v>
      </x:c>
      <x:c r="I19" s="52" t="str">
        <x:v>P1</x:v>
      </x:c>
      <x:c r="J19" s="41" t="str">
        <x:v>历史V1.1</x:v>
      </x:c>
      <x:c r="K19" s="41" t="str">
        <x:v>着陆器系统专家</x:v>
      </x:c>
      <x:c r="L19" s="41" t="str">
        <x:v>专家访谈</x:v>
      </x:c>
      <x:c r="M19" s="41" t="str">
        <x:v>剧照验证图、半身与全身</x:v>
      </x:c>
      <x:c r="N19" s="41" t="str">
        <x:v>历史停用（V1.2不调用）</x:v>
      </x:c>
      <x:c r="O19" s="41" t="str">
        <x:v>V1.2不出场</x:v>
      </x:c>
    </x:row>
    <x:row r="20" ht="40" customHeight="1">
      <x:c r="A20" s="53" t="n">
        <x:v>16</x:v>
      </x:c>
      <x:c r="B20" s="53" t="n">
        <x:v>2</x:v>
      </x:c>
      <x:c r="C20" s="53" t="str">
        <x:v>服装子资产</x:v>
      </x:c>
      <x:c r="D20" s="43" t="str">
        <x:v>↳ 孙屹川专家服装</x:v>
      </x:c>
      <x:c r="E20" s="43" t="str">
        <x:v>BY-CST-P1-005-孙屹川专家服装</x:v>
      </x:c>
      <x:c r="F20" s="43" t="str">
        <x:v>BY-CHR-P1-003-孙屹川</x:v>
      </x:c>
      <x:c r="G20" s="53" t="str"/>
      <x:c r="H20" s="53" t="str">
        <x:v>CST</x:v>
      </x:c>
      <x:c r="I20" s="53" t="str">
        <x:v>P1</x:v>
      </x:c>
      <x:c r="J20" s="43" t="str">
        <x:v>历史V1.1</x:v>
      </x:c>
      <x:c r="K20" s="43" t="str">
        <x:v>工程专家正式着装</x:v>
      </x:c>
      <x:c r="L20" s="43" t="str">
        <x:v>基础</x:v>
      </x:c>
      <x:c r="M20" s="43" t="str">
        <x:v>人物定妆服装</x:v>
      </x:c>
      <x:c r="N20" s="43" t="str">
        <x:v>历史停用（V1.2不调用）</x:v>
      </x:c>
      <x:c r="O20" s="43" t="str">
        <x:v>随角色停用</x:v>
      </x:c>
    </x:row>
    <x:row r="21" ht="46" customHeight="1">
      <x:c r="A21" s="50" t="n">
        <x:v>17</x:v>
      </x:c>
      <x:c r="B21" s="50" t="n">
        <x:v>1</x:v>
      </x:c>
      <x:c r="C21" s="50" t="str">
        <x:v>人物母资产</x:v>
      </x:c>
      <x:c r="D21" s="36" t="str">
        <x:v>何文澜</x:v>
      </x:c>
      <x:c r="E21" s="36" t="str">
        <x:v>BY-CHR-P1-004-何文澜</x:v>
      </x:c>
      <x:c r="F21" s="36" t="str"/>
      <x:c r="G21" s="50" t="str"/>
      <x:c r="H21" s="50" t="str">
        <x:v>CHR</x:v>
      </x:c>
      <x:c r="I21" s="50" t="str">
        <x:v>P1</x:v>
      </x:c>
      <x:c r="J21" s="36" t="str">
        <x:v>第3、7、11、15场</x:v>
      </x:c>
      <x:c r="K21" s="36" t="str">
        <x:v>载人航天与航天医学方向专家。</x:v>
      </x:c>
      <x:c r="L21" s="36" t="str">
        <x:v>媒体区出镜；专家画外</x:v>
      </x:c>
      <x:c r="M21" s="36" t="str">
        <x:v>建立正面、三分之四与双人采访构图</x:v>
      </x:c>
      <x:c r="N21" s="36" t="str">
        <x:v>阶段1已确认生产方向</x:v>
      </x:c>
      <x:c r="O21" s="36" t="str">
        <x:v>阶段2B建立母资产并按镜头状态派生</x:v>
      </x:c>
    </x:row>
    <x:row r="22" ht="40" customHeight="1">
      <x:c r="A22" s="51" t="n">
        <x:v>18</x:v>
      </x:c>
      <x:c r="B22" s="51" t="n">
        <x:v>2</x:v>
      </x:c>
      <x:c r="C22" s="51" t="str">
        <x:v>服装子资产</x:v>
      </x:c>
      <x:c r="D22" s="37" t="str">
        <x:v>↳ 何文澜专家服装</x:v>
      </x:c>
      <x:c r="E22" s="37" t="str">
        <x:v>BY-CST-P1-006-何文澜专家服装</x:v>
      </x:c>
      <x:c r="F22" s="37" t="str">
        <x:v>BY-CHR-P1-004-何文澜</x:v>
      </x:c>
      <x:c r="G22" s="51" t="str"/>
      <x:c r="H22" s="51" t="str">
        <x:v>CST</x:v>
      </x:c>
      <x:c r="I22" s="51" t="str">
        <x:v>P1</x:v>
      </x:c>
      <x:c r="J22" s="37" t="str">
        <x:v>第3、7、15场</x:v>
      </x:c>
      <x:c r="K22" s="37" t="str">
        <x:v>深色或中性低饱和职业正装。</x:v>
      </x:c>
      <x:c r="L22" s="37" t="str">
        <x:v>站立采访；医学画外无画面</x:v>
      </x:c>
      <x:c r="M22" s="37" t="str">
        <x:v>与何文澜人物资产绑定</x:v>
      </x:c>
      <x:c r="N22" s="37" t="str">
        <x:v>阶段1已确认生产方向</x:v>
      </x:c>
      <x:c r="O22" s="37" t="str">
        <x:v>阶段2B建立母资产并按镜头状态派生</x:v>
      </x:c>
    </x:row>
    <x:row r="23" ht="46" customHeight="1">
      <x:c r="A23" s="50" t="n">
        <x:v>19</x:v>
      </x:c>
      <x:c r="B23" s="50" t="n">
        <x:v>1</x:v>
      </x:c>
      <x:c r="C23" s="50" t="str">
        <x:v>人物母资产</x:v>
      </x:c>
      <x:c r="D23" s="36" t="str">
        <x:v>孙亦川</x:v>
      </x:c>
      <x:c r="E23" s="36" t="str">
        <x:v>BY-CHR-P1-005-孙亦川</x:v>
      </x:c>
      <x:c r="F23" s="36" t="str"/>
      <x:c r="G23" s="50" t="str"/>
      <x:c r="H23" s="50" t="str">
        <x:v>CHR</x:v>
      </x:c>
      <x:c r="I23" s="50" t="str">
        <x:v>P1</x:v>
      </x:c>
      <x:c r="J23" s="36" t="str">
        <x:v>第6、12—14场</x:v>
      </x:c>
      <x:c r="K23" s="36" t="str">
        <x:v>轨道动力学与返回再入方向专家。</x:v>
      </x:c>
      <x:c r="L23" s="36" t="str">
        <x:v>媒体区出镜；轨迹图前出镜；专家画外</x:v>
      </x:c>
      <x:c r="M23" s="36" t="str">
        <x:v>与历史停用角色“孙屹川”严格区分，不复用旧脸与旧音色</x:v>
      </x:c>
      <x:c r="N23" s="36" t="str">
        <x:v>阶段1已确认生产方向</x:v>
      </x:c>
      <x:c r="O23" s="36" t="str">
        <x:v>阶段2B建立母资产并按镜头状态派生</x:v>
      </x:c>
    </x:row>
    <x:row r="24" ht="40" customHeight="1">
      <x:c r="A24" s="51" t="n">
        <x:v>20</x:v>
      </x:c>
      <x:c r="B24" s="51" t="n">
        <x:v>2</x:v>
      </x:c>
      <x:c r="C24" s="51" t="str">
        <x:v>服装子资产</x:v>
      </x:c>
      <x:c r="D24" s="37" t="str">
        <x:v>↳ 孙亦川专家服装</x:v>
      </x:c>
      <x:c r="E24" s="37" t="str">
        <x:v>BY-CST-P1-007-孙亦川专家服装</x:v>
      </x:c>
      <x:c r="F24" s="37" t="str">
        <x:v>BY-CHR-P1-005-孙亦川</x:v>
      </x:c>
      <x:c r="G24" s="51" t="str"/>
      <x:c r="H24" s="51" t="str">
        <x:v>CST</x:v>
      </x:c>
      <x:c r="I24" s="51" t="str">
        <x:v>P1</x:v>
      </x:c>
      <x:c r="J24" s="37" t="str">
        <x:v>第6、12—13场</x:v>
      </x:c>
      <x:c r="K24" s="37" t="str">
        <x:v>低饱和职业正装。</x:v>
      </x:c>
      <x:c r="L24" s="37" t="str">
        <x:v>下降讲解；返回讲解；再入讲解</x:v>
      </x:c>
      <x:c r="M24" s="37" t="str">
        <x:v>与孙亦川人物资产绑定</x:v>
      </x:c>
      <x:c r="N24" s="37" t="str">
        <x:v>阶段1已确认生产方向</x:v>
      </x:c>
      <x:c r="O24" s="37" t="str">
        <x:v>阶段2B建立母资产并按镜头状态派生</x:v>
      </x:c>
    </x:row>
    <x:row r="25" ht="46" customHeight="1">
      <x:c r="A25" s="50" t="n">
        <x:v>21</x:v>
      </x:c>
      <x:c r="B25" s="50" t="n">
        <x:v>1</x:v>
      </x:c>
      <x:c r="C25" s="50" t="str">
        <x:v>人物母资产</x:v>
      </x:c>
      <x:c r="D25" s="36" t="str">
        <x:v>顾青岚</x:v>
      </x:c>
      <x:c r="E25" s="36" t="str">
        <x:v>BY-CHR-P1-006-顾青岚</x:v>
      </x:c>
      <x:c r="F25" s="36" t="str"/>
      <x:c r="G25" s="50" t="str"/>
      <x:c r="H25" s="50" t="str">
        <x:v>CHR</x:v>
      </x:c>
      <x:c r="I25" s="50" t="str">
        <x:v>P1</x:v>
      </x:c>
      <x:c r="J25" s="36" t="str">
        <x:v>第9—10场</x:v>
      </x:c>
      <x:c r="K25" s="36" t="str">
        <x:v>月球地质与月面科学方向专家。</x:v>
      </x:c>
      <x:c r="L25" s="36" t="str">
        <x:v>媒体区出镜；地质图卡画外</x:v>
      </x:c>
      <x:c r="M25" s="36" t="str">
        <x:v>建立与地质图双人采访和指图动作</x:v>
      </x:c>
      <x:c r="N25" s="36" t="str">
        <x:v>阶段1已确认生产方向</x:v>
      </x:c>
      <x:c r="O25" s="36" t="str">
        <x:v>阶段2B建立母资产并按镜头状态派生</x:v>
      </x:c>
    </x:row>
    <x:row r="26" ht="40" customHeight="1">
      <x:c r="A26" s="51" t="n">
        <x:v>22</x:v>
      </x:c>
      <x:c r="B26" s="51" t="n">
        <x:v>2</x:v>
      </x:c>
      <x:c r="C26" s="51" t="str">
        <x:v>服装子资产</x:v>
      </x:c>
      <x:c r="D26" s="37" t="str">
        <x:v>↳ 顾青岚专家服装</x:v>
      </x:c>
      <x:c r="E26" s="37" t="str">
        <x:v>BY-CST-P1-008-顾青岚专家服装</x:v>
      </x:c>
      <x:c r="F26" s="37" t="str">
        <x:v>BY-CHR-P1-006-顾青岚</x:v>
      </x:c>
      <x:c r="G26" s="51" t="str"/>
      <x:c r="H26" s="51" t="str">
        <x:v>CST</x:v>
      </x:c>
      <x:c r="I26" s="51" t="str">
        <x:v>P1</x:v>
      </x:c>
      <x:c r="J26" s="37" t="str">
        <x:v>第9场</x:v>
      </x:c>
      <x:c r="K26" s="37" t="str">
        <x:v>专业、简洁的地质专家采访服装。</x:v>
      </x:c>
      <x:c r="L26" s="37" t="str">
        <x:v>媒体区采访</x:v>
      </x:c>
      <x:c r="M26" s="37" t="str">
        <x:v>与顾青岚人物资产绑定</x:v>
      </x:c>
      <x:c r="N26" s="37" t="str">
        <x:v>阶段1已确认生产方向</x:v>
      </x:c>
      <x:c r="O26" s="37" t="str">
        <x:v>阶段2B建立母资产并按镜头状态派生</x:v>
      </x:c>
    </x:row>
    <x:row r="27" ht="46" customHeight="1">
      <x:c r="A27" s="50" t="n">
        <x:v>23</x:v>
      </x:c>
      <x:c r="B27" s="50" t="n">
        <x:v>1</x:v>
      </x:c>
      <x:c r="C27" s="50" t="str">
        <x:v>群体人物资产</x:v>
      </x:c>
      <x:c r="D27" s="36" t="str">
        <x:v>北京飞控任务团队</x:v>
      </x:c>
      <x:c r="E27" s="36" t="str">
        <x:v>BY-CRO-P1-001-北京飞控任务团队</x:v>
      </x:c>
      <x:c r="F27" s="36" t="str"/>
      <x:c r="G27" s="50" t="str"/>
      <x:c r="H27" s="50" t="str">
        <x:v>CRO</x:v>
      </x:c>
      <x:c r="I27" s="50" t="str">
        <x:v>P1</x:v>
      </x:c>
      <x:c r="J27" s="36" t="str">
        <x:v>场2,4,5,6,8,10,11,12,14,15,16；镜006,012,022,028,031,035,041,053,072,077,083,088,097,104,107,113</x:v>
      </x:c>
      <x:c r="K27" s="36" t="str">
        <x:v>不少于12名可辨岗位人员的任务群像</x:v>
      </x:c>
      <x:c r="L27" s="36" t="str">
        <x:v>常态;等待;确认后克制反应</x:v>
      </x:c>
      <x:c r="M27" s="36" t="str">
        <x:v>群演构成表与群像资产</x:v>
      </x:c>
      <x:c r="N27" s="36" t="str">
        <x:v>已确认</x:v>
      </x:c>
      <x:c r="O27" s="36" t="str">
        <x:v>新闻飞控支持包</x:v>
      </x:c>
    </x:row>
    <x:row r="28" ht="46" customHeight="1">
      <x:c r="A28" s="50" t="n">
        <x:v>24</x:v>
      </x:c>
      <x:c r="B28" s="50" t="n">
        <x:v>1</x:v>
      </x:c>
      <x:c r="C28" s="50" t="str">
        <x:v>群体人物资产</x:v>
      </x:c>
      <x:c r="D28" s="36" t="str">
        <x:v>深空测控值班团队</x:v>
      </x:c>
      <x:c r="E28" s="36" t="str">
        <x:v>BY-CRO-P1-002-深空测控值班团队</x:v>
      </x:c>
      <x:c r="F28" s="36" t="str"/>
      <x:c r="G28" s="50" t="str"/>
      <x:c r="H28" s="50" t="str">
        <x:v>CRO</x:v>
      </x:c>
      <x:c r="I28" s="50" t="str">
        <x:v>P1</x:v>
      </x:c>
      <x:c r="J28" s="36" t="str">
        <x:v>场1,4,5,8,11；镜003,022,035,053,077</x:v>
      </x:c>
      <x:c r="K28" s="36" t="str">
        <x:v>佳木斯、喀什和VLBI席位的专业值班人员配置。</x:v>
      </x:c>
      <x:c r="L28" s="36" t="str">
        <x:v>常态值班；关键窗口</x:v>
      </x:c>
      <x:c r="M28" s="36" t="str">
        <x:v>与测控场景配套</x:v>
      </x:c>
      <x:c r="N28" s="36" t="str">
        <x:v>已确认生产方向</x:v>
      </x:c>
      <x:c r="O28" s="36" t="str">
        <x:v>阶段2A重入后按生产包执行</x:v>
      </x:c>
    </x:row>
    <x:row r="29" ht="46" customHeight="1">
      <x:c r="A29" s="50" t="n">
        <x:v>25</x:v>
      </x:c>
      <x:c r="B29" s="50" t="n">
        <x:v>1</x:v>
      </x:c>
      <x:c r="C29" s="50" t="str">
        <x:v>群体人物资产</x:v>
      </x:c>
      <x:c r="D29" s="36" t="str">
        <x:v>搜救、安全处置与医疗团队</x:v>
      </x:c>
      <x:c r="E29" s="36" t="str">
        <x:v>BY-CRO-P1-003-搜救与医疗团队</x:v>
      </x:c>
      <x:c r="F29" s="36" t="str"/>
      <x:c r="G29" s="50" t="str"/>
      <x:c r="H29" s="50" t="str">
        <x:v>CRO</x:v>
      </x:c>
      <x:c r="I29" s="50" t="str">
        <x:v>P1</x:v>
      </x:c>
      <x:c r="J29" s="36" t="str">
        <x:v>场16；镜110,111,112,113,114</x:v>
      </x:c>
      <x:c r="K29" s="36" t="str">
        <x:v>先安全检查、再开舱和医学接收的多岗位团队。</x:v>
      </x:c>
      <x:c r="L29" s="36" t="str">
        <x:v>空地接近；安全处置；开舱；医学检查；样品接收</x:v>
      </x:c>
      <x:c r="M29" s="36" t="str">
        <x:v>与搜救场景和载具配套</x:v>
      </x:c>
      <x:c r="N29" s="36" t="str">
        <x:v>已确认生产方向</x:v>
      </x:c>
      <x:c r="O29" s="36" t="str">
        <x:v>阶段2A重入后按生产包执行</x:v>
      </x:c>
    </x:row>
  </x:sheetData>
  <x:mergeCells>
    <x:mergeCell ref="A1:O1"/>
    <x:mergeCell ref="A2:O2"/>
  </x:mergeCells>
  <x:conditionalFormatting sqref="I5:I29">
    <x:cfRule type="containsText" dxfId="1" priority="1" operator="containsText" text="P0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" hidden="0" customWidth="1"/>
    <x:col min="3" max="3" width="18" hidden="0" customWidth="1"/>
    <x:col min="4" max="4" width="30" hidden="0" customWidth="1"/>
    <x:col min="5" max="5" width="43" hidden="0" customWidth="1"/>
    <x:col min="6" max="6" width="43" hidden="0" customWidth="1"/>
    <x:col min="7" max="7" width="18" hidden="0" customWidth="1"/>
    <x:col min="8" max="8" width="12" hidden="0" customWidth="1"/>
    <x:col min="9" max="9" width="9" hidden="0" customWidth="1"/>
    <x:col min="10" max="10" width="28" hidden="0" customWidth="1"/>
    <x:col min="11" max="11" width="45" hidden="0" customWidth="1"/>
    <x:col min="12" max="12" width="38" hidden="0" customWidth="1"/>
    <x:col min="13" max="13" width="48" hidden="0" customWidth="1"/>
    <x:col min="14" max="14" width="26" hidden="0" customWidth="1"/>
    <x:col min="15" max="15" width="38" hidden="0" customWidth="1"/>
  </x:cols>
  <x:sheetData>
    <x:row r="1" ht="38" customHeight="1">
      <x:c r="A1" s="3" t="str">
        <x:v>《奔月》V1.3.1｜场景资产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层级固定为“场景资产组→母图→多视角”。多视角父资产ID直接指向该场景母图，先确认母图再生成视图。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4" customHeight="1">
      <x:c r="A4" s="18" t="str">
        <x:v>分类序号</x:v>
      </x:c>
      <x:c r="B4" s="19" t="str">
        <x:v>层级</x:v>
      </x:c>
      <x:c r="C4" s="19" t="str">
        <x:v>登记项类型</x:v>
      </x:c>
      <x:c r="D4" s="19" t="str">
        <x:v>显示名称</x:v>
      </x:c>
      <x:c r="E4" s="19" t="str">
        <x:v>生产资产ID</x:v>
      </x:c>
      <x:c r="F4" s="19" t="str">
        <x:v>父资产ID</x:v>
      </x:c>
      <x:c r="G4" s="19" t="str">
        <x:v>视图代码</x:v>
      </x:c>
      <x:c r="H4" s="19" t="str">
        <x:v>资产类型</x:v>
      </x:c>
      <x:c r="I4" s="19" t="str">
        <x:v>资产级别</x:v>
      </x:c>
      <x:c r="J4" s="19" t="str">
        <x:v>关联场次或段落</x:v>
      </x:c>
      <x:c r="K4" s="19" t="str">
        <x:v>基础描述</x:v>
      </x:c>
      <x:c r="L4" s="19" t="str">
        <x:v>状态变体</x:v>
      </x:c>
      <x:c r="M4" s="19" t="str">
        <x:v>使用或生成需求</x:v>
      </x:c>
      <x:c r="N4" s="19" t="str">
        <x:v>确认状态</x:v>
      </x:c>
      <x:c r="O4" s="20" t="str">
        <x:v>阶段2处理建议</x:v>
      </x:c>
    </x:row>
    <x:row r="5" ht="46" customHeight="1">
      <x:c r="A5" s="50" t="n">
        <x:v>1</x:v>
      </x:c>
      <x:c r="B5" s="50" t="n">
        <x:v>1</x:v>
      </x:c>
      <x:c r="C5" s="50" t="str">
        <x:v>场景资产组</x:v>
      </x:c>
      <x:c r="D5" s="36" t="str">
        <x:v>梦舟返回舱三座承力区与四种乘员状态</x:v>
      </x:c>
      <x:c r="E5" s="36" t="str">
        <x:v>BY-SCN-P0-001-梦舟舱内三座布局</x:v>
      </x:c>
      <x:c r="F5" s="36" t="str"/>
      <x:c r="G5" s="50" t="str"/>
      <x:c r="H5" s="50" t="str">
        <x:v>SCN</x:v>
      </x:c>
      <x:c r="I5" s="50" t="str">
        <x:v>P0</x:v>
      </x:c>
      <x:c r="J5" s="36" t="str">
        <x:v>第1—3、5、11、14—15场</x:v>
      </x:c>
      <x:c r="K5" s="36" t="str">
        <x:v>返回舱内三张平行低位承力椅背、紧凑控制区和贴身弧形舱壁的局部空间。</x:v>
      </x:c>
      <x:c r="L5" s="36" t="str">
        <x:v>A三座满员对接前；B一人工作两座空置；C三人重聚含样品；D三人返航承载／再入／着陆</x:v>
      </x:c>
      <x:c r="M5" s="36" t="str">
        <x:v>必须建立一张统一母图和四种状态图；座椅方向、间距、工作界面和舱门轴线不得漂移。</x:v>
      </x:c>
      <x:c r="N5" s="36" t="str">
        <x:v>已确认</x:v>
      </x:c>
      <x:c r="O5" s="36" t="str">
        <x:v>阶段2B优先生成母资产与四状态对照板</x:v>
      </x:c>
    </x:row>
    <x:row r="6" ht="46" customHeight="1">
      <x:c r="A6" s="54" t="n">
        <x:v>2</x:v>
      </x:c>
      <x:c r="B6" s="54" t="n">
        <x:v>2</x:v>
      </x:c>
      <x:c r="C6" s="54" t="str">
        <x:v>场景母图</x:v>
      </x:c>
      <x:c r="D6" s="46" t="str">
        <x:v>↳ 母图｜梦舟返回舱三座承力区与四种乘员状态</x:v>
      </x:c>
      <x:c r="E6" s="46" t="str">
        <x:v>BY-SCN-P0-001-梦舟舱内三座布局-V-MASTER</x:v>
      </x:c>
      <x:c r="F6" s="46" t="str">
        <x:v>BY-SCN-P0-001-梦舟舱内三座布局</x:v>
      </x:c>
      <x:c r="G6" s="54" t="str">
        <x:v>MASTER</x:v>
      </x:c>
      <x:c r="H6" s="54" t="str">
        <x:v>SCN-VIEW</x:v>
      </x:c>
      <x:c r="I6" s="54" t="str">
        <x:v>P0</x:v>
      </x:c>
      <x:c r="J6" s="46" t="str">
        <x:v>第1—3、5、11、14—15场</x:v>
      </x:c>
      <x:c r="K6" s="46" t="str">
        <x:v>该场景的统一母图，锁定空间、尺度、材料、光向和主构图。</x:v>
      </x:c>
      <x:c r="L6" s="46" t="str">
        <x:v>MASTER</x:v>
      </x:c>
      <x:c r="M6" s="46" t="str">
        <x:v>先确认母图，再进入多视角和状态图生产。</x:v>
      </x:c>
      <x:c r="N6" s="46" t="str">
        <x:v>V1.3.1重校已确认</x:v>
      </x:c>
      <x:c r="O6" s="46" t="str">
        <x:v>阶段2B先生成并确认本母图。</x:v>
      </x:c>
    </x:row>
    <x:row r="7" ht="36" customHeight="1">
      <x:c r="A7" s="55" t="n">
        <x:v>3</x:v>
      </x:c>
      <x:c r="B7" s="55" t="n">
        <x:v>3</x:v>
      </x:c>
      <x:c r="C7" s="55" t="str">
        <x:v>场景多视角</x:v>
      </x:c>
      <x:c r="D7" s="47" t="str">
        <x:v>  ↳ 视图｜座椅背面关系</x:v>
      </x:c>
      <x:c r="E7" s="47" t="str">
        <x:v>BY-SCN-P0-001-梦舟舱内三座布局-V-SEAT-BACK</x:v>
      </x:c>
      <x:c r="F7" s="47" t="str">
        <x:v>BY-SCN-P0-001-梦舟舱内三座布局-V-MASTER</x:v>
      </x:c>
      <x:c r="G7" s="55" t="str">
        <x:v>SEAT-BACK</x:v>
      </x:c>
      <x:c r="H7" s="55" t="str">
        <x:v>SCN-VIEW</x:v>
      </x:c>
      <x:c r="I7" s="55" t="str">
        <x:v>P0</x:v>
      </x:c>
      <x:c r="J7" s="47" t="str">
        <x:v>第1—3、5、11、14—15场</x:v>
      </x:c>
      <x:c r="K7" s="47" t="str">
        <x:v>相对母图的座椅背面关系，用于镜头连续和空间核验。</x:v>
      </x:c>
      <x:c r="L7" s="47" t="str">
        <x:v>SEAT-BACK</x:v>
      </x:c>
      <x:c r="M7" s="47" t="str">
        <x:v>母图确认后生成；与母图做几何、材料、光影和设备位置一致性检查。</x:v>
      </x:c>
      <x:c r="N7" s="47" t="str">
        <x:v>V1.3.1重校已确认</x:v>
      </x:c>
      <x:c r="O7" s="47" t="str">
        <x:v>阶段2B在母图确认后生成本视图。</x:v>
      </x:c>
    </x:row>
    <x:row r="8" ht="36" customHeight="1">
      <x:c r="A8" s="55" t="n">
        <x:v>4</x:v>
      </x:c>
      <x:c r="B8" s="55" t="n">
        <x:v>3</x:v>
      </x:c>
      <x:c r="C8" s="55" t="str">
        <x:v>场景多视角</x:v>
      </x:c>
      <x:c r="D8" s="47" t="str">
        <x:v>  ↳ 视图｜三人返航状态</x:v>
      </x:c>
      <x:c r="E8" s="47" t="str">
        <x:v>BY-SCN-P0-001-梦舟舱内三座布局-V-RETURN-THREE</x:v>
      </x:c>
      <x:c r="F8" s="47" t="str">
        <x:v>BY-SCN-P0-001-梦舟舱内三座布局-V-MASTER</x:v>
      </x:c>
      <x:c r="G8" s="55" t="str">
        <x:v>RETURN-THREE</x:v>
      </x:c>
      <x:c r="H8" s="55" t="str">
        <x:v>SCN-VIEW</x:v>
      </x:c>
      <x:c r="I8" s="55" t="str">
        <x:v>P0</x:v>
      </x:c>
      <x:c r="J8" s="47" t="str">
        <x:v>第1—3、5、11、14—15场</x:v>
      </x:c>
      <x:c r="K8" s="47" t="str">
        <x:v>相对母图的三人返航状态，用于镜头连续和空间核验。</x:v>
      </x:c>
      <x:c r="L8" s="47" t="str">
        <x:v>RETURN-THREE</x:v>
      </x:c>
      <x:c r="M8" s="47" t="str">
        <x:v>母图确认后生成；与母图做几何、材料、光影和设备位置一致性检查。</x:v>
      </x:c>
      <x:c r="N8" s="47" t="str">
        <x:v>V1.3.1重校已确认</x:v>
      </x:c>
      <x:c r="O8" s="47" t="str">
        <x:v>阶段2B在母图确认后生成本视图。</x:v>
      </x:c>
    </x:row>
    <x:row r="9" ht="46" customHeight="1">
      <x:c r="A9" s="50" t="n">
        <x:v>5</x:v>
      </x:c>
      <x:c r="B9" s="50" t="n">
        <x:v>1</x:v>
      </x:c>
      <x:c r="C9" s="50" t="str">
        <x:v>场景资产组</x:v>
      </x:c>
      <x:c r="D9" s="36" t="str">
        <x:v>梦舟返回舱环月工作位</x:v>
      </x:c>
      <x:c r="E9" s="36" t="str">
        <x:v>BY-SCN-P0-005-梦舟环月工作位</x:v>
      </x:c>
      <x:c r="F9" s="36" t="str"/>
      <x:c r="G9" s="50" t="str"/>
      <x:c r="H9" s="50" t="str">
        <x:v>SCN</x:v>
      </x:c>
      <x:c r="I9" s="50" t="str">
        <x:v>P0</x:v>
      </x:c>
      <x:c r="J9" s="36" t="str">
        <x:v>第1—3、5、11场</x:v>
      </x:c>
      <x:c r="K9" s="36" t="str">
        <x:v>三座承力座椅区的环月工作状态视图；刘定槎从任务席完成交会、遥测和轨道协同。</x:v>
      </x:c>
      <x:c r="L9" s="36" t="str">
        <x:v>三人协同；刘定槎单人环月值守；三人重聚</x:v>
      </x:c>
      <x:c r="M9" s="36" t="str">
        <x:v>工作位与三座承力区必须属于同一返回舱空间，不生成宽阔独立驾驶舱。</x:v>
      </x:c>
      <x:c r="N9" s="36" t="str">
        <x:v>已确认生产方向</x:v>
      </x:c>
      <x:c r="O9" s="36" t="str">
        <x:v>阶段2A重入后按生产包执行</x:v>
      </x:c>
    </x:row>
    <x:row r="10" ht="46" customHeight="1">
      <x:c r="A10" s="54" t="n">
        <x:v>6</x:v>
      </x:c>
      <x:c r="B10" s="54" t="n">
        <x:v>2</x:v>
      </x:c>
      <x:c r="C10" s="54" t="str">
        <x:v>场景母图</x:v>
      </x:c>
      <x:c r="D10" s="46" t="str">
        <x:v>↳ 母图｜梦舟返回舱环月工作位</x:v>
      </x:c>
      <x:c r="E10" s="46" t="str">
        <x:v>BY-SCN-P0-005-梦舟环月工作位-V-MASTER</x:v>
      </x:c>
      <x:c r="F10" s="46" t="str">
        <x:v>BY-SCN-P0-005-梦舟环月工作位</x:v>
      </x:c>
      <x:c r="G10" s="54" t="str">
        <x:v>MASTER</x:v>
      </x:c>
      <x:c r="H10" s="54" t="str">
        <x:v>SCN-VIEW</x:v>
      </x:c>
      <x:c r="I10" s="54" t="str">
        <x:v>P0</x:v>
      </x:c>
      <x:c r="J10" s="46" t="str">
        <x:v>第1—3、5、11场</x:v>
      </x:c>
      <x:c r="K10" s="46" t="str">
        <x:v>该场景的统一母图，锁定空间、尺度、材料、光向和主构图。</x:v>
      </x:c>
      <x:c r="L10" s="46" t="str">
        <x:v>MASTER</x:v>
      </x:c>
      <x:c r="M10" s="46" t="str">
        <x:v>先确认母图，再进入多视角和状态图生产。</x:v>
      </x:c>
      <x:c r="N10" s="46" t="str">
        <x:v>V1.3.1重校已确认</x:v>
      </x:c>
      <x:c r="O10" s="46" t="str">
        <x:v>阶段2B先生成并确认本母图。</x:v>
      </x:c>
    </x:row>
    <x:row r="11" ht="36" customHeight="1">
      <x:c r="A11" s="55" t="n">
        <x:v>7</x:v>
      </x:c>
      <x:c r="B11" s="55" t="n">
        <x:v>3</x:v>
      </x:c>
      <x:c r="C11" s="55" t="str">
        <x:v>场景多视角</x:v>
      </x:c>
      <x:c r="D11" s="47" t="str">
        <x:v>  ↳ 视图｜工作位正向</x:v>
      </x:c>
      <x:c r="E11" s="47" t="str">
        <x:v>BY-SCN-P0-005-梦舟环月工作位-V-WORK-FRONT</x:v>
      </x:c>
      <x:c r="F11" s="47" t="str">
        <x:v>BY-SCN-P0-005-梦舟环月工作位-V-MASTER</x:v>
      </x:c>
      <x:c r="G11" s="55" t="str">
        <x:v>WORK-FRONT</x:v>
      </x:c>
      <x:c r="H11" s="55" t="str">
        <x:v>SCN-VIEW</x:v>
      </x:c>
      <x:c r="I11" s="55" t="str">
        <x:v>P0</x:v>
      </x:c>
      <x:c r="J11" s="47" t="str">
        <x:v>第1—3、5、11场</x:v>
      </x:c>
      <x:c r="K11" s="47" t="str">
        <x:v>相对母图的工作位正向，用于镜头连续和空间核验。</x:v>
      </x:c>
      <x:c r="L11" s="47" t="str">
        <x:v>WORK-FRONT</x:v>
      </x:c>
      <x:c r="M11" s="47" t="str">
        <x:v>母图确认后生成；与母图做几何、材料、光影和设备位置一致性检查。</x:v>
      </x:c>
      <x:c r="N11" s="47" t="str">
        <x:v>V1.3.1重校已确认</x:v>
      </x:c>
      <x:c r="O11" s="47" t="str">
        <x:v>阶段2B在母图确认后生成本视图。</x:v>
      </x:c>
    </x:row>
    <x:row r="12" ht="36" customHeight="1">
      <x:c r="A12" s="55" t="n">
        <x:v>8</x:v>
      </x:c>
      <x:c r="B12" s="55" t="n">
        <x:v>3</x:v>
      </x:c>
      <x:c r="C12" s="55" t="str">
        <x:v>场景多视角</x:v>
      </x:c>
      <x:c r="D12" s="47" t="str">
        <x:v>  ↳ 视图｜越肩工作位</x:v>
      </x:c>
      <x:c r="E12" s="47" t="str">
        <x:v>BY-SCN-P0-005-梦舟环月工作位-V-WORK-OTS</x:v>
      </x:c>
      <x:c r="F12" s="47" t="str">
        <x:v>BY-SCN-P0-005-梦舟环月工作位-V-MASTER</x:v>
      </x:c>
      <x:c r="G12" s="55" t="str">
        <x:v>WORK-OTS</x:v>
      </x:c>
      <x:c r="H12" s="55" t="str">
        <x:v>SCN-VIEW</x:v>
      </x:c>
      <x:c r="I12" s="55" t="str">
        <x:v>P0</x:v>
      </x:c>
      <x:c r="J12" s="47" t="str">
        <x:v>第1—3、5、11场</x:v>
      </x:c>
      <x:c r="K12" s="47" t="str">
        <x:v>相对母图的越肩工作位，用于镜头连续和空间核验。</x:v>
      </x:c>
      <x:c r="L12" s="47" t="str">
        <x:v>WORK-OTS</x:v>
      </x:c>
      <x:c r="M12" s="47" t="str">
        <x:v>母图确认后生成；与母图做几何、材料、光影和设备位置一致性检查。</x:v>
      </x:c>
      <x:c r="N12" s="47" t="str">
        <x:v>V1.3.1重校已确认</x:v>
      </x:c>
      <x:c r="O12" s="47" t="str">
        <x:v>阶段2B在母图确认后生成本视图。</x:v>
      </x:c>
    </x:row>
    <x:row r="13" ht="46" customHeight="1">
      <x:c r="A13" s="50" t="n">
        <x:v>9</x:v>
      </x:c>
      <x:c r="B13" s="50" t="n">
        <x:v>1</x:v>
      </x:c>
      <x:c r="C13" s="50" t="str">
        <x:v>场景资产组</x:v>
      </x:c>
      <x:c r="D13" s="36" t="str">
        <x:v>梦舟—揽月轴向对接转移通道</x:v>
      </x:c>
      <x:c r="E13" s="36" t="str">
        <x:v>BY-SCN-P0-002-梦舟对接通道与舱门区</x:v>
      </x:c>
      <x:c r="F13" s="36" t="str"/>
      <x:c r="G13" s="50" t="str"/>
      <x:c r="H13" s="50" t="str">
        <x:v>SCN</x:v>
      </x:c>
      <x:c r="I13" s="50" t="str">
        <x:v>P0</x:v>
      </x:c>
      <x:c r="J13" s="36" t="str">
        <x:v>场3,13；镜013,014,016,018,019,089,092</x:v>
      </x:c>
      <x:c r="K13" s="36" t="str">
        <x:v>两器前向舱门连接后的紧凑轴向通道，用于物品、人员和样品两次转移。</x:v>
      </x:c>
      <x:c r="L13" s="36" t="str">
        <x:v>关闭；压差归零；双门开启；物品先行；人员转移；样品回传</x:v>
      </x:c>
      <x:c r="M13" s="36" t="str">
        <x:v>母图与轴线双向SV1</x:v>
      </x:c>
      <x:c r="N13" s="36" t="str">
        <x:v>已确认</x:v>
      </x:c>
      <x:c r="O13" s="36" t="str">
        <x:v>作为独立场景母图验证，不与梦舟三座母图合并</x:v>
      </x:c>
    </x:row>
    <x:row r="14" ht="46" customHeight="1">
      <x:c r="A14" s="54" t="n">
        <x:v>10</x:v>
      </x:c>
      <x:c r="B14" s="54" t="n">
        <x:v>2</x:v>
      </x:c>
      <x:c r="C14" s="54" t="str">
        <x:v>场景母图</x:v>
      </x:c>
      <x:c r="D14" s="46" t="str">
        <x:v>↳ 母图｜梦舟—揽月轴向对接转移通道</x:v>
      </x:c>
      <x:c r="E14" s="46" t="str">
        <x:v>BY-SCN-P0-002-梦舟对接通道与舱门区-V-MASTER</x:v>
      </x:c>
      <x:c r="F14" s="46" t="str">
        <x:v>BY-SCN-P0-002-梦舟对接通道与舱门区</x:v>
      </x:c>
      <x:c r="G14" s="54" t="str">
        <x:v>MASTER</x:v>
      </x:c>
      <x:c r="H14" s="54" t="str">
        <x:v>SCN-VIEW</x:v>
      </x:c>
      <x:c r="I14" s="54" t="str">
        <x:v>P0</x:v>
      </x:c>
      <x:c r="J14" s="46" t="str">
        <x:v>场3,13；镜013,014,016,018,019,089,092</x:v>
      </x:c>
      <x:c r="K14" s="46" t="str">
        <x:v>该场景的统一母图，锁定空间、尺度、材料、光向和主构图。</x:v>
      </x:c>
      <x:c r="L14" s="46" t="str">
        <x:v>MASTER</x:v>
      </x:c>
      <x:c r="M14" s="46" t="str">
        <x:v>先确认母图，再进入多视角和状态图生产。</x:v>
      </x:c>
      <x:c r="N14" s="46" t="str">
        <x:v>已确认推荐口径</x:v>
      </x:c>
      <x:c r="O14" s="46" t="str">
        <x:v>阶段2B先生成并确认本母图。</x:v>
      </x:c>
    </x:row>
    <x:row r="15" ht="36" customHeight="1">
      <x:c r="A15" s="55" t="n">
        <x:v>11</x:v>
      </x:c>
      <x:c r="B15" s="55" t="n">
        <x:v>3</x:v>
      </x:c>
      <x:c r="C15" s="55" t="str">
        <x:v>场景多视角</x:v>
      </x:c>
      <x:c r="D15" s="47" t="str">
        <x:v>  ↳ 视图｜梦舟端轴向</x:v>
      </x:c>
      <x:c r="E15" s="47" t="str">
        <x:v>BY-SCN-P0-002-梦舟对接通道与舱门区-V-AXIS-DREAM</x:v>
      </x:c>
      <x:c r="F15" s="47" t="str">
        <x:v>BY-SCN-P0-002-梦舟对接通道与舱门区-V-MASTER</x:v>
      </x:c>
      <x:c r="G15" s="55" t="str">
        <x:v>AXIS-DREAM</x:v>
      </x:c>
      <x:c r="H15" s="55" t="str">
        <x:v>SCN-VIEW</x:v>
      </x:c>
      <x:c r="I15" s="55" t="str">
        <x:v>P0</x:v>
      </x:c>
      <x:c r="J15" s="47" t="str">
        <x:v>场3,13；镜013,014,016,018,019,089,092</x:v>
      </x:c>
      <x:c r="K15" s="47" t="str">
        <x:v>相对母图的梦舟端轴向，用于镜头连续和空间核验。</x:v>
      </x:c>
      <x:c r="L15" s="47" t="str">
        <x:v>AXIS-DREAM</x:v>
      </x:c>
      <x:c r="M15" s="47" t="str">
        <x:v>母图确认后生成；与母图做几何、材料、光影和设备位置一致性检查。</x:v>
      </x:c>
      <x:c r="N15" s="47" t="str">
        <x:v>已确认推荐口径</x:v>
      </x:c>
      <x:c r="O15" s="47" t="str">
        <x:v>阶段2B在母图确认后生成本视图。</x:v>
      </x:c>
    </x:row>
    <x:row r="16" ht="36" customHeight="1">
      <x:c r="A16" s="55" t="n">
        <x:v>12</x:v>
      </x:c>
      <x:c r="B16" s="55" t="n">
        <x:v>3</x:v>
      </x:c>
      <x:c r="C16" s="55" t="str">
        <x:v>场景多视角</x:v>
      </x:c>
      <x:c r="D16" s="47" t="str">
        <x:v>  ↳ 视图｜揽月端轴向</x:v>
      </x:c>
      <x:c r="E16" s="47" t="str">
        <x:v>BY-SCN-P0-002-梦舟对接通道与舱门区-V-AXIS-LANYUE</x:v>
      </x:c>
      <x:c r="F16" s="47" t="str">
        <x:v>BY-SCN-P0-002-梦舟对接通道与舱门区-V-MASTER</x:v>
      </x:c>
      <x:c r="G16" s="55" t="str">
        <x:v>AXIS-LANYUE</x:v>
      </x:c>
      <x:c r="H16" s="55" t="str">
        <x:v>SCN-VIEW</x:v>
      </x:c>
      <x:c r="I16" s="55" t="str">
        <x:v>P0</x:v>
      </x:c>
      <x:c r="J16" s="47" t="str">
        <x:v>场3,13；镜013,014,016,018,019,089,092</x:v>
      </x:c>
      <x:c r="K16" s="47" t="str">
        <x:v>相对母图的揽月端轴向，用于镜头连续和空间核验。</x:v>
      </x:c>
      <x:c r="L16" s="47" t="str">
        <x:v>AXIS-LANYUE</x:v>
      </x:c>
      <x:c r="M16" s="47" t="str">
        <x:v>母图确认后生成；与母图做几何、材料、光影和设备位置一致性检查。</x:v>
      </x:c>
      <x:c r="N16" s="47" t="str">
        <x:v>已确认推荐口径</x:v>
      </x:c>
      <x:c r="O16" s="47" t="str">
        <x:v>阶段2B在母图确认后生成本视图。</x:v>
      </x:c>
    </x:row>
    <x:row r="17" ht="36" customHeight="1">
      <x:c r="A17" s="55" t="n">
        <x:v>13</x:v>
      </x:c>
      <x:c r="B17" s="55" t="n">
        <x:v>3</x:v>
      </x:c>
      <x:c r="C17" s="55" t="str">
        <x:v>场景多视角</x:v>
      </x:c>
      <x:c r="D17" s="47" t="str">
        <x:v>  ↳ 视图｜人员／物资转移</x:v>
      </x:c>
      <x:c r="E17" s="47" t="str">
        <x:v>BY-SCN-P0-002-梦舟对接通道与舱门区-V-TRANSFER</x:v>
      </x:c>
      <x:c r="F17" s="47" t="str">
        <x:v>BY-SCN-P0-002-梦舟对接通道与舱门区-V-MASTER</x:v>
      </x:c>
      <x:c r="G17" s="55" t="str">
        <x:v>TRANSFER</x:v>
      </x:c>
      <x:c r="H17" s="55" t="str">
        <x:v>SCN-VIEW</x:v>
      </x:c>
      <x:c r="I17" s="55" t="str">
        <x:v>P0</x:v>
      </x:c>
      <x:c r="J17" s="47" t="str">
        <x:v>场3,13；镜013,014,016,018,019,089,092</x:v>
      </x:c>
      <x:c r="K17" s="47" t="str">
        <x:v>相对母图的人员／物资转移，用于镜头连续和空间核验。</x:v>
      </x:c>
      <x:c r="L17" s="47" t="str">
        <x:v>TRANSFER</x:v>
      </x:c>
      <x:c r="M17" s="47" t="str">
        <x:v>母图确认后生成；与母图做几何、材料、光影和设备位置一致性检查。</x:v>
      </x:c>
      <x:c r="N17" s="47" t="str">
        <x:v>已确认推荐口径</x:v>
      </x:c>
      <x:c r="O17" s="47" t="str">
        <x:v>阶段2B在母图确认后生成本视图。</x:v>
      </x:c>
    </x:row>
    <x:row r="18" ht="46" customHeight="1">
      <x:c r="A18" s="50" t="n">
        <x:v>14</x:v>
      </x:c>
      <x:c r="B18" s="50" t="n">
        <x:v>1</x:v>
      </x:c>
      <x:c r="C18" s="50" t="str">
        <x:v>场景资产组</x:v>
      </x:c>
      <x:c r="D18" s="36" t="str">
        <x:v>揽月登月舱舱内</x:v>
      </x:c>
      <x:c r="E18" s="36" t="str">
        <x:v>BY-SCN-P0-003-揽月登月舱舱内</x:v>
      </x:c>
      <x:c r="F18" s="36" t="str"/>
      <x:c r="G18" s="50" t="str"/>
      <x:c r="H18" s="50" t="str">
        <x:v>SCN</x:v>
      </x:c>
      <x:c r="I18" s="50" t="str">
        <x:v>P0</x:v>
      </x:c>
      <x:c r="J18" s="36" t="str">
        <x:v>场2,3,4,5,6,7,10,11,12；镜009,011,017,019,023,029,032,036,038,040,043,044,045,046,069,070,071,073,076,082</x:v>
      </x:c>
      <x:c r="K18" s="36" t="str">
        <x:v>两座位、操作区、舱门、载荷与登月服固定区</x:v>
      </x:c>
      <x:c r="L18" s="36" t="str">
        <x:v>月轨交会；动力下降；着陆后；EVA准备／复压；月面起飞；再交会</x:v>
      </x:c>
      <x:c r="M18" s="36" t="str">
        <x:v>母图与SV2标准五视图</x:v>
      </x:c>
      <x:c r="N18" s="36" t="str">
        <x:v>已确认</x:v>
      </x:c>
      <x:c r="O18" s="36" t="str">
        <x:v>按V1.2状态链复核原设计，再做必要视图</x:v>
      </x:c>
    </x:row>
    <x:row r="19" ht="46" customHeight="1">
      <x:c r="A19" s="54" t="n">
        <x:v>15</x:v>
      </x:c>
      <x:c r="B19" s="54" t="n">
        <x:v>2</x:v>
      </x:c>
      <x:c r="C19" s="54" t="str">
        <x:v>场景母图</x:v>
      </x:c>
      <x:c r="D19" s="46" t="str">
        <x:v>↳ 母图｜揽月登月舱舱内</x:v>
      </x:c>
      <x:c r="E19" s="46" t="str">
        <x:v>BY-SCN-P0-003-揽月登月舱舱内-V-MASTER</x:v>
      </x:c>
      <x:c r="F19" s="46" t="str">
        <x:v>BY-SCN-P0-003-揽月登月舱舱内</x:v>
      </x:c>
      <x:c r="G19" s="54" t="str">
        <x:v>MASTER</x:v>
      </x:c>
      <x:c r="H19" s="54" t="str">
        <x:v>SCN-VIEW</x:v>
      </x:c>
      <x:c r="I19" s="54" t="str">
        <x:v>P0</x:v>
      </x:c>
      <x:c r="J19" s="46" t="str">
        <x:v>场2,3,4,5,6,7,10,11,12；镜009,011,017,019,023,029,032,036,038,040,043,044,045,046,069,070,071,073,076,082</x:v>
      </x:c>
      <x:c r="K19" s="46" t="str">
        <x:v>该场景的统一母图，锁定空间、尺度、材料、光向和主构图。</x:v>
      </x:c>
      <x:c r="L19" s="46" t="str">
        <x:v>MASTER</x:v>
      </x:c>
      <x:c r="M19" s="46" t="str">
        <x:v>先确认母图，再进入多视角和状态图生产。</x:v>
      </x:c>
      <x:c r="N19" s="46" t="str">
        <x:v>继承已确认</x:v>
      </x:c>
      <x:c r="O19" s="46" t="str">
        <x:v>阶段2B先生成并确认本母图。</x:v>
      </x:c>
    </x:row>
    <x:row r="20" ht="36" customHeight="1">
      <x:c r="A20" s="55" t="n">
        <x:v>16</x:v>
      </x:c>
      <x:c r="B20" s="55" t="n">
        <x:v>3</x:v>
      </x:c>
      <x:c r="C20" s="55" t="str">
        <x:v>场景多视角</x:v>
      </x:c>
      <x:c r="D20" s="47" t="str">
        <x:v>  ↳ 视图｜正视图</x:v>
      </x:c>
      <x:c r="E20" s="47" t="str">
        <x:v>BY-SCN-P0-003-揽月登月舱舱内-V-FRONT</x:v>
      </x:c>
      <x:c r="F20" s="47" t="str">
        <x:v>BY-SCN-P0-003-揽月登月舱舱内-V-MASTER</x:v>
      </x:c>
      <x:c r="G20" s="55" t="str">
        <x:v>FRONT</x:v>
      </x:c>
      <x:c r="H20" s="55" t="str">
        <x:v>SCN-VIEW</x:v>
      </x:c>
      <x:c r="I20" s="55" t="str">
        <x:v>P0</x:v>
      </x:c>
      <x:c r="J20" s="47" t="str">
        <x:v>场2,3,4,5,6,7,10,11,12；镜009,011,017,019,023,029,032,036,038,040,043,044,045,046,069,070,071,073,076,082</x:v>
      </x:c>
      <x:c r="K20" s="47" t="str">
        <x:v>相对母图的正视图，用于镜头连续和空间核验。</x:v>
      </x:c>
      <x:c r="L20" s="47" t="str">
        <x:v>FRONT</x:v>
      </x:c>
      <x:c r="M20" s="47" t="str">
        <x:v>母图确认后生成；与母图做几何、材料、光影和设备位置一致性检查。</x:v>
      </x:c>
      <x:c r="N20" s="47" t="str">
        <x:v>继承已确认</x:v>
      </x:c>
      <x:c r="O20" s="47" t="str">
        <x:v>阶段2B在母图确认后生成本视图。</x:v>
      </x:c>
    </x:row>
    <x:row r="21" ht="36" customHeight="1">
      <x:c r="A21" s="55" t="n">
        <x:v>17</x:v>
      </x:c>
      <x:c r="B21" s="55" t="n">
        <x:v>3</x:v>
      </x:c>
      <x:c r="C21" s="55" t="str">
        <x:v>场景多视角</x:v>
      </x:c>
      <x:c r="D21" s="47" t="str">
        <x:v>  ↳ 视图｜后视图</x:v>
      </x:c>
      <x:c r="E21" s="47" t="str">
        <x:v>BY-SCN-P0-003-揽月登月舱舱内-V-BACK</x:v>
      </x:c>
      <x:c r="F21" s="47" t="str">
        <x:v>BY-SCN-P0-003-揽月登月舱舱内-V-MASTER</x:v>
      </x:c>
      <x:c r="G21" s="55" t="str">
        <x:v>BACK</x:v>
      </x:c>
      <x:c r="H21" s="55" t="str">
        <x:v>SCN-VIEW</x:v>
      </x:c>
      <x:c r="I21" s="55" t="str">
        <x:v>P0</x:v>
      </x:c>
      <x:c r="J21" s="47" t="str">
        <x:v>场2,3,4,5,6,7,10,11,12；镜009,011,017,019,023,029,032,036,038,040,043,044,045,046,069,070,071,073,076,082</x:v>
      </x:c>
      <x:c r="K21" s="47" t="str">
        <x:v>相对母图的后视图，用于镜头连续和空间核验。</x:v>
      </x:c>
      <x:c r="L21" s="47" t="str">
        <x:v>BACK</x:v>
      </x:c>
      <x:c r="M21" s="47" t="str">
        <x:v>母图确认后生成；与母图做几何、材料、光影和设备位置一致性检查。</x:v>
      </x:c>
      <x:c r="N21" s="47" t="str">
        <x:v>继承已确认</x:v>
      </x:c>
      <x:c r="O21" s="47" t="str">
        <x:v>阶段2B在母图确认后生成本视图。</x:v>
      </x:c>
    </x:row>
    <x:row r="22" ht="36" customHeight="1">
      <x:c r="A22" s="55" t="n">
        <x:v>18</x:v>
      </x:c>
      <x:c r="B22" s="55" t="n">
        <x:v>3</x:v>
      </x:c>
      <x:c r="C22" s="55" t="str">
        <x:v>场景多视角</x:v>
      </x:c>
      <x:c r="D22" s="47" t="str">
        <x:v>  ↳ 视图｜左视图</x:v>
      </x:c>
      <x:c r="E22" s="47" t="str">
        <x:v>BY-SCN-P0-003-揽月登月舱舱内-V-LEFT</x:v>
      </x:c>
      <x:c r="F22" s="47" t="str">
        <x:v>BY-SCN-P0-003-揽月登月舱舱内-V-MASTER</x:v>
      </x:c>
      <x:c r="G22" s="55" t="str">
        <x:v>LEFT</x:v>
      </x:c>
      <x:c r="H22" s="55" t="str">
        <x:v>SCN-VIEW</x:v>
      </x:c>
      <x:c r="I22" s="55" t="str">
        <x:v>P0</x:v>
      </x:c>
      <x:c r="J22" s="47" t="str">
        <x:v>场2,3,4,5,6,7,10,11,12；镜009,011,017,019,023,029,032,036,038,040,043,044,045,046,069,070,071,073,076,082</x:v>
      </x:c>
      <x:c r="K22" s="47" t="str">
        <x:v>相对母图的左视图，用于镜头连续和空间核验。</x:v>
      </x:c>
      <x:c r="L22" s="47" t="str">
        <x:v>LEFT</x:v>
      </x:c>
      <x:c r="M22" s="47" t="str">
        <x:v>母图确认后生成；与母图做几何、材料、光影和设备位置一致性检查。</x:v>
      </x:c>
      <x:c r="N22" s="47" t="str">
        <x:v>继承已确认</x:v>
      </x:c>
      <x:c r="O22" s="47" t="str">
        <x:v>阶段2B在母图确认后生成本视图。</x:v>
      </x:c>
    </x:row>
    <x:row r="23" ht="36" customHeight="1">
      <x:c r="A23" s="55" t="n">
        <x:v>19</x:v>
      </x:c>
      <x:c r="B23" s="55" t="n">
        <x:v>3</x:v>
      </x:c>
      <x:c r="C23" s="55" t="str">
        <x:v>场景多视角</x:v>
      </x:c>
      <x:c r="D23" s="47" t="str">
        <x:v>  ↳ 视图｜右视图</x:v>
      </x:c>
      <x:c r="E23" s="47" t="str">
        <x:v>BY-SCN-P0-003-揽月登月舱舱内-V-RIGHT</x:v>
      </x:c>
      <x:c r="F23" s="47" t="str">
        <x:v>BY-SCN-P0-003-揽月登月舱舱内-V-MASTER</x:v>
      </x:c>
      <x:c r="G23" s="55" t="str">
        <x:v>RIGHT</x:v>
      </x:c>
      <x:c r="H23" s="55" t="str">
        <x:v>SCN-VIEW</x:v>
      </x:c>
      <x:c r="I23" s="55" t="str">
        <x:v>P0</x:v>
      </x:c>
      <x:c r="J23" s="47" t="str">
        <x:v>场2,3,4,5,6,7,10,11,12；镜009,011,017,019,023,029,032,036,038,040,043,044,045,046,069,070,071,073,076,082</x:v>
      </x:c>
      <x:c r="K23" s="47" t="str">
        <x:v>相对母图的右视图，用于镜头连续和空间核验。</x:v>
      </x:c>
      <x:c r="L23" s="47" t="str">
        <x:v>RIGHT</x:v>
      </x:c>
      <x:c r="M23" s="47" t="str">
        <x:v>母图确认后生成；与母图做几何、材料、光影和设备位置一致性检查。</x:v>
      </x:c>
      <x:c r="N23" s="47" t="str">
        <x:v>继承已确认</x:v>
      </x:c>
      <x:c r="O23" s="47" t="str">
        <x:v>阶段2B在母图确认后生成本视图。</x:v>
      </x:c>
    </x:row>
    <x:row r="24" ht="36" customHeight="1">
      <x:c r="A24" s="55" t="n">
        <x:v>20</x:v>
      </x:c>
      <x:c r="B24" s="55" t="n">
        <x:v>3</x:v>
      </x:c>
      <x:c r="C24" s="55" t="str">
        <x:v>场景多视角</x:v>
      </x:c>
      <x:c r="D24" s="47" t="str">
        <x:v>  ↳ 视图｜顶视图</x:v>
      </x:c>
      <x:c r="E24" s="47" t="str">
        <x:v>BY-SCN-P0-003-揽月登月舱舱内-V-TOP</x:v>
      </x:c>
      <x:c r="F24" s="47" t="str">
        <x:v>BY-SCN-P0-003-揽月登月舱舱内-V-MASTER</x:v>
      </x:c>
      <x:c r="G24" s="55" t="str">
        <x:v>TOP</x:v>
      </x:c>
      <x:c r="H24" s="55" t="str">
        <x:v>SCN-VIEW</x:v>
      </x:c>
      <x:c r="I24" s="55" t="str">
        <x:v>P0</x:v>
      </x:c>
      <x:c r="J24" s="47" t="str">
        <x:v>场2,3,4,5,6,7,10,11,12；镜009,011,017,019,023,029,032,036,038,040,043,044,045,046,069,070,071,073,076,082</x:v>
      </x:c>
      <x:c r="K24" s="47" t="str">
        <x:v>相对母图的顶视图，用于镜头连续和空间核验。</x:v>
      </x:c>
      <x:c r="L24" s="47" t="str">
        <x:v>TOP</x:v>
      </x:c>
      <x:c r="M24" s="47" t="str">
        <x:v>母图确认后生成；与母图做几何、材料、光影和设备位置一致性检查。</x:v>
      </x:c>
      <x:c r="N24" s="47" t="str">
        <x:v>继承已确认</x:v>
      </x:c>
      <x:c r="O24" s="47" t="str">
        <x:v>阶段2B在母图确认后生成本视图。</x:v>
      </x:c>
    </x:row>
    <x:row r="25" ht="46" customHeight="1">
      <x:c r="A25" s="50" t="n">
        <x:v>21</x:v>
      </x:c>
      <x:c r="B25" s="50" t="n">
        <x:v>1</x:v>
      </x:c>
      <x:c r="C25" s="50" t="str">
        <x:v>场景资产组</x:v>
      </x:c>
      <x:c r="D25" s="36" t="str">
        <x:v>北京飞控大厅与任务主屏</x:v>
      </x:c>
      <x:c r="E25" s="36" t="str">
        <x:v>BY-SCN-P0-006-北京飞控大厅与任务主屏</x:v>
      </x:c>
      <x:c r="F25" s="36" t="str"/>
      <x:c r="G25" s="50" t="str"/>
      <x:c r="H25" s="50" t="str">
        <x:v>SCN</x:v>
      </x:c>
      <x:c r="I25" s="50" t="str">
        <x:v>P0</x:v>
      </x:c>
      <x:c r="J25" s="36" t="str">
        <x:v>场2,4,5,6,8,10,11,12,14,15,16；镜006,012,022,028,031,035,041,053,072,077,083,088,097,104,107,113</x:v>
      </x:c>
      <x:c r="K25" s="36" t="str">
        <x:v>真实国家任务控制大厅尺度，核心席、任务主屏和分层工作席可辨。</x:v>
      </x:c>
      <x:c r="L25" s="36" t="str">
        <x:v>交会；下降；触月；月面活动；起飞；再交会；返回；再入；任务完成</x:v>
      </x:c>
      <x:c r="M25" s="36" t="str">
        <x:v>MASTER、任务席、主屏、控制台局部</x:v>
      </x:c>
      <x:c r="N25" s="36" t="str">
        <x:v>已确认生产方向</x:v>
      </x:c>
      <x:c r="O25" s="36" t="str">
        <x:v>阶段2A重入后按生产包执行</x:v>
      </x:c>
    </x:row>
    <x:row r="26" ht="46" customHeight="1">
      <x:c r="A26" s="54" t="n">
        <x:v>22</x:v>
      </x:c>
      <x:c r="B26" s="54" t="n">
        <x:v>2</x:v>
      </x:c>
      <x:c r="C26" s="54" t="str">
        <x:v>场景母图</x:v>
      </x:c>
      <x:c r="D26" s="46" t="str">
        <x:v>↳ 母图｜北京飞控大厅与任务主屏</x:v>
      </x:c>
      <x:c r="E26" s="46" t="str">
        <x:v>BY-SCN-P0-006-北京飞控大厅与任务主屏-V-MASTER</x:v>
      </x:c>
      <x:c r="F26" s="46" t="str">
        <x:v>BY-SCN-P0-006-北京飞控大厅与任务主屏</x:v>
      </x:c>
      <x:c r="G26" s="54" t="str">
        <x:v>MASTER</x:v>
      </x:c>
      <x:c r="H26" s="54" t="str">
        <x:v>SCN-VIEW</x:v>
      </x:c>
      <x:c r="I26" s="54" t="str">
        <x:v>P0</x:v>
      </x:c>
      <x:c r="J26" s="46" t="str">
        <x:v>场2,4,5,6,8,10,11,12,14,15,16；镜006,012,022,028,031,035,041,053,072,077,083,088,097,104,107,113</x:v>
      </x:c>
      <x:c r="K26" s="46" t="str">
        <x:v>该场景的统一母图，锁定空间、尺度、材料、光向和主构图。</x:v>
      </x:c>
      <x:c r="L26" s="46" t="str">
        <x:v>MASTER</x:v>
      </x:c>
      <x:c r="M26" s="46" t="str">
        <x:v>先确认母图，再进入多视角和状态图生产。</x:v>
      </x:c>
      <x:c r="N26" s="46" t="str">
        <x:v>已确认推荐口径</x:v>
      </x:c>
      <x:c r="O26" s="46" t="str">
        <x:v>阶段2B先生成并确认本母图。</x:v>
      </x:c>
    </x:row>
    <x:row r="27" ht="36" customHeight="1">
      <x:c r="A27" s="55" t="n">
        <x:v>23</x:v>
      </x:c>
      <x:c r="B27" s="55" t="n">
        <x:v>3</x:v>
      </x:c>
      <x:c r="C27" s="55" t="str">
        <x:v>场景多视角</x:v>
      </x:c>
      <x:c r="D27" s="47" t="str">
        <x:v>  ↳ 视图｜大厅全景</x:v>
      </x:c>
      <x:c r="E27" s="47" t="str">
        <x:v>BY-SCN-P0-006-北京飞控大厅与任务主屏-V-FLOOR</x:v>
      </x:c>
      <x:c r="F27" s="47" t="str">
        <x:v>BY-SCN-P0-006-北京飞控大厅与任务主屏-V-MASTER</x:v>
      </x:c>
      <x:c r="G27" s="55" t="str">
        <x:v>FLOOR</x:v>
      </x:c>
      <x:c r="H27" s="55" t="str">
        <x:v>SCN-VIEW</x:v>
      </x:c>
      <x:c r="I27" s="55" t="str">
        <x:v>P0</x:v>
      </x:c>
      <x:c r="J27" s="47" t="str">
        <x:v>场2,4,5,6,8,10,11,12,14,15,16；镜006,012,022,028,031,035,041,053,072,077,083,088,097,104,107,113</x:v>
      </x:c>
      <x:c r="K27" s="47" t="str">
        <x:v>相对母图的大厅全景，用于镜头连续和空间核验。</x:v>
      </x:c>
      <x:c r="L27" s="47" t="str">
        <x:v>FLOOR</x:v>
      </x:c>
      <x:c r="M27" s="47" t="str">
        <x:v>母图确认后生成；与母图做几何、材料、光影和设备位置一致性检查。</x:v>
      </x:c>
      <x:c r="N27" s="47" t="str">
        <x:v>已确认推荐口径</x:v>
      </x:c>
      <x:c r="O27" s="47" t="str">
        <x:v>阶段2B在母图确认后生成本视图。</x:v>
      </x:c>
    </x:row>
    <x:row r="28" ht="36" customHeight="1">
      <x:c r="A28" s="55" t="n">
        <x:v>24</x:v>
      </x:c>
      <x:c r="B28" s="55" t="n">
        <x:v>3</x:v>
      </x:c>
      <x:c r="C28" s="55" t="str">
        <x:v>场景多视角</x:v>
      </x:c>
      <x:c r="D28" s="47" t="str">
        <x:v>  ↳ 视图｜任务主屏</x:v>
      </x:c>
      <x:c r="E28" s="47" t="str">
        <x:v>BY-SCN-P0-006-北京飞控大厅与任务主屏-V-MAIN-SCREEN</x:v>
      </x:c>
      <x:c r="F28" s="47" t="str">
        <x:v>BY-SCN-P0-006-北京飞控大厅与任务主屏-V-MASTER</x:v>
      </x:c>
      <x:c r="G28" s="55" t="str">
        <x:v>MAIN-SCREEN</x:v>
      </x:c>
      <x:c r="H28" s="55" t="str">
        <x:v>SCN-VIEW</x:v>
      </x:c>
      <x:c r="I28" s="55" t="str">
        <x:v>P0</x:v>
      </x:c>
      <x:c r="J28" s="47" t="str">
        <x:v>场2,4,5,6,8,10,11,12,14,15,16；镜006,012,022,028,031,035,041,053,072,077,083,088,097,104,107,113</x:v>
      </x:c>
      <x:c r="K28" s="47" t="str">
        <x:v>相对母图的任务主屏，用于镜头连续和空间核验。</x:v>
      </x:c>
      <x:c r="L28" s="47" t="str">
        <x:v>MAIN-SCREEN</x:v>
      </x:c>
      <x:c r="M28" s="47" t="str">
        <x:v>母图确认后生成；与母图做几何、材料、光影和设备位置一致性检查。</x:v>
      </x:c>
      <x:c r="N28" s="47" t="str">
        <x:v>已确认推荐口径</x:v>
      </x:c>
      <x:c r="O28" s="47" t="str">
        <x:v>阶段2B在母图确认后生成本视图。</x:v>
      </x:c>
    </x:row>
    <x:row r="29" ht="36" customHeight="1">
      <x:c r="A29" s="55" t="n">
        <x:v>25</x:v>
      </x:c>
      <x:c r="B29" s="55" t="n">
        <x:v>3</x:v>
      </x:c>
      <x:c r="C29" s="55" t="str">
        <x:v>场景多视角</x:v>
      </x:c>
      <x:c r="D29" s="47" t="str">
        <x:v>  ↳ 视图｜核心席位</x:v>
      </x:c>
      <x:c r="E29" s="47" t="str">
        <x:v>BY-SCN-P0-006-北京飞控大厅与任务主屏-V-CONSOLE</x:v>
      </x:c>
      <x:c r="F29" s="47" t="str">
        <x:v>BY-SCN-P0-006-北京飞控大厅与任务主屏-V-MASTER</x:v>
      </x:c>
      <x:c r="G29" s="55" t="str">
        <x:v>CONSOLE</x:v>
      </x:c>
      <x:c r="H29" s="55" t="str">
        <x:v>SCN-VIEW</x:v>
      </x:c>
      <x:c r="I29" s="55" t="str">
        <x:v>P0</x:v>
      </x:c>
      <x:c r="J29" s="47" t="str">
        <x:v>场2,4,5,6,8,10,11,12,14,15,16；镜006,012,022,028,031,035,041,053,072,077,083,088,097,104,107,113</x:v>
      </x:c>
      <x:c r="K29" s="47" t="str">
        <x:v>相对母图的核心席位，用于镜头连续和空间核验。</x:v>
      </x:c>
      <x:c r="L29" s="47" t="str">
        <x:v>CONSOLE</x:v>
      </x:c>
      <x:c r="M29" s="47" t="str">
        <x:v>母图确认后生成；与母图做几何、材料、光影和设备位置一致性检查。</x:v>
      </x:c>
      <x:c r="N29" s="47" t="str">
        <x:v>已确认推荐口径</x:v>
      </x:c>
      <x:c r="O29" s="47" t="str">
        <x:v>阶段2B在母图确认后生成本视图。</x:v>
      </x:c>
    </x:row>
    <x:row r="30" ht="46" customHeight="1">
      <x:c r="A30" s="50" t="n">
        <x:v>26</x:v>
      </x:c>
      <x:c r="B30" s="50" t="n">
        <x:v>1</x:v>
      </x:c>
      <x:c r="C30" s="50" t="str">
        <x:v>场景资产组</x:v>
      </x:c>
      <x:c r="D30" s="36" t="str">
        <x:v>佳木斯66米深空测控站</x:v>
      </x:c>
      <x:c r="E30" s="36" t="str">
        <x:v>BY-SCN-P1-007-佳木斯66米深空测控站</x:v>
      </x:c>
      <x:c r="F30" s="36" t="str"/>
      <x:c r="G30" s="50" t="str"/>
      <x:c r="H30" s="50" t="str">
        <x:v>SCN</x:v>
      </x:c>
      <x:c r="I30" s="50" t="str">
        <x:v>P1</x:v>
      </x:c>
      <x:c r="J30" s="36" t="str">
        <x:v>场1,5,8,11；镜003,035,053,077</x:v>
      </x:c>
      <x:c r="K30" s="36" t="str">
        <x:v>大型深空天线与值班测控工作区。</x:v>
      </x:c>
      <x:c r="L30" s="36" t="str">
        <x:v>月轨交会；动力下降；月面活动；月面起飞；地月返回</x:v>
      </x:c>
      <x:c r="M30" s="36" t="str">
        <x:v>天线MASTER、长焦跟踪、值班工作区</x:v>
      </x:c>
      <x:c r="N30" s="36" t="str">
        <x:v>已确认生产方向</x:v>
      </x:c>
      <x:c r="O30" s="36" t="str">
        <x:v>阶段2A重入后按生产包执行</x:v>
      </x:c>
    </x:row>
    <x:row r="31" ht="46" customHeight="1">
      <x:c r="A31" s="54" t="n">
        <x:v>27</x:v>
      </x:c>
      <x:c r="B31" s="54" t="n">
        <x:v>2</x:v>
      </x:c>
      <x:c r="C31" s="54" t="str">
        <x:v>场景母图</x:v>
      </x:c>
      <x:c r="D31" s="46" t="str">
        <x:v>↳ 母图｜佳木斯66米深空测控站</x:v>
      </x:c>
      <x:c r="E31" s="46" t="str">
        <x:v>BY-SCN-P1-007-佳木斯66米深空测控站-V-MASTER</x:v>
      </x:c>
      <x:c r="F31" s="46" t="str">
        <x:v>BY-SCN-P1-007-佳木斯66米深空测控站</x:v>
      </x:c>
      <x:c r="G31" s="54" t="str">
        <x:v>MASTER</x:v>
      </x:c>
      <x:c r="H31" s="54" t="str">
        <x:v>SCN-VIEW</x:v>
      </x:c>
      <x:c r="I31" s="54" t="str">
        <x:v>P1</x:v>
      </x:c>
      <x:c r="J31" s="46" t="str">
        <x:v>场1,5,8,11；镜003,035,053,077</x:v>
      </x:c>
      <x:c r="K31" s="46" t="str">
        <x:v>该场景的统一母图，锁定空间、尺度、材料、光向和主构图。</x:v>
      </x:c>
      <x:c r="L31" s="46" t="str">
        <x:v>MASTER</x:v>
      </x:c>
      <x:c r="M31" s="46" t="str">
        <x:v>先确认母图，再进入多视角和状态图生产。</x:v>
      </x:c>
      <x:c r="N31" s="46" t="str">
        <x:v>已确认推荐口径</x:v>
      </x:c>
      <x:c r="O31" s="46" t="str">
        <x:v>阶段2B先生成并确认本母图。</x:v>
      </x:c>
    </x:row>
    <x:row r="32" ht="36" customHeight="1">
      <x:c r="A32" s="55" t="n">
        <x:v>28</x:v>
      </x:c>
      <x:c r="B32" s="55" t="n">
        <x:v>3</x:v>
      </x:c>
      <x:c r="C32" s="55" t="str">
        <x:v>场景多视角</x:v>
      </x:c>
      <x:c r="D32" s="47" t="str">
        <x:v>  ↳ 视图｜天线长焦</x:v>
      </x:c>
      <x:c r="E32" s="47" t="str">
        <x:v>BY-SCN-P1-007-佳木斯66米深空测控站-V-ANTENNA-LONG</x:v>
      </x:c>
      <x:c r="F32" s="47" t="str">
        <x:v>BY-SCN-P1-007-佳木斯66米深空测控站-V-MASTER</x:v>
      </x:c>
      <x:c r="G32" s="55" t="str">
        <x:v>ANTENNA-LONG</x:v>
      </x:c>
      <x:c r="H32" s="55" t="str">
        <x:v>SCN-VIEW</x:v>
      </x:c>
      <x:c r="I32" s="55" t="str">
        <x:v>P1</x:v>
      </x:c>
      <x:c r="J32" s="47" t="str">
        <x:v>场1,5,8,11；镜003,035,053,077</x:v>
      </x:c>
      <x:c r="K32" s="47" t="str">
        <x:v>相对母图的天线长焦，用于镜头连续和空间核验。</x:v>
      </x:c>
      <x:c r="L32" s="47" t="str">
        <x:v>ANTENNA-LONG</x:v>
      </x:c>
      <x:c r="M32" s="47" t="str">
        <x:v>母图确认后生成；与母图做几何、材料、光影和设备位置一致性检查。</x:v>
      </x:c>
      <x:c r="N32" s="47" t="str">
        <x:v>已确认推荐口径</x:v>
      </x:c>
      <x:c r="O32" s="47" t="str">
        <x:v>阶段2B在母图确认后生成本视图。</x:v>
      </x:c>
    </x:row>
    <x:row r="33" ht="36" customHeight="1">
      <x:c r="A33" s="55" t="n">
        <x:v>29</x:v>
      </x:c>
      <x:c r="B33" s="55" t="n">
        <x:v>3</x:v>
      </x:c>
      <x:c r="C33" s="55" t="str">
        <x:v>场景多视角</x:v>
      </x:c>
      <x:c r="D33" s="47" t="str">
        <x:v>  ↳ 视图｜值班操作区</x:v>
      </x:c>
      <x:c r="E33" s="47" t="str">
        <x:v>BY-SCN-P1-007-佳木斯66米深空测控站-V-OPS</x:v>
      </x:c>
      <x:c r="F33" s="47" t="str">
        <x:v>BY-SCN-P1-007-佳木斯66米深空测控站-V-MASTER</x:v>
      </x:c>
      <x:c r="G33" s="55" t="str">
        <x:v>OPS</x:v>
      </x:c>
      <x:c r="H33" s="55" t="str">
        <x:v>SCN-VIEW</x:v>
      </x:c>
      <x:c r="I33" s="55" t="str">
        <x:v>P1</x:v>
      </x:c>
      <x:c r="J33" s="47" t="str">
        <x:v>场1,5,8,11；镜003,035,053,077</x:v>
      </x:c>
      <x:c r="K33" s="47" t="str">
        <x:v>相对母图的值班操作区，用于镜头连续和空间核验。</x:v>
      </x:c>
      <x:c r="L33" s="47" t="str">
        <x:v>OPS</x:v>
      </x:c>
      <x:c r="M33" s="47" t="str">
        <x:v>母图确认后生成；与母图做几何、材料、光影和设备位置一致性检查。</x:v>
      </x:c>
      <x:c r="N33" s="47" t="str">
        <x:v>已确认推荐口径</x:v>
      </x:c>
      <x:c r="O33" s="47" t="str">
        <x:v>阶段2B在母图确认后生成本视图。</x:v>
      </x:c>
    </x:row>
    <x:row r="34" ht="46" customHeight="1">
      <x:c r="A34" s="50" t="n">
        <x:v>30</x:v>
      </x:c>
      <x:c r="B34" s="50" t="n">
        <x:v>1</x:v>
      </x:c>
      <x:c r="C34" s="50" t="str">
        <x:v>场景资产组</x:v>
      </x:c>
      <x:c r="D34" s="36" t="str">
        <x:v>喀什35米深空测控站</x:v>
      </x:c>
      <x:c r="E34" s="36" t="str">
        <x:v>BY-SCN-P1-008-喀什35米深空测控站</x:v>
      </x:c>
      <x:c r="F34" s="36" t="str"/>
      <x:c r="G34" s="50" t="str"/>
      <x:c r="H34" s="50" t="str">
        <x:v>SCN</x:v>
      </x:c>
      <x:c r="I34" s="50" t="str">
        <x:v>P1</x:v>
      </x:c>
      <x:c r="J34" s="36" t="str">
        <x:v>场4,5,11；镜022,035,077</x:v>
      </x:c>
      <x:c r="K34" s="36" t="str">
        <x:v>深空测控天线与备份链路工作区。</x:v>
      </x:c>
      <x:c r="L34" s="36" t="str">
        <x:v>降轨接力；动力下降备份；月面起飞双目标跟踪；地月返回</x:v>
      </x:c>
      <x:c r="M34" s="36" t="str">
        <x:v>天线MASTER、跟踪状态视图</x:v>
      </x:c>
      <x:c r="N34" s="36" t="str">
        <x:v>已确认生产方向</x:v>
      </x:c>
      <x:c r="O34" s="36" t="str">
        <x:v>阶段2A重入后按生产包执行</x:v>
      </x:c>
    </x:row>
    <x:row r="35" ht="46" customHeight="1">
      <x:c r="A35" s="54" t="n">
        <x:v>31</x:v>
      </x:c>
      <x:c r="B35" s="54" t="n">
        <x:v>2</x:v>
      </x:c>
      <x:c r="C35" s="54" t="str">
        <x:v>场景母图</x:v>
      </x:c>
      <x:c r="D35" s="46" t="str">
        <x:v>↳ 母图｜喀什35米深空测控站</x:v>
      </x:c>
      <x:c r="E35" s="46" t="str">
        <x:v>BY-SCN-P1-008-喀什35米深空测控站-V-MASTER</x:v>
      </x:c>
      <x:c r="F35" s="46" t="str">
        <x:v>BY-SCN-P1-008-喀什35米深空测控站</x:v>
      </x:c>
      <x:c r="G35" s="54" t="str">
        <x:v>MASTER</x:v>
      </x:c>
      <x:c r="H35" s="54" t="str">
        <x:v>SCN-VIEW</x:v>
      </x:c>
      <x:c r="I35" s="54" t="str">
        <x:v>P1</x:v>
      </x:c>
      <x:c r="J35" s="46" t="str">
        <x:v>场4,5,11；镜022,035,077</x:v>
      </x:c>
      <x:c r="K35" s="46" t="str">
        <x:v>该场景的统一母图，锁定空间、尺度、材料、光向和主构图。</x:v>
      </x:c>
      <x:c r="L35" s="46" t="str">
        <x:v>MASTER</x:v>
      </x:c>
      <x:c r="M35" s="46" t="str">
        <x:v>先确认母图，再进入多视角和状态图生产。</x:v>
      </x:c>
      <x:c r="N35" s="46" t="str">
        <x:v>已确认推荐口径</x:v>
      </x:c>
      <x:c r="O35" s="46" t="str">
        <x:v>阶段2B先生成并确认本母图。</x:v>
      </x:c>
    </x:row>
    <x:row r="36" ht="36" customHeight="1">
      <x:c r="A36" s="55" t="n">
        <x:v>32</x:v>
      </x:c>
      <x:c r="B36" s="55" t="n">
        <x:v>3</x:v>
      </x:c>
      <x:c r="C36" s="55" t="str">
        <x:v>场景多视角</x:v>
      </x:c>
      <x:c r="D36" s="47" t="str">
        <x:v>  ↳ 视图｜天线长焦</x:v>
      </x:c>
      <x:c r="E36" s="47" t="str">
        <x:v>BY-SCN-P1-008-喀什35米深空测控站-V-ANTENNA-LONG</x:v>
      </x:c>
      <x:c r="F36" s="47" t="str">
        <x:v>BY-SCN-P1-008-喀什35米深空测控站-V-MASTER</x:v>
      </x:c>
      <x:c r="G36" s="55" t="str">
        <x:v>ANTENNA-LONG</x:v>
      </x:c>
      <x:c r="H36" s="55" t="str">
        <x:v>SCN-VIEW</x:v>
      </x:c>
      <x:c r="I36" s="55" t="str">
        <x:v>P1</x:v>
      </x:c>
      <x:c r="J36" s="47" t="str">
        <x:v>场4,5,11；镜022,035,077</x:v>
      </x:c>
      <x:c r="K36" s="47" t="str">
        <x:v>相对母图的天线长焦，用于镜头连续和空间核验。</x:v>
      </x:c>
      <x:c r="L36" s="47" t="str">
        <x:v>ANTENNA-LONG</x:v>
      </x:c>
      <x:c r="M36" s="47" t="str">
        <x:v>母图确认后生成；与母图做几何、材料、光影和设备位置一致性检查。</x:v>
      </x:c>
      <x:c r="N36" s="47" t="str">
        <x:v>已确认推荐口径</x:v>
      </x:c>
      <x:c r="O36" s="47" t="str">
        <x:v>阶段2B在母图确认后生成本视图。</x:v>
      </x:c>
    </x:row>
    <x:row r="37" ht="36" customHeight="1">
      <x:c r="A37" s="55" t="n">
        <x:v>33</x:v>
      </x:c>
      <x:c r="B37" s="55" t="n">
        <x:v>3</x:v>
      </x:c>
      <x:c r="C37" s="55" t="str">
        <x:v>场景多视角</x:v>
      </x:c>
      <x:c r="D37" s="47" t="str">
        <x:v>  ↳ 视图｜值班操作区</x:v>
      </x:c>
      <x:c r="E37" s="47" t="str">
        <x:v>BY-SCN-P1-008-喀什35米深空测控站-V-OPS</x:v>
      </x:c>
      <x:c r="F37" s="47" t="str">
        <x:v>BY-SCN-P1-008-喀什35米深空测控站-V-MASTER</x:v>
      </x:c>
      <x:c r="G37" s="55" t="str">
        <x:v>OPS</x:v>
      </x:c>
      <x:c r="H37" s="55" t="str">
        <x:v>SCN-VIEW</x:v>
      </x:c>
      <x:c r="I37" s="55" t="str">
        <x:v>P1</x:v>
      </x:c>
      <x:c r="J37" s="47" t="str">
        <x:v>场4,5,11；镜022,035,077</x:v>
      </x:c>
      <x:c r="K37" s="47" t="str">
        <x:v>相对母图的值班操作区，用于镜头连续和空间核验。</x:v>
      </x:c>
      <x:c r="L37" s="47" t="str">
        <x:v>OPS</x:v>
      </x:c>
      <x:c r="M37" s="47" t="str">
        <x:v>母图确认后生成；与母图做几何、材料、光影和设备位置一致性检查。</x:v>
      </x:c>
      <x:c r="N37" s="47" t="str">
        <x:v>已确认推荐口径</x:v>
      </x:c>
      <x:c r="O37" s="47" t="str">
        <x:v>阶段2B在母图确认后生成本视图。</x:v>
      </x:c>
    </x:row>
    <x:row r="38" ht="46" customHeight="1">
      <x:c r="A38" s="50" t="n">
        <x:v>34</x:v>
      </x:c>
      <x:c r="B38" s="50" t="n">
        <x:v>1</x:v>
      </x:c>
      <x:c r="C38" s="50" t="str">
        <x:v>场景资产组</x:v>
      </x:c>
      <x:c r="D38" s="36" t="str">
        <x:v>VLBI测轨席／天衡界面</x:v>
      </x:c>
      <x:c r="E38" s="36" t="str">
        <x:v>BY-SCN-P1-009-VLBI测轨席</x:v>
      </x:c>
      <x:c r="F38" s="36" t="str"/>
      <x:c r="G38" s="50" t="str"/>
      <x:c r="H38" s="50" t="str">
        <x:v>SCN</x:v>
      </x:c>
      <x:c r="I38" s="50" t="str">
        <x:v>P1</x:v>
      </x:c>
      <x:c r="J38" s="36" t="str">
        <x:v>场12；镜083</x:v>
      </x:c>
      <x:c r="K38" s="36" t="str">
        <x:v>多站测轨数据汇聚与轨道解算校核席位。</x:v>
      </x:c>
      <x:c r="L38" s="36" t="str">
        <x:v>降轨解算；下降外测；起飞窗口；再交会校核；返回走廊</x:v>
      </x:c>
      <x:c r="M38" s="36" t="str">
        <x:v>席位MASTER和控制台局部</x:v>
      </x:c>
      <x:c r="N38" s="36" t="str">
        <x:v>已确认生产方向</x:v>
      </x:c>
      <x:c r="O38" s="36" t="str">
        <x:v>阶段2A重入后按生产包执行</x:v>
      </x:c>
    </x:row>
    <x:row r="39" ht="46" customHeight="1">
      <x:c r="A39" s="54" t="n">
        <x:v>35</x:v>
      </x:c>
      <x:c r="B39" s="54" t="n">
        <x:v>2</x:v>
      </x:c>
      <x:c r="C39" s="54" t="str">
        <x:v>场景母图</x:v>
      </x:c>
      <x:c r="D39" s="46" t="str">
        <x:v>↳ 母图｜VLBI测轨席／天衡界面</x:v>
      </x:c>
      <x:c r="E39" s="46" t="str">
        <x:v>BY-SCN-P1-009-VLBI测轨席-V-MASTER</x:v>
      </x:c>
      <x:c r="F39" s="46" t="str">
        <x:v>BY-SCN-P1-009-VLBI测轨席</x:v>
      </x:c>
      <x:c r="G39" s="54" t="str">
        <x:v>MASTER</x:v>
      </x:c>
      <x:c r="H39" s="54" t="str">
        <x:v>SCN-VIEW</x:v>
      </x:c>
      <x:c r="I39" s="54" t="str">
        <x:v>P1</x:v>
      </x:c>
      <x:c r="J39" s="46" t="str">
        <x:v>场12；镜083</x:v>
      </x:c>
      <x:c r="K39" s="46" t="str">
        <x:v>该场景的统一母图，锁定空间、尺度、材料、光向和主构图。</x:v>
      </x:c>
      <x:c r="L39" s="46" t="str">
        <x:v>MASTER</x:v>
      </x:c>
      <x:c r="M39" s="46" t="str">
        <x:v>先确认母图，再进入多视角和状态图生产。</x:v>
      </x:c>
      <x:c r="N39" s="46" t="str">
        <x:v>已确认推荐口径</x:v>
      </x:c>
      <x:c r="O39" s="46" t="str">
        <x:v>阶段2B先生成并确认本母图。</x:v>
      </x:c>
    </x:row>
    <x:row r="40" ht="46" customHeight="1">
      <x:c r="A40" s="50" t="n">
        <x:v>36</x:v>
      </x:c>
      <x:c r="B40" s="50" t="n">
        <x:v>1</x:v>
      </x:c>
      <x:c r="C40" s="50" t="str">
        <x:v>场景资产组</x:v>
      </x:c>
      <x:c r="D40" s="36" t="str">
        <x:v>北京飞控地质席</x:v>
      </x:c>
      <x:c r="E40" s="36" t="str">
        <x:v>BY-SCN-P1-010-北京飞控地质席</x:v>
      </x:c>
      <x:c r="F40" s="36" t="str"/>
      <x:c r="G40" s="50" t="str"/>
      <x:c r="H40" s="50" t="str">
        <x:v>SCN</x:v>
      </x:c>
      <x:c r="I40" s="50" t="str">
        <x:v>P1</x:v>
      </x:c>
      <x:c r="J40" s="36" t="str">
        <x:v>场9；镜061</x:v>
      </x:c>
      <x:c r="K40" s="36" t="str">
        <x:v>地质专家把落区图与月面摄像叠合的工作席。</x:v>
      </x:c>
      <x:c r="L40" s="36" t="str">
        <x:v>路线建议；样品点核对；载荷遥测</x:v>
      </x:c>
      <x:c r="M40" s="36" t="str">
        <x:v>席位MASTER、分屏局部</x:v>
      </x:c>
      <x:c r="N40" s="36" t="str">
        <x:v>已确认生产方向</x:v>
      </x:c>
      <x:c r="O40" s="36" t="str">
        <x:v>阶段2A重入后按生产包执行</x:v>
      </x:c>
    </x:row>
    <x:row r="41" ht="46" customHeight="1">
      <x:c r="A41" s="54" t="n">
        <x:v>37</x:v>
      </x:c>
      <x:c r="B41" s="54" t="n">
        <x:v>2</x:v>
      </x:c>
      <x:c r="C41" s="54" t="str">
        <x:v>场景母图</x:v>
      </x:c>
      <x:c r="D41" s="46" t="str">
        <x:v>↳ 母图｜北京飞控地质席</x:v>
      </x:c>
      <x:c r="E41" s="46" t="str">
        <x:v>BY-SCN-P1-010-北京飞控地质席-V-MASTER</x:v>
      </x:c>
      <x:c r="F41" s="46" t="str">
        <x:v>BY-SCN-P1-010-北京飞控地质席</x:v>
      </x:c>
      <x:c r="G41" s="54" t="str">
        <x:v>MASTER</x:v>
      </x:c>
      <x:c r="H41" s="54" t="str">
        <x:v>SCN-VIEW</x:v>
      </x:c>
      <x:c r="I41" s="54" t="str">
        <x:v>P1</x:v>
      </x:c>
      <x:c r="J41" s="46" t="str">
        <x:v>场9；镜061</x:v>
      </x:c>
      <x:c r="K41" s="46" t="str">
        <x:v>该场景的统一母图，锁定空间、尺度、材料、光向和主构图。</x:v>
      </x:c>
      <x:c r="L41" s="46" t="str">
        <x:v>MASTER</x:v>
      </x:c>
      <x:c r="M41" s="46" t="str">
        <x:v>先确认母图，再进入多视角和状态图生产。</x:v>
      </x:c>
      <x:c r="N41" s="46" t="str">
        <x:v>已确认推荐口径</x:v>
      </x:c>
      <x:c r="O41" s="46" t="str">
        <x:v>阶段2B先生成并确认本母图。</x:v>
      </x:c>
    </x:row>
    <x:row r="42" ht="46" customHeight="1">
      <x:c r="A42" s="50" t="n">
        <x:v>38</x:v>
      </x:c>
      <x:c r="B42" s="50" t="n">
        <x:v>1</x:v>
      </x:c>
      <x:c r="C42" s="50" t="str">
        <x:v>场景资产组</x:v>
      </x:c>
      <x:c r="D42" s="36" t="str">
        <x:v>飞控中心媒体区</x:v>
      </x:c>
      <x:c r="E42" s="36" t="str">
        <x:v>BY-SCN-P1-003-飞控中心媒体区</x:v>
      </x:c>
      <x:c r="F42" s="36" t="str"/>
      <x:c r="G42" s="50" t="str"/>
      <x:c r="H42" s="50" t="str">
        <x:v>SCN</x:v>
      </x:c>
      <x:c r="I42" s="50" t="str">
        <x:v>P1</x:v>
      </x:c>
      <x:c r="J42" s="36" t="str">
        <x:v>场8；镜056</x:v>
      </x:c>
      <x:c r="K42" s="36" t="str">
        <x:v>记者站位、任务屏和媒体工作区</x:v>
      </x:c>
      <x:c r="L42" s="36" t="str">
        <x:v>记者直播</x:v>
      </x:c>
      <x:c r="M42" s="36" t="str">
        <x:v>母图SV0</x:v>
      </x:c>
      <x:c r="N42" s="36" t="str">
        <x:v>已确认</x:v>
      </x:c>
      <x:c r="O42" s="36" t="str">
        <x:v>新闻支持资产包</x:v>
      </x:c>
    </x:row>
    <x:row r="43" ht="46" customHeight="1">
      <x:c r="A43" s="54" t="n">
        <x:v>39</x:v>
      </x:c>
      <x:c r="B43" s="54" t="n">
        <x:v>2</x:v>
      </x:c>
      <x:c r="C43" s="54" t="str">
        <x:v>场景母图</x:v>
      </x:c>
      <x:c r="D43" s="46" t="str">
        <x:v>↳ 母图｜飞控中心媒体区</x:v>
      </x:c>
      <x:c r="E43" s="46" t="str">
        <x:v>BY-SCN-P1-003-飞控中心媒体区-V-MASTER</x:v>
      </x:c>
      <x:c r="F43" s="46" t="str">
        <x:v>BY-SCN-P1-003-飞控中心媒体区</x:v>
      </x:c>
      <x:c r="G43" s="54" t="str">
        <x:v>MASTER</x:v>
      </x:c>
      <x:c r="H43" s="54" t="str">
        <x:v>SCN-VIEW</x:v>
      </x:c>
      <x:c r="I43" s="54" t="str">
        <x:v>P1</x:v>
      </x:c>
      <x:c r="J43" s="46" t="str">
        <x:v>场8；镜056</x:v>
      </x:c>
      <x:c r="K43" s="46" t="str">
        <x:v>该场景的统一母图，锁定空间、尺度、材料、光向和主构图。</x:v>
      </x:c>
      <x:c r="L43" s="46" t="str">
        <x:v>MASTER</x:v>
      </x:c>
      <x:c r="M43" s="46" t="str">
        <x:v>先确认母图，再进入多视角和状态图生产。</x:v>
      </x:c>
      <x:c r="N43" s="46" t="str">
        <x:v>V1.3.1重校已确认</x:v>
      </x:c>
      <x:c r="O43" s="46" t="str">
        <x:v>阶段2B先生成并确认本母图。</x:v>
      </x:c>
    </x:row>
    <x:row r="44" ht="46" customHeight="1">
      <x:c r="A44" s="50" t="n">
        <x:v>40</x:v>
      </x:c>
      <x:c r="B44" s="50" t="n">
        <x:v>1</x:v>
      </x:c>
      <x:c r="C44" s="50" t="str">
        <x:v>场景资产组</x:v>
      </x:c>
      <x:c r="D44" s="36" t="str">
        <x:v>月面着陆与作业区</x:v>
      </x:c>
      <x:c r="E44" s="36" t="str">
        <x:v>BY-SCN-P0-004-月面着陆与作业区</x:v>
      </x:c>
      <x:c r="F44" s="36" t="str"/>
      <x:c r="G44" s="50" t="str"/>
      <x:c r="H44" s="50" t="str">
        <x:v>SCN</x:v>
      </x:c>
      <x:c r="I44" s="50" t="str">
        <x:v>P0</x:v>
      </x:c>
      <x:c r="J44" s="36" t="str">
        <x:v>场5,6,7,8,9,10,11；镜027,030,032,033,034,037,038,039,042,047,048,049,050,051,052,053,054,055,056,057,058,059,060,061,062,064,066,067,068,069,074,075</x:v>
      </x:c>
      <x:c r="K44" s="36" t="str">
        <x:v>登月舱落点、舷梯、摄像机、国旗、采样、设备和羽流安全区</x:v>
      </x:c>
      <x:c r="L44" s="36" t="str">
        <x:v>下降;着陆;第一步;国旗;科学;起飞</x:v>
      </x:c>
      <x:c r="M44" s="36" t="str">
        <x:v>母图与SV2标准五视图</x:v>
      </x:c>
      <x:c r="N44" s="36" t="str">
        <x:v>已确认</x:v>
      </x:c>
      <x:c r="O44" s="36" t="str">
        <x:v>旧母图只作构型候选；以艺术化光照口径重新校准MASTER</x:v>
      </x:c>
    </x:row>
    <x:row r="45" ht="46" customHeight="1">
      <x:c r="A45" s="54" t="n">
        <x:v>41</x:v>
      </x:c>
      <x:c r="B45" s="54" t="n">
        <x:v>2</x:v>
      </x:c>
      <x:c r="C45" s="54" t="str">
        <x:v>场景母图</x:v>
      </x:c>
      <x:c r="D45" s="46" t="str">
        <x:v>↳ 母图｜月面着陆与作业区</x:v>
      </x:c>
      <x:c r="E45" s="46" t="str">
        <x:v>BY-SCN-P0-004-月面着陆与作业区-V-MASTER</x:v>
      </x:c>
      <x:c r="F45" s="46" t="str">
        <x:v>BY-SCN-P0-004-月面着陆与作业区</x:v>
      </x:c>
      <x:c r="G45" s="54" t="str">
        <x:v>MASTER</x:v>
      </x:c>
      <x:c r="H45" s="54" t="str">
        <x:v>SCN-VIEW</x:v>
      </x:c>
      <x:c r="I45" s="54" t="str">
        <x:v>P0</x:v>
      </x:c>
      <x:c r="J45" s="46" t="str">
        <x:v>场5,6,7,8,9,10,11；镜027,030,032,033,034,037,038,039,042,047,048,049,050,051,052,053,054,055,056,057,058,059,060,061,062,064,066,067,068,069,074,075</x:v>
      </x:c>
      <x:c r="K45" s="46" t="str">
        <x:v>该场景的统一母图，锁定空间、尺度、材料、光向和主构图。</x:v>
      </x:c>
      <x:c r="L45" s="46" t="str">
        <x:v>MASTER</x:v>
      </x:c>
      <x:c r="M45" s="46" t="str">
        <x:v>先确认母图，再进入多视角和状态图生产。</x:v>
      </x:c>
      <x:c r="N45" s="46" t="str">
        <x:v>V1.3.1重校已确认</x:v>
      </x:c>
      <x:c r="O45" s="46" t="str">
        <x:v>阶段2B先生成并确认本母图。</x:v>
      </x:c>
    </x:row>
    <x:row r="46" ht="36" customHeight="1">
      <x:c r="A46" s="55" t="n">
        <x:v>42</x:v>
      </x:c>
      <x:c r="B46" s="55" t="n">
        <x:v>3</x:v>
      </x:c>
      <x:c r="C46" s="55" t="str">
        <x:v>场景多视角</x:v>
      </x:c>
      <x:c r="D46" s="47" t="str">
        <x:v>  ↳ 视图｜正视图</x:v>
      </x:c>
      <x:c r="E46" s="47" t="str">
        <x:v>BY-SCN-P0-004-月面着陆与作业区-V-FRONT</x:v>
      </x:c>
      <x:c r="F46" s="47" t="str">
        <x:v>BY-SCN-P0-004-月面着陆与作业区-V-MASTER</x:v>
      </x:c>
      <x:c r="G46" s="55" t="str">
        <x:v>FRONT</x:v>
      </x:c>
      <x:c r="H46" s="55" t="str">
        <x:v>SCN-VIEW</x:v>
      </x:c>
      <x:c r="I46" s="55" t="str">
        <x:v>P0</x:v>
      </x:c>
      <x:c r="J46" s="47" t="str">
        <x:v>场5,6,7,8,9,10,11；镜027,030,032,033,034,037,038,039,042,047,048,049,050,051,052,053,054,055,056,057,058,059,060,061,062,064,066,067,068,069,074,075</x:v>
      </x:c>
      <x:c r="K46" s="47" t="str">
        <x:v>相对母图的正视图，用于镜头连续和空间核验。</x:v>
      </x:c>
      <x:c r="L46" s="47" t="str">
        <x:v>FRONT</x:v>
      </x:c>
      <x:c r="M46" s="47" t="str">
        <x:v>母图确认后生成；与母图做几何、材料、光影和设备位置一致性检查。</x:v>
      </x:c>
      <x:c r="N46" s="47" t="str">
        <x:v>V1.3.1重校已确认</x:v>
      </x:c>
      <x:c r="O46" s="47" t="str">
        <x:v>阶段2B在母图确认后生成本视图。</x:v>
      </x:c>
    </x:row>
    <x:row r="47" ht="36" customHeight="1">
      <x:c r="A47" s="55" t="n">
        <x:v>43</x:v>
      </x:c>
      <x:c r="B47" s="55" t="n">
        <x:v>3</x:v>
      </x:c>
      <x:c r="C47" s="55" t="str">
        <x:v>场景多视角</x:v>
      </x:c>
      <x:c r="D47" s="47" t="str">
        <x:v>  ↳ 视图｜后视图</x:v>
      </x:c>
      <x:c r="E47" s="47" t="str">
        <x:v>BY-SCN-P0-004-月面着陆与作业区-V-BACK</x:v>
      </x:c>
      <x:c r="F47" s="47" t="str">
        <x:v>BY-SCN-P0-004-月面着陆与作业区-V-MASTER</x:v>
      </x:c>
      <x:c r="G47" s="55" t="str">
        <x:v>BACK</x:v>
      </x:c>
      <x:c r="H47" s="55" t="str">
        <x:v>SCN-VIEW</x:v>
      </x:c>
      <x:c r="I47" s="55" t="str">
        <x:v>P0</x:v>
      </x:c>
      <x:c r="J47" s="47" t="str">
        <x:v>场5,6,7,8,9,10,11；镜027,030,032,033,034,037,038,039,042,047,048,049,050,051,052,053,054,055,056,057,058,059,060,061,062,064,066,067,068,069,074,075</x:v>
      </x:c>
      <x:c r="K47" s="47" t="str">
        <x:v>相对母图的后视图，用于镜头连续和空间核验。</x:v>
      </x:c>
      <x:c r="L47" s="47" t="str">
        <x:v>BACK</x:v>
      </x:c>
      <x:c r="M47" s="47" t="str">
        <x:v>母图确认后生成；与母图做几何、材料、光影和设备位置一致性检查。</x:v>
      </x:c>
      <x:c r="N47" s="47" t="str">
        <x:v>V1.3.1重校已确认</x:v>
      </x:c>
      <x:c r="O47" s="47" t="str">
        <x:v>阶段2B在母图确认后生成本视图。</x:v>
      </x:c>
    </x:row>
    <x:row r="48" ht="36" customHeight="1">
      <x:c r="A48" s="55" t="n">
        <x:v>44</x:v>
      </x:c>
      <x:c r="B48" s="55" t="n">
        <x:v>3</x:v>
      </x:c>
      <x:c r="C48" s="55" t="str">
        <x:v>场景多视角</x:v>
      </x:c>
      <x:c r="D48" s="47" t="str">
        <x:v>  ↳ 视图｜左视图</x:v>
      </x:c>
      <x:c r="E48" s="47" t="str">
        <x:v>BY-SCN-P0-004-月面着陆与作业区-V-LEFT</x:v>
      </x:c>
      <x:c r="F48" s="47" t="str">
        <x:v>BY-SCN-P0-004-月面着陆与作业区-V-MASTER</x:v>
      </x:c>
      <x:c r="G48" s="55" t="str">
        <x:v>LEFT</x:v>
      </x:c>
      <x:c r="H48" s="55" t="str">
        <x:v>SCN-VIEW</x:v>
      </x:c>
      <x:c r="I48" s="55" t="str">
        <x:v>P0</x:v>
      </x:c>
      <x:c r="J48" s="47" t="str">
        <x:v>场5,6,7,8,9,10,11；镜027,030,032,033,034,037,038,039,042,047,048,049,050,051,052,053,054,055,056,057,058,059,060,061,062,064,066,067,068,069,074,075</x:v>
      </x:c>
      <x:c r="K48" s="47" t="str">
        <x:v>相对母图的左视图，用于镜头连续和空间核验。</x:v>
      </x:c>
      <x:c r="L48" s="47" t="str">
        <x:v>LEFT</x:v>
      </x:c>
      <x:c r="M48" s="47" t="str">
        <x:v>母图确认后生成；与母图做几何、材料、光影和设备位置一致性检查。</x:v>
      </x:c>
      <x:c r="N48" s="47" t="str">
        <x:v>V1.3.1重校已确认</x:v>
      </x:c>
      <x:c r="O48" s="47" t="str">
        <x:v>阶段2B在母图确认后生成本视图。</x:v>
      </x:c>
    </x:row>
    <x:row r="49" ht="36" customHeight="1">
      <x:c r="A49" s="55" t="n">
        <x:v>45</x:v>
      </x:c>
      <x:c r="B49" s="55" t="n">
        <x:v>3</x:v>
      </x:c>
      <x:c r="C49" s="55" t="str">
        <x:v>场景多视角</x:v>
      </x:c>
      <x:c r="D49" s="47" t="str">
        <x:v>  ↳ 视图｜右视图</x:v>
      </x:c>
      <x:c r="E49" s="47" t="str">
        <x:v>BY-SCN-P0-004-月面着陆与作业区-V-RIGHT</x:v>
      </x:c>
      <x:c r="F49" s="47" t="str">
        <x:v>BY-SCN-P0-004-月面着陆与作业区-V-MASTER</x:v>
      </x:c>
      <x:c r="G49" s="55" t="str">
        <x:v>RIGHT</x:v>
      </x:c>
      <x:c r="H49" s="55" t="str">
        <x:v>SCN-VIEW</x:v>
      </x:c>
      <x:c r="I49" s="55" t="str">
        <x:v>P0</x:v>
      </x:c>
      <x:c r="J49" s="47" t="str">
        <x:v>场5,6,7,8,9,10,11；镜027,030,032,033,034,037,038,039,042,047,048,049,050,051,052,053,054,055,056,057,058,059,060,061,062,064,066,067,068,069,074,075</x:v>
      </x:c>
      <x:c r="K49" s="47" t="str">
        <x:v>相对母图的右视图，用于镜头连续和空间核验。</x:v>
      </x:c>
      <x:c r="L49" s="47" t="str">
        <x:v>RIGHT</x:v>
      </x:c>
      <x:c r="M49" s="47" t="str">
        <x:v>母图确认后生成；与母图做几何、材料、光影和设备位置一致性检查。</x:v>
      </x:c>
      <x:c r="N49" s="47" t="str">
        <x:v>V1.3.1重校已确认</x:v>
      </x:c>
      <x:c r="O49" s="47" t="str">
        <x:v>阶段2B在母图确认后生成本视图。</x:v>
      </x:c>
    </x:row>
    <x:row r="50" ht="36" customHeight="1">
      <x:c r="A50" s="55" t="n">
        <x:v>46</x:v>
      </x:c>
      <x:c r="B50" s="55" t="n">
        <x:v>3</x:v>
      </x:c>
      <x:c r="C50" s="55" t="str">
        <x:v>场景多视角</x:v>
      </x:c>
      <x:c r="D50" s="47" t="str">
        <x:v>  ↳ 视图｜顶视图</x:v>
      </x:c>
      <x:c r="E50" s="47" t="str">
        <x:v>BY-SCN-P0-004-月面着陆与作业区-V-TOP</x:v>
      </x:c>
      <x:c r="F50" s="47" t="str">
        <x:v>BY-SCN-P0-004-月面着陆与作业区-V-MASTER</x:v>
      </x:c>
      <x:c r="G50" s="55" t="str">
        <x:v>TOP</x:v>
      </x:c>
      <x:c r="H50" s="55" t="str">
        <x:v>SCN-VIEW</x:v>
      </x:c>
      <x:c r="I50" s="55" t="str">
        <x:v>P0</x:v>
      </x:c>
      <x:c r="J50" s="47" t="str">
        <x:v>场5,6,7,8,9,10,11；镜027,030,032,033,034,037,038,039,042,047,048,049,050,051,052,053,054,055,056,057,058,059,060,061,062,064,066,067,068,069,074,075</x:v>
      </x:c>
      <x:c r="K50" s="47" t="str">
        <x:v>相对母图的顶视图，用于镜头连续和空间核验。</x:v>
      </x:c>
      <x:c r="L50" s="47" t="str">
        <x:v>TOP</x:v>
      </x:c>
      <x:c r="M50" s="47" t="str">
        <x:v>母图确认后生成；与母图做几何、材料、光影和设备位置一致性检查。</x:v>
      </x:c>
      <x:c r="N50" s="47" t="str">
        <x:v>V1.3.1重校已确认</x:v>
      </x:c>
      <x:c r="O50" s="47" t="str">
        <x:v>阶段2B在母图确认后生成本视图。</x:v>
      </x:c>
    </x:row>
    <x:row r="51" ht="46" customHeight="1">
      <x:c r="A51" s="50" t="n">
        <x:v>47</x:v>
      </x:c>
      <x:c r="B51" s="50" t="n">
        <x:v>1</x:v>
      </x:c>
      <x:c r="C51" s="50" t="str">
        <x:v>场景资产组</x:v>
      </x:c>
      <x:c r="D51" s="36" t="str">
        <x:v>月面科学任务路线与采样点</x:v>
      </x:c>
      <x:c r="E51" s="36" t="str">
        <x:v>BY-SCN-P1-005-月面后段科考区</x:v>
      </x:c>
      <x:c r="F51" s="36" t="str"/>
      <x:c r="G51" s="50" t="str"/>
      <x:c r="H51" s="50" t="str">
        <x:v>SCN</x:v>
      </x:c>
      <x:c r="I51" s="50" t="str">
        <x:v>P1</x:v>
      </x:c>
      <x:c r="J51" s="36" t="str">
        <x:v>场9；镜058,059,060,061,062,064,066,067</x:v>
      </x:c>
      <x:c r="K51" s="36" t="str">
        <x:v>低起伏地形、行驶路线与车辙</x:v>
      </x:c>
      <x:c r="L51" s="36" t="str">
        <x:v>月球车卸载；第一采样点；接触带采样；载荷布设；返程闭环</x:v>
      </x:c>
      <x:c r="M51" s="36" t="str">
        <x:v>母图与SV1路径视图</x:v>
      </x:c>
      <x:c r="N51" s="36" t="str">
        <x:v>已确认</x:v>
      </x:c>
      <x:c r="O51" s="36" t="str">
        <x:v>与月面MASTER共用光向和地质材料，不另造独立天体环境</x:v>
      </x:c>
    </x:row>
    <x:row r="52" ht="46" customHeight="1">
      <x:c r="A52" s="54" t="n">
        <x:v>48</x:v>
      </x:c>
      <x:c r="B52" s="54" t="n">
        <x:v>2</x:v>
      </x:c>
      <x:c r="C52" s="54" t="str">
        <x:v>场景母图</x:v>
      </x:c>
      <x:c r="D52" s="46" t="str">
        <x:v>↳ 母图｜月面科学任务路线与采样点</x:v>
      </x:c>
      <x:c r="E52" s="46" t="str">
        <x:v>BY-SCN-P1-005-月面后段科考区-V-MASTER</x:v>
      </x:c>
      <x:c r="F52" s="46" t="str">
        <x:v>BY-SCN-P1-005-月面后段科考区</x:v>
      </x:c>
      <x:c r="G52" s="54" t="str">
        <x:v>MASTER</x:v>
      </x:c>
      <x:c r="H52" s="54" t="str">
        <x:v>SCN-VIEW</x:v>
      </x:c>
      <x:c r="I52" s="54" t="str">
        <x:v>P1</x:v>
      </x:c>
      <x:c r="J52" s="46" t="str">
        <x:v>场9；镜058,059,060,061,062,064,066,067</x:v>
      </x:c>
      <x:c r="K52" s="46" t="str">
        <x:v>该场景的统一母图，锁定空间、尺度、材料、光向和主构图。</x:v>
      </x:c>
      <x:c r="L52" s="46" t="str">
        <x:v>MASTER</x:v>
      </x:c>
      <x:c r="M52" s="46" t="str">
        <x:v>先确认母图，再进入多视角和状态图生产。</x:v>
      </x:c>
      <x:c r="N52" s="46" t="str">
        <x:v>V1.3.1重校已确认</x:v>
      </x:c>
      <x:c r="O52" s="46" t="str">
        <x:v>阶段2B先生成并确认本母图。</x:v>
      </x:c>
    </x:row>
    <x:row r="53" ht="36" customHeight="1">
      <x:c r="A53" s="55" t="n">
        <x:v>49</x:v>
      </x:c>
      <x:c r="B53" s="55" t="n">
        <x:v>3</x:v>
      </x:c>
      <x:c r="C53" s="55" t="str">
        <x:v>场景多视角</x:v>
      </x:c>
      <x:c r="D53" s="47" t="str">
        <x:v>  ↳ 视图｜科考路线前向</x:v>
      </x:c>
      <x:c r="E53" s="47" t="str">
        <x:v>BY-SCN-P1-005-月面后段科考区-V-PATH-FRONT</x:v>
      </x:c>
      <x:c r="F53" s="47" t="str">
        <x:v>BY-SCN-P1-005-月面后段科考区-V-MASTER</x:v>
      </x:c>
      <x:c r="G53" s="55" t="str">
        <x:v>PATH-FRONT</x:v>
      </x:c>
      <x:c r="H53" s="55" t="str">
        <x:v>SCN-VIEW</x:v>
      </x:c>
      <x:c r="I53" s="55" t="str">
        <x:v>P1</x:v>
      </x:c>
      <x:c r="J53" s="47" t="str">
        <x:v>场9；镜058,059,060,061,062,064,066,067</x:v>
      </x:c>
      <x:c r="K53" s="47" t="str">
        <x:v>相对母图的科考路线前向，用于镜头连续和空间核验。</x:v>
      </x:c>
      <x:c r="L53" s="47" t="str">
        <x:v>PATH-FRONT</x:v>
      </x:c>
      <x:c r="M53" s="47" t="str">
        <x:v>母图确认后生成；与母图做几何、材料、光影和设备位置一致性检查。</x:v>
      </x:c>
      <x:c r="N53" s="47" t="str">
        <x:v>V1.3.1重校已确认</x:v>
      </x:c>
      <x:c r="O53" s="47" t="str">
        <x:v>阶段2B在母图确认后生成本视图。</x:v>
      </x:c>
    </x:row>
    <x:row r="54" ht="36" customHeight="1">
      <x:c r="A54" s="55" t="n">
        <x:v>50</x:v>
      </x:c>
      <x:c r="B54" s="55" t="n">
        <x:v>3</x:v>
      </x:c>
      <x:c r="C54" s="55" t="str">
        <x:v>场景多视角</x:v>
      </x:c>
      <x:c r="D54" s="47" t="str">
        <x:v>  ↳ 视图｜科考路线侧向</x:v>
      </x:c>
      <x:c r="E54" s="47" t="str">
        <x:v>BY-SCN-P1-005-月面后段科考区-V-PATH-SIDE</x:v>
      </x:c>
      <x:c r="F54" s="47" t="str">
        <x:v>BY-SCN-P1-005-月面后段科考区-V-MASTER</x:v>
      </x:c>
      <x:c r="G54" s="55" t="str">
        <x:v>PATH-SIDE</x:v>
      </x:c>
      <x:c r="H54" s="55" t="str">
        <x:v>SCN-VIEW</x:v>
      </x:c>
      <x:c r="I54" s="55" t="str">
        <x:v>P1</x:v>
      </x:c>
      <x:c r="J54" s="47" t="str">
        <x:v>场9；镜058,059,060,061,062,064,066,067</x:v>
      </x:c>
      <x:c r="K54" s="47" t="str">
        <x:v>相对母图的科考路线侧向，用于镜头连续和空间核验。</x:v>
      </x:c>
      <x:c r="L54" s="47" t="str">
        <x:v>PATH-SIDE</x:v>
      </x:c>
      <x:c r="M54" s="47" t="str">
        <x:v>母图确认后生成；与母图做几何、材料、光影和设备位置一致性检查。</x:v>
      </x:c>
      <x:c r="N54" s="47" t="str">
        <x:v>V1.3.1重校已确认</x:v>
      </x:c>
      <x:c r="O54" s="47" t="str">
        <x:v>阶段2B在母图确认后生成本视图。</x:v>
      </x:c>
    </x:row>
    <x:row r="55" ht="36" customHeight="1">
      <x:c r="A55" s="55" t="n">
        <x:v>51</x:v>
      </x:c>
      <x:c r="B55" s="55" t="n">
        <x:v>3</x:v>
      </x:c>
      <x:c r="C55" s="55" t="str">
        <x:v>场景多视角</x:v>
      </x:c>
      <x:c r="D55" s="47" t="str">
        <x:v>  ↳ 视图｜科考路线俯视</x:v>
      </x:c>
      <x:c r="E55" s="47" t="str">
        <x:v>BY-SCN-P1-005-月面后段科考区-V-PATH-TOP</x:v>
      </x:c>
      <x:c r="F55" s="47" t="str">
        <x:v>BY-SCN-P1-005-月面后段科考区-V-MASTER</x:v>
      </x:c>
      <x:c r="G55" s="55" t="str">
        <x:v>PATH-TOP</x:v>
      </x:c>
      <x:c r="H55" s="55" t="str">
        <x:v>SCN-VIEW</x:v>
      </x:c>
      <x:c r="I55" s="55" t="str">
        <x:v>P1</x:v>
      </x:c>
      <x:c r="J55" s="47" t="str">
        <x:v>场9；镜058,059,060,061,062,064,066,067</x:v>
      </x:c>
      <x:c r="K55" s="47" t="str">
        <x:v>相对母图的科考路线俯视，用于镜头连续和空间核验。</x:v>
      </x:c>
      <x:c r="L55" s="47" t="str">
        <x:v>PATH-TOP</x:v>
      </x:c>
      <x:c r="M55" s="47" t="str">
        <x:v>母图确认后生成；与母图做几何、材料、光影和设备位置一致性检查。</x:v>
      </x:c>
      <x:c r="N55" s="47" t="str">
        <x:v>V1.3.1重校已确认</x:v>
      </x:c>
      <x:c r="O55" s="47" t="str">
        <x:v>阶段2B在母图确认后生成本视图。</x:v>
      </x:c>
    </x:row>
    <x:row r="56" ht="46" customHeight="1">
      <x:c r="A56" s="50" t="n">
        <x:v>52</x:v>
      </x:c>
      <x:c r="B56" s="50" t="n">
        <x:v>1</x:v>
      </x:c>
      <x:c r="C56" s="50" t="str">
        <x:v>场景资产组</x:v>
      </x:c>
      <x:c r="D56" s="36" t="str">
        <x:v>环月轨道外部环境</x:v>
      </x:c>
      <x:c r="E56" s="36" t="str">
        <x:v>BY-SCN-P1-006-环月轨道外部环境</x:v>
      </x:c>
      <x:c r="F56" s="36" t="str"/>
      <x:c r="G56" s="50" t="str"/>
      <x:c r="H56" s="50" t="str">
        <x:v>SCN</x:v>
      </x:c>
      <x:c r="I56" s="50" t="str">
        <x:v>P1</x:v>
      </x:c>
      <x:c r="J56" s="36" t="str">
        <x:v>场1,2,4,11,12,13,14；镜002,008,010,011,020,021,024,025,078,084,085,087,093,095,096,098</x:v>
      </x:c>
      <x:c r="K56" s="36" t="str">
        <x:v>月球弧面、黑色太空和两器相对空间</x:v>
      </x:c>
      <x:c r="L56" s="36" t="str">
        <x:v>交会;分离;月地转移</x:v>
      </x:c>
      <x:c r="M56" s="36" t="str">
        <x:v>环境母图与SV1基准视图</x:v>
      </x:c>
      <x:c r="N56" s="36" t="str">
        <x:v>已确认</x:v>
      </x:c>
      <x:c r="O56" s="36" t="str">
        <x:v>轨道视觉重建包</x:v>
      </x:c>
    </x:row>
    <x:row r="57" ht="46" customHeight="1">
      <x:c r="A57" s="54" t="n">
        <x:v>53</x:v>
      </x:c>
      <x:c r="B57" s="54" t="n">
        <x:v>2</x:v>
      </x:c>
      <x:c r="C57" s="54" t="str">
        <x:v>场景母图</x:v>
      </x:c>
      <x:c r="D57" s="46" t="str">
        <x:v>↳ 母图｜环月轨道外部环境</x:v>
      </x:c>
      <x:c r="E57" s="46" t="str">
        <x:v>BY-SCN-P1-006-环月轨道外部环境-V-MASTER</x:v>
      </x:c>
      <x:c r="F57" s="46" t="str">
        <x:v>BY-SCN-P1-006-环月轨道外部环境</x:v>
      </x:c>
      <x:c r="G57" s="54" t="str">
        <x:v>MASTER</x:v>
      </x:c>
      <x:c r="H57" s="54" t="str">
        <x:v>SCN-VIEW</x:v>
      </x:c>
      <x:c r="I57" s="54" t="str">
        <x:v>P1</x:v>
      </x:c>
      <x:c r="J57" s="46" t="str">
        <x:v>场1,2,4,11,12,13,14；镜002,008,010,011,020,021,024,025,078,084,085,087,093,095,096,098</x:v>
      </x:c>
      <x:c r="K57" s="46" t="str">
        <x:v>该场景的统一母图，锁定空间、尺度、材料、光向和主构图。</x:v>
      </x:c>
      <x:c r="L57" s="46" t="str">
        <x:v>MASTER</x:v>
      </x:c>
      <x:c r="M57" s="46" t="str">
        <x:v>先确认母图，再进入多视角和状态图生产。</x:v>
      </x:c>
      <x:c r="N57" s="46" t="str">
        <x:v>V1.3.1重校已确认</x:v>
      </x:c>
      <x:c r="O57" s="46" t="str">
        <x:v>阶段2B先生成并确认本母图。</x:v>
      </x:c>
    </x:row>
    <x:row r="58" ht="36" customHeight="1">
      <x:c r="A58" s="55" t="n">
        <x:v>54</x:v>
      </x:c>
      <x:c r="B58" s="55" t="n">
        <x:v>3</x:v>
      </x:c>
      <x:c r="C58" s="55" t="str">
        <x:v>场景多视角</x:v>
      </x:c>
      <x:c r="D58" s="47" t="str">
        <x:v>  ↳ 视图｜对接轴线</x:v>
      </x:c>
      <x:c r="E58" s="47" t="str">
        <x:v>BY-SCN-P1-006-环月轨道外部环境-V-DOCK-AXIS</x:v>
      </x:c>
      <x:c r="F58" s="47" t="str">
        <x:v>BY-SCN-P1-006-环月轨道外部环境-V-MASTER</x:v>
      </x:c>
      <x:c r="G58" s="55" t="str">
        <x:v>DOCK-AXIS</x:v>
      </x:c>
      <x:c r="H58" s="55" t="str">
        <x:v>SCN-VIEW</x:v>
      </x:c>
      <x:c r="I58" s="55" t="str">
        <x:v>P1</x:v>
      </x:c>
      <x:c r="J58" s="47" t="str">
        <x:v>场1,2,4,11,12,13,14；镜002,008,010,011,020,021,024,025,078,084,085,087,093,095,096,098</x:v>
      </x:c>
      <x:c r="K58" s="47" t="str">
        <x:v>相对母图的对接轴线，用于镜头连续和空间核验。</x:v>
      </x:c>
      <x:c r="L58" s="47" t="str">
        <x:v>DOCK-AXIS</x:v>
      </x:c>
      <x:c r="M58" s="47" t="str">
        <x:v>母图确认后生成；与母图做几何、材料、光影和设备位置一致性检查。</x:v>
      </x:c>
      <x:c r="N58" s="47" t="str">
        <x:v>V1.3.1重校已确认</x:v>
      </x:c>
      <x:c r="O58" s="47" t="str">
        <x:v>阶段2B在母图确认后生成本视图。</x:v>
      </x:c>
    </x:row>
    <x:row r="59" ht="36" customHeight="1">
      <x:c r="A59" s="55" t="n">
        <x:v>55</x:v>
      </x:c>
      <x:c r="B59" s="55" t="n">
        <x:v>3</x:v>
      </x:c>
      <x:c r="C59" s="55" t="str">
        <x:v>场景多视角</x:v>
      </x:c>
      <x:c r="D59" s="47" t="str">
        <x:v>  ↳ 视图｜月缘尺度关系</x:v>
      </x:c>
      <x:c r="E59" s="47" t="str">
        <x:v>BY-SCN-P1-006-环月轨道外部环境-V-MOON-LIMB</x:v>
      </x:c>
      <x:c r="F59" s="47" t="str">
        <x:v>BY-SCN-P1-006-环月轨道外部环境-V-MASTER</x:v>
      </x:c>
      <x:c r="G59" s="55" t="str">
        <x:v>MOON-LIMB</x:v>
      </x:c>
      <x:c r="H59" s="55" t="str">
        <x:v>SCN-VIEW</x:v>
      </x:c>
      <x:c r="I59" s="55" t="str">
        <x:v>P1</x:v>
      </x:c>
      <x:c r="J59" s="47" t="str">
        <x:v>场1,2,4,11,12,13,14；镜002,008,010,011,020,021,024,025,078,084,085,087,093,095,096,098</x:v>
      </x:c>
      <x:c r="K59" s="47" t="str">
        <x:v>相对母图的月缘尺度关系，用于镜头连续和空间核验。</x:v>
      </x:c>
      <x:c r="L59" s="47" t="str">
        <x:v>MOON-LIMB</x:v>
      </x:c>
      <x:c r="M59" s="47" t="str">
        <x:v>母图确认后生成；与母图做几何、材料、光影和设备位置一致性检查。</x:v>
      </x:c>
      <x:c r="N59" s="47" t="str">
        <x:v>V1.3.1重校已确认</x:v>
      </x:c>
      <x:c r="O59" s="47" t="str">
        <x:v>阶段2B在母图确认后生成本视图。</x:v>
      </x:c>
    </x:row>
    <x:row r="60" ht="36" customHeight="1">
      <x:c r="A60" s="55" t="n">
        <x:v>56</x:v>
      </x:c>
      <x:c r="B60" s="55" t="n">
        <x:v>3</x:v>
      </x:c>
      <x:c r="C60" s="55" t="str">
        <x:v>场景多视角</x:v>
      </x:c>
      <x:c r="D60" s="47" t="str">
        <x:v>  ↳ 视图｜分离状态</x:v>
      </x:c>
      <x:c r="E60" s="47" t="str">
        <x:v>BY-SCN-P1-006-环月轨道外部环境-V-SEPARATION</x:v>
      </x:c>
      <x:c r="F60" s="47" t="str">
        <x:v>BY-SCN-P1-006-环月轨道外部环境-V-MASTER</x:v>
      </x:c>
      <x:c r="G60" s="55" t="str">
        <x:v>SEPARATION</x:v>
      </x:c>
      <x:c r="H60" s="55" t="str">
        <x:v>SCN-VIEW</x:v>
      </x:c>
      <x:c r="I60" s="55" t="str">
        <x:v>P1</x:v>
      </x:c>
      <x:c r="J60" s="47" t="str">
        <x:v>场1,2,4,11,12,13,14；镜002,008,010,011,020,021,024,025,078,084,085,087,093,095,096,098</x:v>
      </x:c>
      <x:c r="K60" s="47" t="str">
        <x:v>相对母图的分离状态，用于镜头连续和空间核验。</x:v>
      </x:c>
      <x:c r="L60" s="47" t="str">
        <x:v>SEPARATION</x:v>
      </x:c>
      <x:c r="M60" s="47" t="str">
        <x:v>母图确认后生成；与母图做几何、材料、光影和设备位置一致性检查。</x:v>
      </x:c>
      <x:c r="N60" s="47" t="str">
        <x:v>V1.3.1重校已确认</x:v>
      </x:c>
      <x:c r="O60" s="47" t="str">
        <x:v>阶段2B在母图确认后生成本视图。</x:v>
      </x:c>
    </x:row>
    <x:row r="61" ht="46" customHeight="1">
      <x:c r="A61" s="50" t="n">
        <x:v>57</x:v>
      </x:c>
      <x:c r="B61" s="50" t="n">
        <x:v>1</x:v>
      </x:c>
      <x:c r="C61" s="50" t="str">
        <x:v>场景资产组</x:v>
      </x:c>
      <x:c r="D61" s="36" t="str">
        <x:v>返回舱再入视觉环境</x:v>
      </x:c>
      <x:c r="E61" s="36" t="str">
        <x:v>BY-SCN-P0-007-返回舱再入视觉环境</x:v>
      </x:c>
      <x:c r="F61" s="36" t="str"/>
      <x:c r="G61" s="50" t="str"/>
      <x:c r="H61" s="50" t="str">
        <x:v>SCN</x:v>
      </x:c>
      <x:c r="I61" s="50" t="str">
        <x:v>P0</x:v>
      </x:c>
      <x:c r="J61" s="36" t="str">
        <x:v>场15；镜102,104,105,106,108</x:v>
      </x:c>
      <x:c r="K61" s="36" t="str">
        <x:v>近地空间、高层大气、地球弧面和返回舱跳跃式再入的统一视觉环境。</x:v>
      </x:c>
      <x:c r="L61" s="36" t="str">
        <x:v>服务舱分离；第一次再入；跃出；第二次再入；辉光减弱；开伞</x:v>
      </x:c>
      <x:c r="M61" s="36" t="str">
        <x:v>再入MASTER及关键状态视图</x:v>
      </x:c>
      <x:c r="N61" s="36" t="str">
        <x:v>已确认生产方向</x:v>
      </x:c>
      <x:c r="O61" s="36" t="str">
        <x:v>阶段2A重入后按生产包执行</x:v>
      </x:c>
    </x:row>
    <x:row r="62" ht="46" customHeight="1">
      <x:c r="A62" s="54" t="n">
        <x:v>58</x:v>
      </x:c>
      <x:c r="B62" s="54" t="n">
        <x:v>2</x:v>
      </x:c>
      <x:c r="C62" s="54" t="str">
        <x:v>场景母图</x:v>
      </x:c>
      <x:c r="D62" s="46" t="str">
        <x:v>↳ 母图｜返回舱再入视觉环境</x:v>
      </x:c>
      <x:c r="E62" s="46" t="str">
        <x:v>BY-SCN-P0-007-返回舱再入视觉环境-V-MASTER</x:v>
      </x:c>
      <x:c r="F62" s="46" t="str">
        <x:v>BY-SCN-P0-007-返回舱再入视觉环境</x:v>
      </x:c>
      <x:c r="G62" s="54" t="str">
        <x:v>MASTER</x:v>
      </x:c>
      <x:c r="H62" s="54" t="str">
        <x:v>SCN-VIEW</x:v>
      </x:c>
      <x:c r="I62" s="54" t="str">
        <x:v>P0</x:v>
      </x:c>
      <x:c r="J62" s="46" t="str">
        <x:v>场15；镜102,104,105,106,108</x:v>
      </x:c>
      <x:c r="K62" s="46" t="str">
        <x:v>该场景的统一母图，锁定空间、尺度、材料、光向和主构图。</x:v>
      </x:c>
      <x:c r="L62" s="46" t="str">
        <x:v>MASTER</x:v>
      </x:c>
      <x:c r="M62" s="46" t="str">
        <x:v>先确认母图，再进入多视角和状态图生产。</x:v>
      </x:c>
      <x:c r="N62" s="46" t="str">
        <x:v>V1.3.1重校已确认</x:v>
      </x:c>
      <x:c r="O62" s="46" t="str">
        <x:v>阶段2B先生成并确认本母图。</x:v>
      </x:c>
    </x:row>
    <x:row r="63" ht="36" customHeight="1">
      <x:c r="A63" s="55" t="n">
        <x:v>59</x:v>
      </x:c>
      <x:c r="B63" s="55" t="n">
        <x:v>3</x:v>
      </x:c>
      <x:c r="C63" s="55" t="str">
        <x:v>场景多视角</x:v>
      </x:c>
      <x:c r="D63" s="47" t="str">
        <x:v>  ↳ 视图｜第一次再入</x:v>
      </x:c>
      <x:c r="E63" s="47" t="str">
        <x:v>BY-SCN-P0-007-返回舱再入视觉环境-V-FIRST-ENTRY</x:v>
      </x:c>
      <x:c r="F63" s="47" t="str">
        <x:v>BY-SCN-P0-007-返回舱再入视觉环境-V-MASTER</x:v>
      </x:c>
      <x:c r="G63" s="55" t="str">
        <x:v>FIRST-ENTRY</x:v>
      </x:c>
      <x:c r="H63" s="55" t="str">
        <x:v>SCN-VIEW</x:v>
      </x:c>
      <x:c r="I63" s="55" t="str">
        <x:v>P0</x:v>
      </x:c>
      <x:c r="J63" s="47" t="str">
        <x:v>场15；镜102,104,105,106,108</x:v>
      </x:c>
      <x:c r="K63" s="47" t="str">
        <x:v>相对母图的第一次再入，用于镜头连续和空间核验。</x:v>
      </x:c>
      <x:c r="L63" s="47" t="str">
        <x:v>FIRST-ENTRY</x:v>
      </x:c>
      <x:c r="M63" s="47" t="str">
        <x:v>母图确认后生成；与母图做几何、材料、光影和设备位置一致性检查。</x:v>
      </x:c>
      <x:c r="N63" s="47" t="str">
        <x:v>V1.3.1重校已确认</x:v>
      </x:c>
      <x:c r="O63" s="47" t="str">
        <x:v>阶段2B在母图确认后生成本视图。</x:v>
      </x:c>
    </x:row>
    <x:row r="64" ht="36" customHeight="1">
      <x:c r="A64" s="55" t="n">
        <x:v>60</x:v>
      </x:c>
      <x:c r="B64" s="55" t="n">
        <x:v>3</x:v>
      </x:c>
      <x:c r="C64" s="55" t="str">
        <x:v>场景多视角</x:v>
      </x:c>
      <x:c r="D64" s="47" t="str">
        <x:v>  ↳ 视图｜跃出段</x:v>
      </x:c>
      <x:c r="E64" s="47" t="str">
        <x:v>BY-SCN-P0-007-返回舱再入视觉环境-V-SKIP</x:v>
      </x:c>
      <x:c r="F64" s="47" t="str">
        <x:v>BY-SCN-P0-007-返回舱再入视觉环境-V-MASTER</x:v>
      </x:c>
      <x:c r="G64" s="55" t="str">
        <x:v>SKIP</x:v>
      </x:c>
      <x:c r="H64" s="55" t="str">
        <x:v>SCN-VIEW</x:v>
      </x:c>
      <x:c r="I64" s="55" t="str">
        <x:v>P0</x:v>
      </x:c>
      <x:c r="J64" s="47" t="str">
        <x:v>场15；镜102,104,105,106,108</x:v>
      </x:c>
      <x:c r="K64" s="47" t="str">
        <x:v>相对母图的跃出段，用于镜头连续和空间核验。</x:v>
      </x:c>
      <x:c r="L64" s="47" t="str">
        <x:v>SKIP</x:v>
      </x:c>
      <x:c r="M64" s="47" t="str">
        <x:v>母图确认后生成；与母图做几何、材料、光影和设备位置一致性检查。</x:v>
      </x:c>
      <x:c r="N64" s="47" t="str">
        <x:v>V1.3.1重校已确认</x:v>
      </x:c>
      <x:c r="O64" s="47" t="str">
        <x:v>阶段2B在母图确认后生成本视图。</x:v>
      </x:c>
    </x:row>
    <x:row r="65" ht="36" customHeight="1">
      <x:c r="A65" s="55" t="n">
        <x:v>61</x:v>
      </x:c>
      <x:c r="B65" s="55" t="n">
        <x:v>3</x:v>
      </x:c>
      <x:c r="C65" s="55" t="str">
        <x:v>场景多视角</x:v>
      </x:c>
      <x:c r="D65" s="47" t="str">
        <x:v>  ↳ 视图｜第二次再入</x:v>
      </x:c>
      <x:c r="E65" s="47" t="str">
        <x:v>BY-SCN-P0-007-返回舱再入视觉环境-V-SECOND-ENTRY</x:v>
      </x:c>
      <x:c r="F65" s="47" t="str">
        <x:v>BY-SCN-P0-007-返回舱再入视觉环境-V-MASTER</x:v>
      </x:c>
      <x:c r="G65" s="55" t="str">
        <x:v>SECOND-ENTRY</x:v>
      </x:c>
      <x:c r="H65" s="55" t="str">
        <x:v>SCN-VIEW</x:v>
      </x:c>
      <x:c r="I65" s="55" t="str">
        <x:v>P0</x:v>
      </x:c>
      <x:c r="J65" s="47" t="str">
        <x:v>场15；镜102,104,105,106,108</x:v>
      </x:c>
      <x:c r="K65" s="47" t="str">
        <x:v>相对母图的第二次再入，用于镜头连续和空间核验。</x:v>
      </x:c>
      <x:c r="L65" s="47" t="str">
        <x:v>SECOND-ENTRY</x:v>
      </x:c>
      <x:c r="M65" s="47" t="str">
        <x:v>母图确认后生成；与母图做几何、材料、光影和设备位置一致性检查。</x:v>
      </x:c>
      <x:c r="N65" s="47" t="str">
        <x:v>V1.3.1重校已确认</x:v>
      </x:c>
      <x:c r="O65" s="47" t="str">
        <x:v>阶段2B在母图确认后生成本视图。</x:v>
      </x:c>
    </x:row>
    <x:row r="66" ht="36" customHeight="1">
      <x:c r="A66" s="55" t="n">
        <x:v>62</x:v>
      </x:c>
      <x:c r="B66" s="55" t="n">
        <x:v>3</x:v>
      </x:c>
      <x:c r="C66" s="55" t="str">
        <x:v>场景多视角</x:v>
      </x:c>
      <x:c r="D66" s="47" t="str">
        <x:v>  ↳ 视图｜伞降状态</x:v>
      </x:c>
      <x:c r="E66" s="47" t="str">
        <x:v>BY-SCN-P0-007-返回舱再入视觉环境-V-PARACHUTE</x:v>
      </x:c>
      <x:c r="F66" s="47" t="str">
        <x:v>BY-SCN-P0-007-返回舱再入视觉环境-V-MASTER</x:v>
      </x:c>
      <x:c r="G66" s="55" t="str">
        <x:v>PARACHUTE</x:v>
      </x:c>
      <x:c r="H66" s="55" t="str">
        <x:v>SCN-VIEW</x:v>
      </x:c>
      <x:c r="I66" s="55" t="str">
        <x:v>P0</x:v>
      </x:c>
      <x:c r="J66" s="47" t="str">
        <x:v>场15；镜102,104,105,106,108</x:v>
      </x:c>
      <x:c r="K66" s="47" t="str">
        <x:v>相对母图的伞降状态，用于镜头连续和空间核验。</x:v>
      </x:c>
      <x:c r="L66" s="47" t="str">
        <x:v>PARACHUTE</x:v>
      </x:c>
      <x:c r="M66" s="47" t="str">
        <x:v>母图确认后生成；与母图做几何、材料、光影和设备位置一致性检查。</x:v>
      </x:c>
      <x:c r="N66" s="47" t="str">
        <x:v>V1.3.1重校已确认</x:v>
      </x:c>
      <x:c r="O66" s="47" t="str">
        <x:v>阶段2B在母图确认后生成本视图。</x:v>
      </x:c>
    </x:row>
    <x:row r="67" ht="46" customHeight="1">
      <x:c r="A67" s="50" t="n">
        <x:v>63</x:v>
      </x:c>
      <x:c r="B67" s="50" t="n">
        <x:v>1</x:v>
      </x:c>
      <x:c r="C67" s="50" t="str">
        <x:v>场景资产组</x:v>
      </x:c>
      <x:c r="D67" s="36" t="str">
        <x:v>返回器搜救指挥中心</x:v>
      </x:c>
      <x:c r="E67" s="36" t="str">
        <x:v>BY-SCN-P1-011-搜救指挥中心</x:v>
      </x:c>
      <x:c r="F67" s="36" t="str"/>
      <x:c r="G67" s="50" t="str"/>
      <x:c r="H67" s="50" t="str">
        <x:v>SCN</x:v>
      </x:c>
      <x:c r="I67" s="50" t="str">
        <x:v>P1</x:v>
      </x:c>
      <x:c r="J67" s="36" t="str">
        <x:v>场16；镜110</x:v>
      </x:c>
      <x:c r="K67" s="36" t="str">
        <x:v>落点预测、空地接力和回收状态闭合的指挥空间。</x:v>
      </x:c>
      <x:c r="L67" s="36" t="str">
        <x:v>落点收敛；队伍接近；舱体与乘组状态闭合</x:v>
      </x:c>
      <x:c r="M67" s="36" t="str">
        <x:v>MASTER、主屏／席位局部</x:v>
      </x:c>
      <x:c r="N67" s="36" t="str">
        <x:v>已确认生产方向</x:v>
      </x:c>
      <x:c r="O67" s="36" t="str">
        <x:v>阶段2A重入后按生产包执行</x:v>
      </x:c>
    </x:row>
    <x:row r="68" ht="46" customHeight="1">
      <x:c r="A68" s="54" t="n">
        <x:v>64</x:v>
      </x:c>
      <x:c r="B68" s="54" t="n">
        <x:v>2</x:v>
      </x:c>
      <x:c r="C68" s="54" t="str">
        <x:v>场景母图</x:v>
      </x:c>
      <x:c r="D68" s="46" t="str">
        <x:v>↳ 母图｜返回器搜救指挥中心</x:v>
      </x:c>
      <x:c r="E68" s="46" t="str">
        <x:v>BY-SCN-P1-011-搜救指挥中心-V-MASTER</x:v>
      </x:c>
      <x:c r="F68" s="46" t="str">
        <x:v>BY-SCN-P1-011-搜救指挥中心</x:v>
      </x:c>
      <x:c r="G68" s="54" t="str">
        <x:v>MASTER</x:v>
      </x:c>
      <x:c r="H68" s="54" t="str">
        <x:v>SCN-VIEW</x:v>
      </x:c>
      <x:c r="I68" s="54" t="str">
        <x:v>P1</x:v>
      </x:c>
      <x:c r="J68" s="46" t="str">
        <x:v>场16；镜110</x:v>
      </x:c>
      <x:c r="K68" s="46" t="str">
        <x:v>该场景的统一母图，锁定空间、尺度、材料、光向和主构图。</x:v>
      </x:c>
      <x:c r="L68" s="46" t="str">
        <x:v>MASTER</x:v>
      </x:c>
      <x:c r="M68" s="46" t="str">
        <x:v>先确认母图，再进入多视角和状态图生产。</x:v>
      </x:c>
      <x:c r="N68" s="46" t="str">
        <x:v>已确认推荐口径</x:v>
      </x:c>
      <x:c r="O68" s="46" t="str">
        <x:v>阶段2B先生成并确认本母图。</x:v>
      </x:c>
    </x:row>
    <x:row r="69" ht="46" customHeight="1">
      <x:c r="A69" s="50" t="n">
        <x:v>65</x:v>
      </x:c>
      <x:c r="B69" s="50" t="n">
        <x:v>1</x:v>
      </x:c>
      <x:c r="C69" s="50" t="str">
        <x:v>场景资产组</x:v>
      </x:c>
      <x:c r="D69" s="36" t="str">
        <x:v>东风着陆场与搜救现场</x:v>
      </x:c>
      <x:c r="E69" s="36" t="str">
        <x:v>BY-SCN-P0-008-预定着陆区与搜救现场</x:v>
      </x:c>
      <x:c r="F69" s="36" t="str"/>
      <x:c r="G69" s="50" t="str"/>
      <x:c r="H69" s="50" t="str">
        <x:v>SCN</x:v>
      </x:c>
      <x:c r="I69" s="50" t="str">
        <x:v>P0</x:v>
      </x:c>
      <x:c r="J69" s="36" t="str">
        <x:v>第13—15场</x:v>
      </x:c>
      <x:c r="K69" s="36" t="str">
        <x:v>东风着陆场荒漠回收区、预报走廊、直升机与车组、警戒区、返回舱开舱区。</x:v>
      </x:c>
      <x:c r="L69" s="36" t="str">
        <x:v>再入待命；目标跟踪；返回舱着陆；搜救抵达；安全处置；开舱与转移</x:v>
      </x:c>
      <x:c r="M69" s="36" t="str">
        <x:v>MASTER、航拍、手持长焦、舱门医疗视图</x:v>
      </x:c>
      <x:c r="N69" s="36" t="str">
        <x:v>已确认生产方向</x:v>
      </x:c>
      <x:c r="O69" s="36" t="str">
        <x:v>阶段2A重入后按生产包执行</x:v>
      </x:c>
    </x:row>
    <x:row r="70" ht="46" customHeight="1">
      <x:c r="A70" s="54" t="n">
        <x:v>66</x:v>
      </x:c>
      <x:c r="B70" s="54" t="n">
        <x:v>2</x:v>
      </x:c>
      <x:c r="C70" s="54" t="str">
        <x:v>场景母图</x:v>
      </x:c>
      <x:c r="D70" s="46" t="str">
        <x:v>↳ 母图｜东风着陆场与搜救现场</x:v>
      </x:c>
      <x:c r="E70" s="46" t="str">
        <x:v>BY-SCN-P0-008-预定着陆区与搜救现场-V-MASTER</x:v>
      </x:c>
      <x:c r="F70" s="46" t="str">
        <x:v>BY-SCN-P0-008-预定着陆区与搜救现场</x:v>
      </x:c>
      <x:c r="G70" s="54" t="str">
        <x:v>MASTER</x:v>
      </x:c>
      <x:c r="H70" s="54" t="str">
        <x:v>SCN-VIEW</x:v>
      </x:c>
      <x:c r="I70" s="54" t="str">
        <x:v>P0</x:v>
      </x:c>
      <x:c r="J70" s="46" t="str">
        <x:v>第13—15场</x:v>
      </x:c>
      <x:c r="K70" s="46" t="str">
        <x:v>该场景的统一母图，锁定空间、尺度、材料、光向和主构图。</x:v>
      </x:c>
      <x:c r="L70" s="46" t="str">
        <x:v>MASTER</x:v>
      </x:c>
      <x:c r="M70" s="46" t="str">
        <x:v>先确认母图，再进入多视角和状态图生产。</x:v>
      </x:c>
      <x:c r="N70" s="46" t="str">
        <x:v>V1.3.1重校已确认</x:v>
      </x:c>
      <x:c r="O70" s="46" t="str">
        <x:v>阶段2B先生成并确认本母图。</x:v>
      </x:c>
    </x:row>
    <x:row r="71" ht="36" customHeight="1">
      <x:c r="A71" s="55" t="n">
        <x:v>67</x:v>
      </x:c>
      <x:c r="B71" s="55" t="n">
        <x:v>3</x:v>
      </x:c>
      <x:c r="C71" s="55" t="str">
        <x:v>场景多视角</x:v>
      </x:c>
      <x:c r="D71" s="47" t="str">
        <x:v>  ↳ 视图｜航拍总览</x:v>
      </x:c>
      <x:c r="E71" s="47" t="str">
        <x:v>BY-SCN-P0-008-预定着陆区与搜救现场-V-AERIAL</x:v>
      </x:c>
      <x:c r="F71" s="47" t="str">
        <x:v>BY-SCN-P0-008-预定着陆区与搜救现场-V-MASTER</x:v>
      </x:c>
      <x:c r="G71" s="55" t="str">
        <x:v>AERIAL</x:v>
      </x:c>
      <x:c r="H71" s="55" t="str">
        <x:v>SCN-VIEW</x:v>
      </x:c>
      <x:c r="I71" s="55" t="str">
        <x:v>P0</x:v>
      </x:c>
      <x:c r="J71" s="47" t="str">
        <x:v>第13—15场</x:v>
      </x:c>
      <x:c r="K71" s="47" t="str">
        <x:v>相对母图的航拍总览，用于镜头连续和空间核验。</x:v>
      </x:c>
      <x:c r="L71" s="47" t="str">
        <x:v>AERIAL</x:v>
      </x:c>
      <x:c r="M71" s="47" t="str">
        <x:v>母图确认后生成；与母图做几何、材料、光影和设备位置一致性检查。</x:v>
      </x:c>
      <x:c r="N71" s="47" t="str">
        <x:v>V1.3.1重校已确认</x:v>
      </x:c>
      <x:c r="O71" s="47" t="str">
        <x:v>阶段2B在母图确认后生成本视图。</x:v>
      </x:c>
    </x:row>
    <x:row r="72" ht="36" customHeight="1">
      <x:c r="A72" s="55" t="n">
        <x:v>68</x:v>
      </x:c>
      <x:c r="B72" s="55" t="n">
        <x:v>3</x:v>
      </x:c>
      <x:c r="C72" s="55" t="str">
        <x:v>场景多视角</x:v>
      </x:c>
      <x:c r="D72" s="47" t="str">
        <x:v>  ↳ 视图｜长焦跟踪</x:v>
      </x:c>
      <x:c r="E72" s="47" t="str">
        <x:v>BY-SCN-P0-008-预定着陆区与搜救现场-V-LONG-LENS</x:v>
      </x:c>
      <x:c r="F72" s="47" t="str">
        <x:v>BY-SCN-P0-008-预定着陆区与搜救现场-V-MASTER</x:v>
      </x:c>
      <x:c r="G72" s="55" t="str">
        <x:v>LONG-LENS</x:v>
      </x:c>
      <x:c r="H72" s="55" t="str">
        <x:v>SCN-VIEW</x:v>
      </x:c>
      <x:c r="I72" s="55" t="str">
        <x:v>P0</x:v>
      </x:c>
      <x:c r="J72" s="47" t="str">
        <x:v>第13—15场</x:v>
      </x:c>
      <x:c r="K72" s="47" t="str">
        <x:v>相对母图的长焦跟踪，用于镜头连续和空间核验。</x:v>
      </x:c>
      <x:c r="L72" s="47" t="str">
        <x:v>LONG-LENS</x:v>
      </x:c>
      <x:c r="M72" s="47" t="str">
        <x:v>母图确认后生成；与母图做几何、材料、光影和设备位置一致性检查。</x:v>
      </x:c>
      <x:c r="N72" s="47" t="str">
        <x:v>V1.3.1重校已确认</x:v>
      </x:c>
      <x:c r="O72" s="47" t="str">
        <x:v>阶段2B在母图确认后生成本视图。</x:v>
      </x:c>
    </x:row>
    <x:row r="73" ht="36" customHeight="1">
      <x:c r="A73" s="55" t="n">
        <x:v>69</x:v>
      </x:c>
      <x:c r="B73" s="55" t="n">
        <x:v>3</x:v>
      </x:c>
      <x:c r="C73" s="55" t="str">
        <x:v>场景多视角</x:v>
      </x:c>
      <x:c r="D73" s="47" t="str">
        <x:v>  ↳ 视图｜开舱医监关系</x:v>
      </x:c>
      <x:c r="E73" s="47" t="str">
        <x:v>BY-SCN-P0-008-预定着陆区与搜救现场-V-HATCH-MEDICAL</x:v>
      </x:c>
      <x:c r="F73" s="47" t="str">
        <x:v>BY-SCN-P0-008-预定着陆区与搜救现场-V-MASTER</x:v>
      </x:c>
      <x:c r="G73" s="55" t="str">
        <x:v>HATCH-MEDICAL</x:v>
      </x:c>
      <x:c r="H73" s="55" t="str">
        <x:v>SCN-VIEW</x:v>
      </x:c>
      <x:c r="I73" s="55" t="str">
        <x:v>P0</x:v>
      </x:c>
      <x:c r="J73" s="47" t="str">
        <x:v>第13—15场</x:v>
      </x:c>
      <x:c r="K73" s="47" t="str">
        <x:v>相对母图的开舱医监关系，用于镜头连续和空间核验。</x:v>
      </x:c>
      <x:c r="L73" s="47" t="str">
        <x:v>HATCH-MEDICAL</x:v>
      </x:c>
      <x:c r="M73" s="47" t="str">
        <x:v>母图确认后生成；与母图做几何、材料、光影和设备位置一致性检查。</x:v>
      </x:c>
      <x:c r="N73" s="47" t="str">
        <x:v>V1.3.1重校已确认</x:v>
      </x:c>
      <x:c r="O73" s="47" t="str">
        <x:v>阶段2B在母图确认后生成本视图。</x:v>
      </x:c>
    </x:row>
    <x:row r="74" ht="46" customHeight="1">
      <x:c r="A74" s="50" t="n">
        <x:v>70</x:v>
      </x:c>
      <x:c r="B74" s="50" t="n">
        <x:v>1</x:v>
      </x:c>
      <x:c r="C74" s="50" t="str">
        <x:v>场景资产组</x:v>
      </x:c>
      <x:c r="D74" s="36" t="str">
        <x:v>东风医监医保与开舱作业区</x:v>
      </x:c>
      <x:c r="E74" s="36" t="str">
        <x:v>BY-SCN-P1-012-东风医监开舱作业区</x:v>
      </x:c>
      <x:c r="F74" s="36" t="str"/>
      <x:c r="G74" s="50" t="str"/>
      <x:c r="H74" s="50" t="str">
        <x:v>SCN</x:v>
      </x:c>
      <x:c r="I74" s="50" t="str">
        <x:v>P1</x:v>
      </x:c>
      <x:c r="J74" s="36" t="str">
        <x:v>第15场</x:v>
      </x:c>
      <x:c r="K74" s="36" t="str">
        <x:v>返回舱外警戒、开舱、人员评估、支撑转移与样品交接的连续工作区。</x:v>
      </x:c>
      <x:c r="L74" s="36" t="str">
        <x:v>安全处置；开舱；逐人评估；座椅／担架转移；样品交接</x:v>
      </x:c>
      <x:c r="M74" s="36" t="str">
        <x:v>建立俯视总图、开舱侧视、医疗转移和样品交接四类视图</x:v>
      </x:c>
      <x:c r="N74" s="36" t="str">
        <x:v>阶段1已确认生产方向</x:v>
      </x:c>
      <x:c r="O74" s="36" t="str">
        <x:v>阶段2B建立母资产并按镜头状态派生</x:v>
      </x:c>
    </x:row>
    <x:row r="75" ht="46" customHeight="1">
      <x:c r="A75" s="54" t="n">
        <x:v>71</x:v>
      </x:c>
      <x:c r="B75" s="54" t="n">
        <x:v>2</x:v>
      </x:c>
      <x:c r="C75" s="54" t="str">
        <x:v>场景母图</x:v>
      </x:c>
      <x:c r="D75" s="46" t="str">
        <x:v>↳ 母图｜东风医监医保与开舱作业区</x:v>
      </x:c>
      <x:c r="E75" s="46" t="str">
        <x:v>BY-SCN-P1-012-SV-MASTER</x:v>
      </x:c>
      <x:c r="F75" s="46" t="str">
        <x:v>BY-SCN-P1-012-东风医监开舱作业区</x:v>
      </x:c>
      <x:c r="G75" s="54" t="str">
        <x:v>MASTER</x:v>
      </x:c>
      <x:c r="H75" s="54" t="str">
        <x:v>SCN-VIEW</x:v>
      </x:c>
      <x:c r="I75" s="54" t="str">
        <x:v>P1</x:v>
      </x:c>
      <x:c r="J75" s="46" t="str">
        <x:v>第15场</x:v>
      </x:c>
      <x:c r="K75" s="46" t="str">
        <x:v>该场景的统一母图，锁定空间、尺度、材料、光向和主构图。</x:v>
      </x:c>
      <x:c r="L75" s="46" t="str">
        <x:v>MASTER</x:v>
      </x:c>
      <x:c r="M75" s="46" t="str">
        <x:v>先确认母图，再进入多视角和状态图生产。</x:v>
      </x:c>
      <x:c r="N75" s="46" t="str">
        <x:v>V1.3.1层级化登记完成｜阶段2B待生成</x:v>
      </x:c>
      <x:c r="O75" s="46" t="str">
        <x:v>阶段2B先生成并确认本母图。</x:v>
      </x:c>
    </x:row>
    <x:row r="76" ht="36" customHeight="1">
      <x:c r="A76" s="55" t="n">
        <x:v>72</x:v>
      </x:c>
      <x:c r="B76" s="55" t="n">
        <x:v>3</x:v>
      </x:c>
      <x:c r="C76" s="55" t="str">
        <x:v>场景多视角</x:v>
      </x:c>
      <x:c r="D76" s="47" t="str">
        <x:v>  ↳ 视图｜开舱口</x:v>
      </x:c>
      <x:c r="E76" s="47" t="str">
        <x:v>BY-SCN-P1-012-SV-HATCH</x:v>
      </x:c>
      <x:c r="F76" s="47" t="str">
        <x:v>BY-SCN-P1-012-SV-MASTER</x:v>
      </x:c>
      <x:c r="G76" s="55" t="str">
        <x:v>HATCH</x:v>
      </x:c>
      <x:c r="H76" s="55" t="str">
        <x:v>SCN-VIEW</x:v>
      </x:c>
      <x:c r="I76" s="55" t="str">
        <x:v>P1</x:v>
      </x:c>
      <x:c r="J76" s="47" t="str">
        <x:v>第15场</x:v>
      </x:c>
      <x:c r="K76" s="47" t="str">
        <x:v>相对母图的开舱口，用于镜头连续和空间核验。</x:v>
      </x:c>
      <x:c r="L76" s="47" t="str">
        <x:v>HATCH</x:v>
      </x:c>
      <x:c r="M76" s="47" t="str">
        <x:v>母图确认后生成；与母图做几何、材料、光影和设备位置一致性检查。</x:v>
      </x:c>
      <x:c r="N76" s="47" t="str">
        <x:v>V1.3.1层级化登记完成｜阶段2B待生成</x:v>
      </x:c>
      <x:c r="O76" s="47" t="str">
        <x:v>阶段2B在母图确认后生成本视图。</x:v>
      </x:c>
    </x:row>
    <x:row r="77" ht="36" customHeight="1">
      <x:c r="A77" s="55" t="n">
        <x:v>73</x:v>
      </x:c>
      <x:c r="B77" s="55" t="n">
        <x:v>3</x:v>
      </x:c>
      <x:c r="C77" s="55" t="str">
        <x:v>场景多视角</x:v>
      </x:c>
      <x:c r="D77" s="47" t="str">
        <x:v>  ↳ 视图｜医监作业区</x:v>
      </x:c>
      <x:c r="E77" s="47" t="str">
        <x:v>BY-SCN-P1-012-SV-MEDICAL</x:v>
      </x:c>
      <x:c r="F77" s="47" t="str">
        <x:v>BY-SCN-P1-012-SV-MASTER</x:v>
      </x:c>
      <x:c r="G77" s="55" t="str">
        <x:v>MEDICAL</x:v>
      </x:c>
      <x:c r="H77" s="55" t="str">
        <x:v>SCN-VIEW</x:v>
      </x:c>
      <x:c r="I77" s="55" t="str">
        <x:v>P1</x:v>
      </x:c>
      <x:c r="J77" s="47" t="str">
        <x:v>第15场</x:v>
      </x:c>
      <x:c r="K77" s="47" t="str">
        <x:v>相对母图的医监作业区，用于镜头连续和空间核验。</x:v>
      </x:c>
      <x:c r="L77" s="47" t="str">
        <x:v>MEDICAL</x:v>
      </x:c>
      <x:c r="M77" s="47" t="str">
        <x:v>母图确认后生成；与母图做几何、材料、光影和设备位置一致性检查。</x:v>
      </x:c>
      <x:c r="N77" s="47" t="str">
        <x:v>V1.3.1层级化登记完成｜阶段2B待生成</x:v>
      </x:c>
      <x:c r="O77" s="47" t="str">
        <x:v>阶段2B在母图确认后生成本视图。</x:v>
      </x:c>
    </x:row>
    <x:row r="78" ht="36" customHeight="1">
      <x:c r="A78" s="55" t="n">
        <x:v>74</x:v>
      </x:c>
      <x:c r="B78" s="55" t="n">
        <x:v>3</x:v>
      </x:c>
      <x:c r="C78" s="55" t="str">
        <x:v>场景多视角</x:v>
      </x:c>
      <x:c r="D78" s="47" t="str">
        <x:v>  ↳ 视图｜人员／物资转移</x:v>
      </x:c>
      <x:c r="E78" s="47" t="str">
        <x:v>BY-SCN-P1-012-SV-TRANSFER</x:v>
      </x:c>
      <x:c r="F78" s="47" t="str">
        <x:v>BY-SCN-P1-012-SV-MASTER</x:v>
      </x:c>
      <x:c r="G78" s="55" t="str">
        <x:v>TRANSFER</x:v>
      </x:c>
      <x:c r="H78" s="55" t="str">
        <x:v>SCN-VIEW</x:v>
      </x:c>
      <x:c r="I78" s="55" t="str">
        <x:v>P1</x:v>
      </x:c>
      <x:c r="J78" s="47" t="str">
        <x:v>第15场</x:v>
      </x:c>
      <x:c r="K78" s="47" t="str">
        <x:v>相对母图的人员／物资转移，用于镜头连续和空间核验。</x:v>
      </x:c>
      <x:c r="L78" s="47" t="str">
        <x:v>TRANSFER</x:v>
      </x:c>
      <x:c r="M78" s="47" t="str">
        <x:v>母图确认后生成；与母图做几何、材料、光影和设备位置一致性检查。</x:v>
      </x:c>
      <x:c r="N78" s="47" t="str">
        <x:v>V1.3.1层级化登记完成｜阶段2B待生成</x:v>
      </x:c>
      <x:c r="O78" s="47" t="str">
        <x:v>阶段2B在母图确认后生成本视图。</x:v>
      </x:c>
    </x:row>
    <x:row r="79" ht="36" customHeight="1">
      <x:c r="A79" s="55" t="n">
        <x:v>75</x:v>
      </x:c>
      <x:c r="B79" s="55" t="n">
        <x:v>3</x:v>
      </x:c>
      <x:c r="C79" s="55" t="str">
        <x:v>场景多视角</x:v>
      </x:c>
      <x:c r="D79" s="47" t="str">
        <x:v>  ↳ 视图｜样品交接</x:v>
      </x:c>
      <x:c r="E79" s="47" t="str">
        <x:v>BY-SCN-P1-012-SV-SAMPLE-HANDOFF</x:v>
      </x:c>
      <x:c r="F79" s="47" t="str">
        <x:v>BY-SCN-P1-012-SV-MASTER</x:v>
      </x:c>
      <x:c r="G79" s="55" t="str">
        <x:v>SAMPLE-HANDOFF</x:v>
      </x:c>
      <x:c r="H79" s="55" t="str">
        <x:v>SCN-VIEW</x:v>
      </x:c>
      <x:c r="I79" s="55" t="str">
        <x:v>P1</x:v>
      </x:c>
      <x:c r="J79" s="47" t="str">
        <x:v>第15场</x:v>
      </x:c>
      <x:c r="K79" s="47" t="str">
        <x:v>相对母图的样品交接，用于镜头连续和空间核验。</x:v>
      </x:c>
      <x:c r="L79" s="47" t="str">
        <x:v>SAMPLE-HANDOFF</x:v>
      </x:c>
      <x:c r="M79" s="47" t="str">
        <x:v>母图确认后生成；与母图做几何、材料、光影和设备位置一致性检查。</x:v>
      </x:c>
      <x:c r="N79" s="47" t="str">
        <x:v>V1.3.1层级化登记完成｜阶段2B待生成</x:v>
      </x:c>
      <x:c r="O79" s="47" t="str">
        <x:v>阶段2B在母图确认后生成本视图。</x:v>
      </x:c>
    </x:row>
    <x:row r="80" ht="46" customHeight="1">
      <x:c r="A80" s="52" t="n">
        <x:v>76</x:v>
      </x:c>
      <x:c r="B80" s="52" t="n">
        <x:v>1</x:v>
      </x:c>
      <x:c r="C80" s="52" t="str">
        <x:v>场景资产组</x:v>
      </x:c>
      <x:c r="D80" s="41" t="str">
        <x:v>未来新闻演播室</x:v>
      </x:c>
      <x:c r="E80" s="41" t="str">
        <x:v>BY-SCN-P1-001-未来新闻演播室</x:v>
      </x:c>
      <x:c r="F80" s="41" t="str"/>
      <x:c r="G80" s="52" t="str"/>
      <x:c r="H80" s="52" t="str">
        <x:v>SCN</x:v>
      </x:c>
      <x:c r="I80" s="52" t="str">
        <x:v>P1</x:v>
      </x:c>
      <x:c r="J80" s="41" t="str">
        <x:v>历史V1.1</x:v>
      </x:c>
      <x:c r="K80" s="41" t="str">
        <x:v>主播台、专家双人位和后方大屏</x:v>
      </x:c>
      <x:c r="L80" s="41" t="str">
        <x:v>主播;专家访谈</x:v>
      </x:c>
      <x:c r="M80" s="41" t="str">
        <x:v>母图与SV1指定视图</x:v>
      </x:c>
      <x:c r="N80" s="41" t="str">
        <x:v>历史停用（V1.2不调用）</x:v>
      </x:c>
      <x:c r="O80" s="41" t="str">
        <x:v>V1.2不使用演播室</x:v>
      </x:c>
    </x:row>
    <x:row r="81" ht="46" customHeight="1">
      <x:c r="A81" s="52" t="n">
        <x:v>77</x:v>
      </x:c>
      <x:c r="B81" s="52" t="n">
        <x:v>1</x:v>
      </x:c>
      <x:c r="C81" s="52" t="str">
        <x:v>场景资产组</x:v>
      </x:c>
      <x:c r="D81" s="41" t="str">
        <x:v>文昌发射场夜景</x:v>
      </x:c>
      <x:c r="E81" s="41" t="str">
        <x:v>BY-SCN-P1-002-文昌发射场夜景</x:v>
      </x:c>
      <x:c r="F81" s="41" t="str"/>
      <x:c r="G81" s="52" t="str"/>
      <x:c r="H81" s="52" t="str">
        <x:v>SCN</x:v>
      </x:c>
      <x:c r="I81" s="52" t="str">
        <x:v>P1</x:v>
      </x:c>
      <x:c r="J81" s="41" t="str">
        <x:v>历史V1.1</x:v>
      </x:c>
      <x:c r="K81" s="41" t="str">
        <x:v>发射塔、箭体、安全区和夜景设施</x:v>
      </x:c>
      <x:c r="L81" s="41" t="str">
        <x:v>首发;第二次发射</x:v>
      </x:c>
      <x:c r="M81" s="41" t="str">
        <x:v>母图、PAD-WIDE、LOW</x:v>
      </x:c>
      <x:c r="N81" s="41" t="str">
        <x:v>历史停用（V1.2不调用）</x:v>
      </x:c>
      <x:c r="O81" s="41" t="str">
        <x:v>V1.2从月轨相遇起片，不含发射</x:v>
      </x:c>
    </x:row>
    <x:row r="82" ht="46" customHeight="1">
      <x:c r="A82" s="52" t="n">
        <x:v>78</x:v>
      </x:c>
      <x:c r="B82" s="52" t="n">
        <x:v>1</x:v>
      </x:c>
      <x:c r="C82" s="52" t="str">
        <x:v>场景资产组</x:v>
      </x:c>
      <x:c r="D82" s="41" t="str">
        <x:v>北京飞控中心大厅</x:v>
      </x:c>
      <x:c r="E82" s="41" t="str">
        <x:v>BY-SCN-P1-004-北京飞控中心大厅</x:v>
      </x:c>
      <x:c r="F82" s="41" t="str"/>
      <x:c r="G82" s="52" t="str"/>
      <x:c r="H82" s="52" t="str">
        <x:v>SCN</x:v>
      </x:c>
      <x:c r="I82" s="52" t="str">
        <x:v>P1</x:v>
      </x:c>
      <x:c r="J82" s="41" t="str">
        <x:v>历史V1.1</x:v>
      </x:c>
      <x:c r="K82" s="41" t="str">
        <x:v>核心飞控席、群像和屏幕墙</x:v>
      </x:c>
      <x:c r="L82" s="41" t="str">
        <x:v>任务常态;触月确认;第一步;返程</x:v>
      </x:c>
      <x:c r="M82" s="41" t="str">
        <x:v>母图与SV1指定视图</x:v>
      </x:c>
      <x:c r="N82" s="41" t="str">
        <x:v>历史停用（V1.2不调用）</x:v>
      </x:c>
      <x:c r="O82" s="41" t="str">
        <x:v>由P0新资产BY-SCN-P0-006替代</x:v>
      </x:c>
    </x:row>
  </x:sheetData>
  <x:mergeCells>
    <x:mergeCell ref="A1:O1"/>
    <x:mergeCell ref="A2:O2"/>
  </x:mergeCells>
  <x:conditionalFormatting sqref="I5:I82">
    <x:cfRule type="containsText" dxfId="2" priority="1" operator="containsText" text="P0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" hidden="0" customWidth="1"/>
    <x:col min="3" max="3" width="18" hidden="0" customWidth="1"/>
    <x:col min="4" max="4" width="30" hidden="0" customWidth="1"/>
    <x:col min="5" max="5" width="43" hidden="0" customWidth="1"/>
    <x:col min="6" max="6" width="43" hidden="0" customWidth="1"/>
    <x:col min="7" max="7" width="18" hidden="0" customWidth="1"/>
    <x:col min="8" max="8" width="12" hidden="0" customWidth="1"/>
    <x:col min="9" max="9" width="9" hidden="0" customWidth="1"/>
    <x:col min="10" max="10" width="28" hidden="0" customWidth="1"/>
    <x:col min="11" max="11" width="45" hidden="0" customWidth="1"/>
    <x:col min="12" max="12" width="38" hidden="0" customWidth="1"/>
    <x:col min="13" max="13" width="48" hidden="0" customWidth="1"/>
    <x:col min="14" max="14" width="26" hidden="0" customWidth="1"/>
    <x:col min="15" max="15" width="38" hidden="0" customWidth="1"/>
  </x:cols>
  <x:sheetData>
    <x:row r="1" ht="38" customHeight="1">
      <x:c r="A1" s="3" t="str">
        <x:v>《奔月》V1.3.1｜道具资产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载具／航天器与任务设备统一纳入道具大类，同时保留VEH、PRP原始类型代码，便于镜头调用与专业分工。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4" customHeight="1">
      <x:c r="A4" s="18" t="str">
        <x:v>分类序号</x:v>
      </x:c>
      <x:c r="B4" s="19" t="str">
        <x:v>层级</x:v>
      </x:c>
      <x:c r="C4" s="19" t="str">
        <x:v>登记项类型</x:v>
      </x:c>
      <x:c r="D4" s="19" t="str">
        <x:v>显示名称</x:v>
      </x:c>
      <x:c r="E4" s="19" t="str">
        <x:v>生产资产ID</x:v>
      </x:c>
      <x:c r="F4" s="19" t="str">
        <x:v>父资产ID</x:v>
      </x:c>
      <x:c r="G4" s="19" t="str">
        <x:v>视图代码</x:v>
      </x:c>
      <x:c r="H4" s="19" t="str">
        <x:v>资产类型</x:v>
      </x:c>
      <x:c r="I4" s="19" t="str">
        <x:v>资产级别</x:v>
      </x:c>
      <x:c r="J4" s="19" t="str">
        <x:v>关联场次或段落</x:v>
      </x:c>
      <x:c r="K4" s="19" t="str">
        <x:v>基础描述</x:v>
      </x:c>
      <x:c r="L4" s="19" t="str">
        <x:v>状态变体</x:v>
      </x:c>
      <x:c r="M4" s="19" t="str">
        <x:v>使用或生成需求</x:v>
      </x:c>
      <x:c r="N4" s="19" t="str">
        <x:v>确认状态</x:v>
      </x:c>
      <x:c r="O4" s="20" t="str">
        <x:v>阶段2处理建议</x:v>
      </x:c>
    </x:row>
    <x:row r="5" ht="46" customHeight="1">
      <x:c r="A5" s="52" t="n">
        <x:v>1</x:v>
      </x:c>
      <x:c r="B5" s="52" t="n">
        <x:v>1</x:v>
      </x:c>
      <x:c r="C5" s="52" t="str">
        <x:v>载具／航天器</x:v>
      </x:c>
      <x:c r="D5" s="41" t="str">
        <x:v>长征十号揽月发射构型</x:v>
      </x:c>
      <x:c r="E5" s="41" t="str">
        <x:v>BY-VEH-P1-001-长征十号揽月发射构型</x:v>
      </x:c>
      <x:c r="F5" s="41" t="str"/>
      <x:c r="G5" s="52" t="str"/>
      <x:c r="H5" s="52" t="str">
        <x:v>VEH</x:v>
      </x:c>
      <x:c r="I5" s="52" t="str">
        <x:v>P1</x:v>
      </x:c>
      <x:c r="J5" s="41" t="str">
        <x:v>历史V1.1</x:v>
      </x:c>
      <x:c r="K5" s="41" t="str">
        <x:v>首枚长征十号搭载揽月</x:v>
      </x:c>
      <x:c r="L5" s="41" t="str">
        <x:v>发射前;点火;离架</x:v>
      </x:c>
      <x:c r="M5" s="41" t="str">
        <x:v>外部多角度与发射参考</x:v>
      </x:c>
      <x:c r="N5" s="41" t="str">
        <x:v>历史停用（V1.2不调用）</x:v>
      </x:c>
      <x:c r="O5" s="41" t="str">
        <x:v>V1.2不含发射</x:v>
      </x:c>
    </x:row>
    <x:row r="6" ht="46" customHeight="1">
      <x:c r="A6" s="52" t="n">
        <x:v>2</x:v>
      </x:c>
      <x:c r="B6" s="52" t="n">
        <x:v>1</x:v>
      </x:c>
      <x:c r="C6" s="52" t="str">
        <x:v>载具／航天器</x:v>
      </x:c>
      <x:c r="D6" s="41" t="str">
        <x:v>长征十号梦舟发射构型</x:v>
      </x:c>
      <x:c r="E6" s="41" t="str">
        <x:v>BY-VEH-P1-002-长征十号梦舟发射构型</x:v>
      </x:c>
      <x:c r="F6" s="41" t="str"/>
      <x:c r="G6" s="52" t="str"/>
      <x:c r="H6" s="52" t="str">
        <x:v>VEH</x:v>
      </x:c>
      <x:c r="I6" s="52" t="str">
        <x:v>P1</x:v>
      </x:c>
      <x:c r="J6" s="41" t="str">
        <x:v>历史V1.1</x:v>
      </x:c>
      <x:c r="K6" s="41" t="str">
        <x:v>第二枚长征十号搭载梦舟与三人</x:v>
      </x:c>
      <x:c r="L6" s="41" t="str">
        <x:v>发射前;点火;离架</x:v>
      </x:c>
      <x:c r="M6" s="41" t="str">
        <x:v>外部多角度与发射参考</x:v>
      </x:c>
      <x:c r="N6" s="41" t="str">
        <x:v>历史停用（V1.2不调用）</x:v>
      </x:c>
      <x:c r="O6" s="41" t="str">
        <x:v>V1.2不含发射</x:v>
      </x:c>
    </x:row>
    <x:row r="7" ht="46" customHeight="1">
      <x:c r="A7" s="50" t="n">
        <x:v>3</x:v>
      </x:c>
      <x:c r="B7" s="50" t="n">
        <x:v>1</x:v>
      </x:c>
      <x:c r="C7" s="50" t="str">
        <x:v>载具／航天器</x:v>
      </x:c>
      <x:c r="D7" s="36" t="str">
        <x:v>梦舟载人飞船</x:v>
      </x:c>
      <x:c r="E7" s="36" t="str">
        <x:v>BY-VEH-P0-001-梦舟载人飞船</x:v>
      </x:c>
      <x:c r="F7" s="36" t="str"/>
      <x:c r="G7" s="50" t="str"/>
      <x:c r="H7" s="50" t="str">
        <x:v>VEH</x:v>
      </x:c>
      <x:c r="I7" s="50" t="str">
        <x:v>P0</x:v>
      </x:c>
      <x:c r="J7" s="36" t="str">
        <x:v>01;03;11;13</x:v>
      </x:c>
      <x:c r="K7" s="36" t="str">
        <x:v>三人环月飞船，含返回舱、服务舱和对接口</x:v>
      </x:c>
      <x:c r="L7" s="36" t="str">
        <x:v>交会;分离;月地转移</x:v>
      </x:c>
      <x:c r="M7" s="36" t="str">
        <x:v>外部多视图、对接轴视图</x:v>
      </x:c>
      <x:c r="N7" s="36" t="str">
        <x:v>已确认</x:v>
      </x:c>
      <x:c r="O7" s="36" t="str">
        <x:v>P0航天器首批</x:v>
      </x:c>
    </x:row>
    <x:row r="8" ht="46" customHeight="1">
      <x:c r="A8" s="50" t="n">
        <x:v>4</x:v>
      </x:c>
      <x:c r="B8" s="50" t="n">
        <x:v>1</x:v>
      </x:c>
      <x:c r="C8" s="50" t="str">
        <x:v>载具／航天器</x:v>
      </x:c>
      <x:c r="D8" s="36" t="str">
        <x:v>揽月着陆器＋推进舱月轨组合体</x:v>
      </x:c>
      <x:c r="E8" s="36" t="str">
        <x:v>BY-VEH-P0-002-揽月完整构型</x:v>
      </x:c>
      <x:c r="F8" s="36" t="str"/>
      <x:c r="G8" s="50" t="str"/>
      <x:c r="H8" s="50" t="str">
        <x:v>VEH</x:v>
      </x:c>
      <x:c r="I8" s="50" t="str">
        <x:v>P0</x:v>
      </x:c>
      <x:c r="J8" s="36" t="str">
        <x:v>场1,2,4；镜002,005,008,010,011,020,021,024,025</x:v>
      </x:c>
      <x:c r="K8" s="36" t="str">
        <x:v>登月舱与推进舱组成的下降前构型</x:v>
      </x:c>
      <x:c r="L8" s="36" t="str">
        <x:v>交会接近；对接；分离；降轨点火；推进舱任务完成</x:v>
      </x:c>
      <x:c r="M8" s="36" t="str">
        <x:v>外部多视图与尺度图</x:v>
      </x:c>
      <x:c r="N8" s="36" t="str">
        <x:v>已确认</x:v>
      </x:c>
      <x:c r="O8" s="36" t="str">
        <x:v>V1.2外部构型链首要验证资产</x:v>
      </x:c>
    </x:row>
    <x:row r="9" ht="46" customHeight="1">
      <x:c r="A9" s="50" t="n">
        <x:v>5</x:v>
      </x:c>
      <x:c r="B9" s="50" t="n">
        <x:v>1</x:v>
      </x:c>
      <x:c r="C9" s="50" t="str">
        <x:v>载具／航天器</x:v>
      </x:c>
      <x:c r="D9" s="36" t="str">
        <x:v>揽月登月舱</x:v>
      </x:c>
      <x:c r="E9" s="36" t="str">
        <x:v>BY-VEH-P0-003-揽月登月舱</x:v>
      </x:c>
      <x:c r="F9" s="36" t="str"/>
      <x:c r="G9" s="50" t="str"/>
      <x:c r="H9" s="50" t="str">
        <x:v>VEH</x:v>
      </x:c>
      <x:c r="I9" s="50" t="str">
        <x:v>P0</x:v>
      </x:c>
      <x:c r="J9" s="36" t="str">
        <x:v>场4,5,6,7,8,9,10,11；镜025,027,033,037,038,039,042,047,051,054,055,057,058,067,068,074,075</x:v>
      </x:c>
      <x:c r="K9" s="36" t="str">
        <x:v>推进舱分离后完成着陆、月面驻留、起飞与对接</x:v>
      </x:c>
      <x:c r="L9" s="36" t="str">
        <x:v>下降姿态；触月承载；月面驻留；整器起飞；环月交会</x:v>
      </x:c>
      <x:c r="M9" s="36" t="str">
        <x:v>外部多视图、着陆与起飞状态</x:v>
      </x:c>
      <x:c r="N9" s="36" t="str">
        <x:v>已确认</x:v>
      </x:c>
      <x:c r="O9" s="36" t="str">
        <x:v>P0航天器首批</x:v>
      </x:c>
    </x:row>
    <x:row r="10" ht="46" customHeight="1">
      <x:c r="A10" s="50" t="n">
        <x:v>6</x:v>
      </x:c>
      <x:c r="B10" s="50" t="n">
        <x:v>1</x:v>
      </x:c>
      <x:c r="C10" s="50" t="str">
        <x:v>载具／航天器</x:v>
      </x:c>
      <x:c r="D10" s="36" t="str">
        <x:v>揽月推进舱分离状态</x:v>
      </x:c>
      <x:c r="E10" s="36" t="str">
        <x:v>BY-VEH-P1-003-揽月推进舱分离状态</x:v>
      </x:c>
      <x:c r="F10" s="36" t="str"/>
      <x:c r="G10" s="50" t="str"/>
      <x:c r="H10" s="50" t="str">
        <x:v>VEH</x:v>
      </x:c>
      <x:c r="I10" s="50" t="str">
        <x:v>P1</x:v>
      </x:c>
      <x:c r="J10" s="36" t="str">
        <x:v>场4；镜025</x:v>
      </x:c>
      <x:c r="K10" s="36" t="str">
        <x:v>公开流程的推进舱分离结果</x:v>
      </x:c>
      <x:c r="L10" s="36" t="str">
        <x:v>分离前;分离后</x:v>
      </x:c>
      <x:c r="M10" s="36" t="str">
        <x:v>状态对照资产</x:v>
      </x:c>
      <x:c r="N10" s="36" t="str">
        <x:v>已确认采用</x:v>
      </x:c>
      <x:c r="O10" s="36" t="str">
        <x:v>随完整构型制作</x:v>
      </x:c>
    </x:row>
    <x:row r="11" ht="46" customHeight="1">
      <x:c r="A11" s="50" t="n">
        <x:v>7</x:v>
      </x:c>
      <x:c r="B11" s="50" t="n">
        <x:v>1</x:v>
      </x:c>
      <x:c r="C11" s="50" t="str">
        <x:v>载具／航天器</x:v>
      </x:c>
      <x:c r="D11" s="36" t="str">
        <x:v>探索载人月球车</x:v>
      </x:c>
      <x:c r="E11" s="36" t="str">
        <x:v>BY-VEH-P0-004-探索载人月球车</x:v>
      </x:c>
      <x:c r="F11" s="36" t="str"/>
      <x:c r="G11" s="50" t="str"/>
      <x:c r="H11" s="50" t="str">
        <x:v>VEH</x:v>
      </x:c>
      <x:c r="I11" s="50" t="str">
        <x:v>P0</x:v>
      </x:c>
      <x:c r="J11" s="36" t="str">
        <x:v>场9；镜058,059,066,067</x:v>
      </x:c>
      <x:c r="K11" s="36" t="str">
        <x:v>双人驾乘月面移动与探测辅助载具</x:v>
      </x:c>
      <x:c r="L11" s="36" t="str">
        <x:v>折叠或驻车;双人行驶</x:v>
      </x:c>
      <x:c r="M11" s="36" t="str">
        <x:v>多视图、双人尺度、行驶状态</x:v>
      </x:c>
      <x:c r="N11" s="36" t="str">
        <x:v>已确认</x:v>
      </x:c>
      <x:c r="O11" s="36" t="str">
        <x:v>月面设备包</x:v>
      </x:c>
    </x:row>
    <x:row r="12" ht="46" customHeight="1">
      <x:c r="A12" s="50" t="n">
        <x:v>8</x:v>
      </x:c>
      <x:c r="B12" s="50" t="n">
        <x:v>1</x:v>
      </x:c>
      <x:c r="C12" s="50" t="str">
        <x:v>载具／航天器</x:v>
      </x:c>
      <x:c r="D12" s="36" t="str">
        <x:v>梦舟返回舱＋服务舱月轨组合体</x:v>
      </x:c>
      <x:c r="E12" s="36" t="str">
        <x:v>BY-VEH-P0-005-梦舟月轨组合体</x:v>
      </x:c>
      <x:c r="F12" s="36" t="str"/>
      <x:c r="G12" s="50" t="str"/>
      <x:c r="H12" s="50" t="str">
        <x:v>VEH</x:v>
      </x:c>
      <x:c r="I12" s="50" t="str">
        <x:v>P0</x:v>
      </x:c>
      <x:c r="J12" s="36" t="str">
        <x:v>场1,2,4,12,13,14；镜002,005,008,010,011,020,021,084,085,087,093,095,096,098</x:v>
      </x:c>
      <x:c r="K12" s="36" t="str">
        <x:v>返回舱、无人服务舱、太阳翼和前向对接口可辨认的完整组合体。</x:v>
      </x:c>
      <x:c r="L12" s="36" t="str">
        <x:v>环月待机；两次对接；地月转移姿态</x:v>
      </x:c>
      <x:c r="M12" s="36" t="str">
        <x:v>完整组合体结构验证和关键状态视图</x:v>
      </x:c>
      <x:c r="N12" s="36" t="str">
        <x:v>已确认生产方向</x:v>
      </x:c>
      <x:c r="O12" s="36" t="str">
        <x:v>阶段2A重入后按生产包执行</x:v>
      </x:c>
    </x:row>
    <x:row r="13" ht="46" customHeight="1">
      <x:c r="A13" s="50" t="n">
        <x:v>9</x:v>
      </x:c>
      <x:c r="B13" s="50" t="n">
        <x:v>1</x:v>
      </x:c>
      <x:c r="C13" s="50" t="str">
        <x:v>载具／航天器</x:v>
      </x:c>
      <x:c r="D13" s="36" t="str">
        <x:v>梦舟返回舱独立再入构型</x:v>
      </x:c>
      <x:c r="E13" s="36" t="str">
        <x:v>BY-VEH-P0-006-梦舟返回舱独立再入构型</x:v>
      </x:c>
      <x:c r="F13" s="36" t="str"/>
      <x:c r="G13" s="50" t="str"/>
      <x:c r="H13" s="50" t="str">
        <x:v>VEH</x:v>
      </x:c>
      <x:c r="I13" s="50" t="str">
        <x:v>P0</x:v>
      </x:c>
      <x:c r="J13" s="36" t="str">
        <x:v>场15；镜102,104,105,106,108</x:v>
      </x:c>
      <x:c r="K13" s="36" t="str">
        <x:v>服务舱分离后的独立返回舱，防热大底朝向清楚。</x:v>
      </x:c>
      <x:c r="L13" s="36" t="str">
        <x:v>分离；姿态调整；等离子再入；开伞前</x:v>
      </x:c>
      <x:c r="M13" s="36" t="str">
        <x:v>结构验证＋再入状态继承</x:v>
      </x:c>
      <x:c r="N13" s="36" t="str">
        <x:v>已确认生产方向</x:v>
      </x:c>
      <x:c r="O13" s="36" t="str">
        <x:v>阶段2A重入后按生产包执行</x:v>
      </x:c>
    </x:row>
    <x:row r="14" ht="46" customHeight="1">
      <x:c r="A14" s="50" t="n">
        <x:v>10</x:v>
      </x:c>
      <x:c r="B14" s="50" t="n">
        <x:v>1</x:v>
      </x:c>
      <x:c r="C14" s="50" t="str">
        <x:v>载具／航天器</x:v>
      </x:c>
      <x:c r="D14" s="36" t="str">
        <x:v>返回舱群伞／气囊着陆构型</x:v>
      </x:c>
      <x:c r="E14" s="36" t="str">
        <x:v>BY-VEH-P0-007-返回舱群伞气囊着陆构型</x:v>
      </x:c>
      <x:c r="F14" s="36" t="str"/>
      <x:c r="G14" s="50" t="str"/>
      <x:c r="H14" s="50" t="str">
        <x:v>VEH</x:v>
      </x:c>
      <x:c r="I14" s="50" t="str">
        <x:v>P0</x:v>
      </x:c>
      <x:c r="J14" s="36" t="str">
        <x:v>场15,16；镜108,109,110,111,112,113,114</x:v>
      </x:c>
      <x:c r="K14" s="36" t="str">
        <x:v>返回舱稳定伞、主伞、充气气囊和陆上着陆状态。</x:v>
      </x:c>
      <x:c r="L14" s="36" t="str">
        <x:v>稳定伞；主伞；气囊充气；触地滚摆；着陆稳定</x:v>
      </x:c>
      <x:c r="M14" s="36" t="str">
        <x:v>与开伞、气囊VFX和搜救场景联合验证</x:v>
      </x:c>
      <x:c r="N14" s="36" t="str">
        <x:v>已确认生产方向</x:v>
      </x:c>
      <x:c r="O14" s="36" t="str">
        <x:v>阶段2A重入后按生产包执行</x:v>
      </x:c>
    </x:row>
    <x:row r="15" ht="46" customHeight="1">
      <x:c r="A15" s="50" t="n">
        <x:v>11</x:v>
      </x:c>
      <x:c r="B15" s="50" t="n">
        <x:v>1</x:v>
      </x:c>
      <x:c r="C15" s="50" t="str">
        <x:v>载具／航天器</x:v>
      </x:c>
      <x:c r="D15" s="36" t="str">
        <x:v>揽月整器月面起飞状态</x:v>
      </x:c>
      <x:c r="E15" s="36" t="str">
        <x:v>BY-VEH-P1-004-揽月月面起飞状态</x:v>
      </x:c>
      <x:c r="F15" s="36" t="str"/>
      <x:c r="G15" s="50" t="str"/>
      <x:c r="H15" s="50" t="str">
        <x:v>VEH</x:v>
      </x:c>
      <x:c r="I15" s="50" t="str">
        <x:v>P1</x:v>
      </x:c>
      <x:c r="J15" s="36" t="str">
        <x:v>场11；镜074,075,078</x:v>
      </x:c>
      <x:c r="K15" s="36" t="str">
        <x:v>四条着陆腿随着陆器整体离月的构型。</x:v>
      </x:c>
      <x:c r="L15" s="36" t="str">
        <x:v>点火；垂直上升；俯仰转弯；入轨</x:v>
      </x:c>
      <x:c r="M15" s="36" t="str">
        <x:v>由揽月基础资产派生状态</x:v>
      </x:c>
      <x:c r="N15" s="36" t="str">
        <x:v>已确认生产方向</x:v>
      </x:c>
      <x:c r="O15" s="36" t="str">
        <x:v>阶段2A重入后按生产包执行</x:v>
      </x:c>
    </x:row>
    <x:row r="16" ht="46" customHeight="1">
      <x:c r="A16" s="50" t="n">
        <x:v>12</x:v>
      </x:c>
      <x:c r="B16" s="50" t="n">
        <x:v>1</x:v>
      </x:c>
      <x:c r="C16" s="50" t="str">
        <x:v>载具／航天器</x:v>
      </x:c>
      <x:c r="D16" s="36" t="str">
        <x:v>揽月月轨再交会对接状态</x:v>
      </x:c>
      <x:c r="E16" s="36" t="str">
        <x:v>BY-VEH-P1-005-揽月月轨再对接状态</x:v>
      </x:c>
      <x:c r="F16" s="36" t="str"/>
      <x:c r="G16" s="50" t="str"/>
      <x:c r="H16" s="50" t="str">
        <x:v>VEH</x:v>
      </x:c>
      <x:c r="I16" s="50" t="str">
        <x:v>P1</x:v>
      </x:c>
      <x:c r="J16" s="36" t="str">
        <x:v>场12；镜084,085,087</x:v>
      </x:c>
      <x:c r="K16" s="36" t="str">
        <x:v>月面起飞后的揽月与梦舟轴向接近、捕获和硬连接。</x:v>
      </x:c>
      <x:c r="L16" s="36" t="str">
        <x:v>近程导引；百米点；最终接近；捕获；硬连接</x:v>
      </x:c>
      <x:c r="M16" s="36" t="str">
        <x:v>两器尺度与对接轴线验证</x:v>
      </x:c>
      <x:c r="N16" s="36" t="str">
        <x:v>已确认生产方向</x:v>
      </x:c>
      <x:c r="O16" s="36" t="str">
        <x:v>阶段2A重入后按生产包执行</x:v>
      </x:c>
    </x:row>
    <x:row r="17" ht="46" customHeight="1">
      <x:c r="A17" s="50" t="n">
        <x:v>13</x:v>
      </x:c>
      <x:c r="B17" s="50" t="n">
        <x:v>1</x:v>
      </x:c>
      <x:c r="C17" s="50" t="str">
        <x:v>载具／航天器</x:v>
      </x:c>
      <x:c r="D17" s="36" t="str">
        <x:v>揽月受控分离处置状态</x:v>
      </x:c>
      <x:c r="E17" s="36" t="str">
        <x:v>BY-VEH-P1-006-揽月受控处置状态</x:v>
      </x:c>
      <x:c r="F17" s="36" t="str"/>
      <x:c r="G17" s="50" t="str"/>
      <x:c r="H17" s="50" t="str">
        <x:v>VEH</x:v>
      </x:c>
      <x:c r="I17" s="50" t="str">
        <x:v>P1</x:v>
      </x:c>
      <x:c r="J17" s="36" t="str">
        <x:v>场13；镜093,095</x:v>
      </x:c>
      <x:c r="K17" s="36" t="str">
        <x:v>人员与样品转移完成后，揽月与梦舟分离并进入另一条处置轨迹。</x:v>
      </x:c>
      <x:c r="L17" s="36" t="str">
        <x:v>分离；安全距离；轨迹分叉；远离</x:v>
      </x:c>
      <x:c r="M17" s="36" t="str">
        <x:v>与处置轨迹VFX联合制作</x:v>
      </x:c>
      <x:c r="N17" s="36" t="str">
        <x:v>已确认生产方向</x:v>
      </x:c>
      <x:c r="O17" s="36" t="str">
        <x:v>阶段2A重入后按生产包执行</x:v>
      </x:c>
    </x:row>
    <x:row r="18" ht="46" customHeight="1">
      <x:c r="A18" s="50" t="n">
        <x:v>14</x:v>
      </x:c>
      <x:c r="B18" s="50" t="n">
        <x:v>1</x:v>
      </x:c>
      <x:c r="C18" s="50" t="str">
        <x:v>载具／航天器</x:v>
      </x:c>
      <x:c r="D18" s="36" t="str">
        <x:v>梦舟服务舱近地分离状态</x:v>
      </x:c>
      <x:c r="E18" s="36" t="str">
        <x:v>BY-VEH-P1-007-梦舟服务舱近地分离状态</x:v>
      </x:c>
      <x:c r="F18" s="36" t="str"/>
      <x:c r="G18" s="50" t="str"/>
      <x:c r="H18" s="50" t="str">
        <x:v>VEH</x:v>
      </x:c>
      <x:c r="I18" s="50" t="str">
        <x:v>P1</x:v>
      </x:c>
      <x:c r="J18" s="36" t="str">
        <x:v>场15；镜102</x:v>
      </x:c>
      <x:c r="K18" s="36" t="str">
        <x:v>近地再入前服务舱与返回舱分离，只有返回舱进入大气。</x:v>
      </x:c>
      <x:c r="L18" s="36" t="str">
        <x:v>主供能关闭；分离；返回舱调姿</x:v>
      </x:c>
      <x:c r="M18" s="36" t="str">
        <x:v>外部构型状态验证</x:v>
      </x:c>
      <x:c r="N18" s="36" t="str">
        <x:v>已确认生产方向</x:v>
      </x:c>
      <x:c r="O18" s="36" t="str">
        <x:v>阶段2A重入后按生产包执行</x:v>
      </x:c>
    </x:row>
    <x:row r="19" ht="46" customHeight="1">
      <x:c r="A19" s="50" t="n">
        <x:v>15</x:v>
      </x:c>
      <x:c r="B19" s="50" t="n">
        <x:v>1</x:v>
      </x:c>
      <x:c r="C19" s="50" t="str">
        <x:v>载具／航天器</x:v>
      </x:c>
      <x:c r="D19" s="36" t="str">
        <x:v>搜救直升机与地面车辆配置</x:v>
      </x:c>
      <x:c r="E19" s="36" t="str">
        <x:v>BY-VEH-P1-008-搜救直升机与地面车辆</x:v>
      </x:c>
      <x:c r="F19" s="36" t="str"/>
      <x:c r="G19" s="50" t="str"/>
      <x:c r="H19" s="50" t="str">
        <x:v>VEH</x:v>
      </x:c>
      <x:c r="I19" s="50" t="str">
        <x:v>P1</x:v>
      </x:c>
      <x:c r="J19" s="36" t="str">
        <x:v>场16；镜110</x:v>
      </x:c>
      <x:c r="K19" s="36" t="str">
        <x:v>空中和地面两路接近返回舱的搜救载具。</x:v>
      </x:c>
      <x:c r="L19" s="36" t="str">
        <x:v>远距接近；抵达；医疗／样品转运</x:v>
      </x:c>
      <x:c r="M19" s="36" t="str">
        <x:v>载具配置与尺度验证</x:v>
      </x:c>
      <x:c r="N19" s="36" t="str">
        <x:v>已确认生产方向</x:v>
      </x:c>
      <x:c r="O19" s="36" t="str">
        <x:v>阶段2A重入后按生产包执行</x:v>
      </x:c>
    </x:row>
    <x:row r="20" ht="46" customHeight="1">
      <x:c r="A20" s="50" t="n">
        <x:v>16</x:v>
      </x:c>
      <x:c r="B20" s="50" t="n">
        <x:v>1</x:v>
      </x:c>
      <x:c r="C20" s="50" t="str">
        <x:v>设备／道具</x:v>
      </x:c>
      <x:c r="D20" s="36" t="str">
        <x:v>梦舟三座椅与束缚系统</x:v>
      </x:c>
      <x:c r="E20" s="36" t="str">
        <x:v>BY-PRP-P0-001-梦舟三座椅与束缚系统</x:v>
      </x:c>
      <x:c r="F20" s="36" t="str"/>
      <x:c r="G20" s="50" t="str"/>
      <x:c r="H20" s="50" t="str">
        <x:v>PRP</x:v>
      </x:c>
      <x:c r="I20" s="50" t="str">
        <x:v>P0</x:v>
      </x:c>
      <x:c r="J20" s="36" t="str">
        <x:v>第1—3、5、11、14—15场</x:v>
      </x:c>
      <x:c r="K20" s="36" t="str">
        <x:v>两张空座椅视觉母题和三人座位</x:v>
      </x:c>
      <x:c r="L20" s="36" t="str">
        <x:v>三座满员；两座空置锁定；三人重聚；再入载荷承载；着陆缓冲</x:v>
      </x:c>
      <x:c r="M20" s="36" t="str">
        <x:v>同一套座椅保持承力骨架、基座和朝向稳定，四种状态只改变人员、束缚、靠背角度与载荷状态。</x:v>
      </x:c>
      <x:c r="N20" s="36" t="str">
        <x:v>功能与补全口径已确认;形制由阶段2设计</x:v>
      </x:c>
      <x:c r="O20" s="36" t="str">
        <x:v>与梦舟舱内母资产同步设计，禁止独立生成三张互不兼容座椅图</x:v>
      </x:c>
    </x:row>
    <x:row r="21" ht="46" customHeight="1">
      <x:c r="A21" s="50" t="n">
        <x:v>17</x:v>
      </x:c>
      <x:c r="B21" s="50" t="n">
        <x:v>1</x:v>
      </x:c>
      <x:c r="C21" s="50" t="str">
        <x:v>设备／道具</x:v>
      </x:c>
      <x:c r="D21" s="36" t="str">
        <x:v>揽月舷梯与扶手系统</x:v>
      </x:c>
      <x:c r="E21" s="36" t="str">
        <x:v>BY-PRP-P0-002-揽月舷梯与扶手系统</x:v>
      </x:c>
      <x:c r="F21" s="36" t="str"/>
      <x:c r="G21" s="50" t="str"/>
      <x:c r="H21" s="50" t="str">
        <x:v>PRP</x:v>
      </x:c>
      <x:c r="I21" s="50" t="str">
        <x:v>P0</x:v>
      </x:c>
      <x:c r="J21" s="36" t="str">
        <x:v>场7,8,10；镜047,048,049,052,069</x:v>
      </x:c>
      <x:c r="K21" s="36" t="str">
        <x:v>出舱、下降与第一步动作路径</x:v>
      </x:c>
      <x:c r="L21" s="36" t="str">
        <x:v>收纳;展开;使用</x:v>
      </x:c>
      <x:c r="M21" s="36" t="str">
        <x:v>结构多视图、人物动作尺度</x:v>
      </x:c>
      <x:c r="N21" s="36" t="str">
        <x:v>已确认</x:v>
      </x:c>
      <x:c r="O21" s="36" t="str">
        <x:v>随揽月登月舱设计</x:v>
      </x:c>
    </x:row>
    <x:row r="22" ht="46" customHeight="1">
      <x:c r="A22" s="50" t="n">
        <x:v>18</x:v>
      </x:c>
      <x:c r="B22" s="50" t="n">
        <x:v>1</x:v>
      </x:c>
      <x:c r="C22" s="50" t="str">
        <x:v>设备／道具</x:v>
      </x:c>
      <x:c r="D22" s="36" t="str">
        <x:v>便携式月面摄像机</x:v>
      </x:c>
      <x:c r="E22" s="36" t="str">
        <x:v>BY-PRP-P0-003-便携式月面摄像机</x:v>
      </x:c>
      <x:c r="F22" s="36" t="str"/>
      <x:c r="G22" s="50" t="str"/>
      <x:c r="H22" s="50" t="str">
        <x:v>PRP</x:v>
      </x:c>
      <x:c r="I22" s="50" t="str">
        <x:v>P0</x:v>
      </x:c>
      <x:c r="J22" s="36" t="str">
        <x:v>第8—11场</x:v>
      </x:c>
      <x:c r="K22" s="36" t="str">
        <x:v>建立国旗与月面起飞固定摄影来源</x:v>
      </x:c>
      <x:c r="L22" s="36" t="str">
        <x:v>舱外取出；双人部署；固定全景；延时记录；起飞留场空镜</x:v>
      </x:c>
      <x:c r="M22" s="36" t="str">
        <x:v>镜60部署后，镜61、63—64、69、76、81必须复用同一机位与同一设备。</x:v>
      </x:c>
      <x:c r="N22" s="36" t="str">
        <x:v>已确认</x:v>
      </x:c>
      <x:c r="O22" s="36" t="str">
        <x:v>月面设备包</x:v>
      </x:c>
    </x:row>
    <x:row r="23" ht="46" customHeight="1">
      <x:c r="A23" s="50" t="n">
        <x:v>19</x:v>
      </x:c>
      <x:c r="B23" s="50" t="n">
        <x:v>1</x:v>
      </x:c>
      <x:c r="C23" s="50" t="str">
        <x:v>设备／道具</x:v>
      </x:c>
      <x:c r="D23" s="36" t="str">
        <x:v>工程化国旗展示装置</x:v>
      </x:c>
      <x:c r="E23" s="36" t="str">
        <x:v>BY-PRP-P0-004-工程化国旗展示装置</x:v>
      </x:c>
      <x:c r="F23" s="36" t="str"/>
      <x:c r="G23" s="50" t="str"/>
      <x:c r="H23" s="50" t="str">
        <x:v>PRP</x:v>
      </x:c>
      <x:c r="I23" s="50" t="str">
        <x:v>P0</x:v>
      </x:c>
      <x:c r="J23" s="36" t="str">
        <x:v>场7,8,9,11；镜045,054,055,056,057,067,074</x:v>
      </x:c>
      <x:c r="K23" s="36" t="str">
        <x:v>底座、立杆、横向支撑和锁止结构</x:v>
      </x:c>
      <x:c r="L23" s="36" t="str">
        <x:v>折叠;搬运;展开;静止</x:v>
      </x:c>
      <x:c r="M23" s="36" t="str">
        <x:v>结构多视图、双人部署尺度</x:v>
      </x:c>
      <x:c r="N23" s="36" t="str">
        <x:v>已确认</x:v>
      </x:c>
      <x:c r="O23" s="36" t="str">
        <x:v>阶段2关键道具测试</x:v>
      </x:c>
    </x:row>
    <x:row r="24" ht="46" customHeight="1">
      <x:c r="A24" s="50" t="n">
        <x:v>20</x:v>
      </x:c>
      <x:c r="B24" s="50" t="n">
        <x:v>1</x:v>
      </x:c>
      <x:c r="C24" s="50" t="str">
        <x:v>设备／道具</x:v>
      </x:c>
      <x:c r="D24" s="36" t="str">
        <x:v>主样品密封转移容器</x:v>
      </x:c>
      <x:c r="E24" s="36" t="str">
        <x:v>BY-PRP-P0-005-密封样品转移容器</x:v>
      </x:c>
      <x:c r="F24" s="36" t="str"/>
      <x:c r="G24" s="50" t="str"/>
      <x:c r="H24" s="50" t="str">
        <x:v>PRP</x:v>
      </x:c>
      <x:c r="I24" s="50" t="str">
        <x:v>P0</x:v>
      </x:c>
      <x:c r="J24" s="36" t="str">
        <x:v>场10,11,13,14,16；镜068,071,076,089,101,113</x:v>
      </x:c>
      <x:c r="K24" s="36" t="str">
        <x:v>样品从月面到梦舟的稳定容器</x:v>
      </x:c>
      <x:c r="L24" s="36" t="str">
        <x:v>空载固定；装样封闭；外平台转移；揽月舱内锁止；跨舱转移；梦舟样品柜锁止</x:v>
      </x:c>
      <x:c r="M24" s="36" t="str">
        <x:v>多视图、手套与双手交接尺度</x:v>
      </x:c>
      <x:c r="N24" s="36" t="str">
        <x:v>已确认</x:v>
      </x:c>
      <x:c r="O24" s="36" t="str">
        <x:v>样品链核心资产</x:v>
      </x:c>
    </x:row>
    <x:row r="25" ht="46" customHeight="1">
      <x:c r="A25" s="50" t="n">
        <x:v>21</x:v>
      </x:c>
      <x:c r="B25" s="50" t="n">
        <x:v>1</x:v>
      </x:c>
      <x:c r="C25" s="50" t="str">
        <x:v>设备／道具</x:v>
      </x:c>
      <x:c r="D25" s="36" t="str">
        <x:v>月面采样工具</x:v>
      </x:c>
      <x:c r="E25" s="36" t="str">
        <x:v>BY-PRP-P1-001-月面采样工具</x:v>
      </x:c>
      <x:c r="F25" s="36" t="str"/>
      <x:c r="G25" s="50" t="str"/>
      <x:c r="H25" s="50" t="str">
        <x:v>PRP</x:v>
      </x:c>
      <x:c r="I25" s="50" t="str">
        <x:v>P1</x:v>
      </x:c>
      <x:c r="J25" s="36" t="str">
        <x:v>场7,9；镜045,059,062</x:v>
      </x:c>
      <x:c r="K25" s="36" t="str">
        <x:v>手套可操作的月壤采样工具</x:v>
      </x:c>
      <x:c r="L25" s="36" t="str">
        <x:v>收纳;使用</x:v>
      </x:c>
      <x:c r="M25" s="36" t="str">
        <x:v>多视图与使用动作参考</x:v>
      </x:c>
      <x:c r="N25" s="36" t="str">
        <x:v>已确认采用</x:v>
      </x:c>
      <x:c r="O25" s="36" t="str">
        <x:v>月面设备包</x:v>
      </x:c>
    </x:row>
    <x:row r="26" ht="46" customHeight="1">
      <x:c r="A26" s="50" t="n">
        <x:v>22</x:v>
      </x:c>
      <x:c r="B26" s="50" t="n">
        <x:v>1</x:v>
      </x:c>
      <x:c r="C26" s="50" t="str">
        <x:v>设备／道具</x:v>
      </x:c>
      <x:c r="D26" s="36" t="str">
        <x:v>月壤样品容器</x:v>
      </x:c>
      <x:c r="E26" s="36" t="str">
        <x:v>BY-PRP-P1-002-月壤样品容器</x:v>
      </x:c>
      <x:c r="F26" s="36" t="str"/>
      <x:c r="G26" s="50" t="str"/>
      <x:c r="H26" s="50" t="str">
        <x:v>PRP</x:v>
      </x:c>
      <x:c r="I26" s="50" t="str">
        <x:v>P1</x:v>
      </x:c>
      <x:c r="J26" s="36" t="str">
        <x:v>场7,9；镜045,059,062</x:v>
      </x:c>
      <x:c r="K26" s="36" t="str">
        <x:v>接收月壤并封闭的内层容器</x:v>
      </x:c>
      <x:c r="L26" s="36" t="str">
        <x:v>开启;装样;关闭</x:v>
      </x:c>
      <x:c r="M26" s="36" t="str">
        <x:v>多视图与手套操作参考</x:v>
      </x:c>
      <x:c r="N26" s="36" t="str">
        <x:v>已确认采用</x:v>
      </x:c>
      <x:c r="O26" s="36" t="str">
        <x:v>样品链资产</x:v>
      </x:c>
    </x:row>
    <x:row r="27" ht="46" customHeight="1">
      <x:c r="A27" s="50" t="n">
        <x:v>23</x:v>
      </x:c>
      <x:c r="B27" s="50" t="n">
        <x:v>1</x:v>
      </x:c>
      <x:c r="C27" s="50" t="str">
        <x:v>设备／道具</x:v>
      </x:c>
      <x:c r="D27" s="36" t="str">
        <x:v>小型月面科学载荷</x:v>
      </x:c>
      <x:c r="E27" s="36" t="str">
        <x:v>BY-PRP-P1-003-月面科学观测设备</x:v>
      </x:c>
      <x:c r="F27" s="36" t="str"/>
      <x:c r="G27" s="50" t="str"/>
      <x:c r="H27" s="50" t="str">
        <x:v>PRP</x:v>
      </x:c>
      <x:c r="I27" s="50" t="str">
        <x:v>P1</x:v>
      </x:c>
      <x:c r="J27" s="36" t="str">
        <x:v>场9；镜064</x:v>
      </x:c>
      <x:c r="K27" s="36" t="str">
        <x:v>折叠部署的泛化科学设备</x:v>
      </x:c>
      <x:c r="L27" s="36" t="str">
        <x:v>收纳；搬运；布放；安装后；遥测上线</x:v>
      </x:c>
      <x:c r="M27" s="36" t="str">
        <x:v>多视图与双人部署参考</x:v>
      </x:c>
      <x:c r="N27" s="36" t="str">
        <x:v>已确认</x:v>
      </x:c>
      <x:c r="O27" s="36" t="str">
        <x:v>月面设备包</x:v>
      </x:c>
    </x:row>
    <x:row r="28" ht="46" customHeight="1">
      <x:c r="A28" s="50" t="n">
        <x:v>24</x:v>
      </x:c>
      <x:c r="B28" s="50" t="n">
        <x:v>1</x:v>
      </x:c>
      <x:c r="C28" s="50" t="str">
        <x:v>设备／道具</x:v>
      </x:c>
      <x:c r="D28" s="36" t="str">
        <x:v>月面工具包与载荷固定系统</x:v>
      </x:c>
      <x:c r="E28" s="36" t="str">
        <x:v>BY-PRP-P1-004-月面工具包与载荷固定系统</x:v>
      </x:c>
      <x:c r="F28" s="36" t="str"/>
      <x:c r="G28" s="50" t="str"/>
      <x:c r="H28" s="50" t="str">
        <x:v>PRP</x:v>
      </x:c>
      <x:c r="I28" s="50" t="str">
        <x:v>P1</x:v>
      </x:c>
      <x:c r="J28" s="36" t="str">
        <x:v>场7；镜045</x:v>
      </x:c>
      <x:c r="K28" s="36" t="str">
        <x:v>工具、国旗、摄像机和采样载荷的收纳与固定</x:v>
      </x:c>
      <x:c r="L28" s="36" t="str">
        <x:v>固定;取出;回收</x:v>
      </x:c>
      <x:c r="M28" s="36" t="str">
        <x:v>结构图与关系参考</x:v>
      </x:c>
      <x:c r="N28" s="36" t="str">
        <x:v>已确认</x:v>
      </x:c>
      <x:c r="O28" s="36" t="str">
        <x:v>揽月设备关系切片</x:v>
      </x:c>
    </x:row>
    <x:row r="29" ht="46" customHeight="1">
      <x:c r="A29" s="50" t="n">
        <x:v>25</x:v>
      </x:c>
      <x:c r="B29" s="50" t="n">
        <x:v>1</x:v>
      </x:c>
      <x:c r="C29" s="50" t="str">
        <x:v>设备／道具</x:v>
      </x:c>
      <x:c r="D29" s="36" t="str">
        <x:v>两器舱门与对接锁止结果件</x:v>
      </x:c>
      <x:c r="E29" s="36" t="str">
        <x:v>BY-PRP-P1-005-两器舱门与对接锁止结果件</x:v>
      </x:c>
      <x:c r="F29" s="36" t="str"/>
      <x:c r="G29" s="50" t="str"/>
      <x:c r="H29" s="50" t="str">
        <x:v>PRP</x:v>
      </x:c>
      <x:c r="I29" s="50" t="str">
        <x:v>P1</x:v>
      </x:c>
      <x:c r="J29" s="36" t="str">
        <x:v>场3,13；镜013,014,016,018,019,089,092</x:v>
      </x:c>
      <x:c r="K29" s="36" t="str">
        <x:v>梦舟侧与揽月侧舱门、对接锁和密封结果</x:v>
      </x:c>
      <x:c r="L29" s="36" t="str">
        <x:v>开启;关闭;锁闭;密封;解除</x:v>
      </x:c>
      <x:c r="M29" s="36" t="str">
        <x:v>结构局部与状态对照</x:v>
      </x:c>
      <x:c r="N29" s="36" t="str">
        <x:v>已确认</x:v>
      </x:c>
      <x:c r="O29" s="36" t="str">
        <x:v>与两个舱内场景同步设计</x:v>
      </x:c>
    </x:row>
    <x:row r="30" ht="46" customHeight="1">
      <x:c r="A30" s="50" t="n">
        <x:v>26</x:v>
      </x:c>
      <x:c r="B30" s="50" t="n">
        <x:v>1</x:v>
      </x:c>
      <x:c r="C30" s="50" t="str">
        <x:v>设备／道具</x:v>
      </x:c>
      <x:c r="D30" s="36" t="str">
        <x:v>舱内操作界面与任务屏</x:v>
      </x:c>
      <x:c r="E30" s="36" t="str">
        <x:v>BY-PRP-P1-006-舱内操作界面与任务屏</x:v>
      </x:c>
      <x:c r="F30" s="36" t="str"/>
      <x:c r="G30" s="50" t="str"/>
      <x:c r="H30" s="50" t="str">
        <x:v>PRP</x:v>
      </x:c>
      <x:c r="I30" s="50" t="str">
        <x:v>P1</x:v>
      </x:c>
      <x:c r="J30" s="36" t="str">
        <x:v>梦舟、揽月与飞控任务镜头</x:v>
      </x:c>
      <x:c r="K30" s="36" t="str">
        <x:v>无可读参数的结构与光影底图</x:v>
      </x:c>
      <x:c r="L30" s="36" t="str">
        <x:v>常态;状态变化</x:v>
      </x:c>
      <x:c r="M30" s="36" t="str">
        <x:v>建立可读但非官方复刻的统一任务UI组件库；屏幕保持工作状态。</x:v>
      </x:c>
      <x:c r="N30" s="36" t="str">
        <x:v>已确认锁定原则</x:v>
      </x:c>
      <x:c r="O30" s="36" t="str">
        <x:v>阶段2只做无文字资产</x:v>
      </x:c>
    </x:row>
    <x:row r="31" ht="46" customHeight="1">
      <x:c r="A31" s="50" t="n">
        <x:v>27</x:v>
      </x:c>
      <x:c r="B31" s="50" t="n">
        <x:v>1</x:v>
      </x:c>
      <x:c r="C31" s="50" t="str">
        <x:v>设备／道具</x:v>
      </x:c>
      <x:c r="D31" s="36" t="str">
        <x:v>任务数据盒与随身救生包</x:v>
      </x:c>
      <x:c r="E31" s="36" t="str">
        <x:v>BY-PRP-P1-007-任务数据盒与随身救生包</x:v>
      </x:c>
      <x:c r="F31" s="36" t="str"/>
      <x:c r="G31" s="50" t="str"/>
      <x:c r="H31" s="50" t="str">
        <x:v>PRP</x:v>
      </x:c>
      <x:c r="I31" s="50" t="str">
        <x:v>P1</x:v>
      </x:c>
      <x:c r="J31" s="36" t="str">
        <x:v>场3；镜014</x:v>
      </x:c>
      <x:c r="K31" s="36" t="str">
        <x:v>人员转移前先行跨舱的小型固定任务物品。</x:v>
      </x:c>
      <x:c r="L31" s="36" t="str">
        <x:v>梦舟固定；通道传递；揽月固定</x:v>
      </x:c>
      <x:c r="M31" s="36" t="str">
        <x:v>道具结构与手套尺度验证</x:v>
      </x:c>
      <x:c r="N31" s="36" t="str">
        <x:v>已确认生产方向</x:v>
      </x:c>
      <x:c r="O31" s="36" t="str">
        <x:v>阶段2A重入后按生产包执行</x:v>
      </x:c>
    </x:row>
    <x:row r="32" ht="46" customHeight="1">
      <x:c r="A32" s="50" t="n">
        <x:v>28</x:v>
      </x:c>
      <x:c r="B32" s="50" t="n">
        <x:v>1</x:v>
      </x:c>
      <x:c r="C32" s="50" t="str">
        <x:v>设备／道具</x:v>
      </x:c>
      <x:c r="D32" s="36" t="str">
        <x:v>主样品容器编号、封签与固定座</x:v>
      </x:c>
      <x:c r="E32" s="36" t="str">
        <x:v>BY-PRP-P1-008-主样品容器编号与固定座</x:v>
      </x:c>
      <x:c r="F32" s="36" t="str"/>
      <x:c r="G32" s="50" t="str"/>
      <x:c r="H32" s="50" t="str">
        <x:v>PRP</x:v>
      </x:c>
      <x:c r="I32" s="50" t="str">
        <x:v>P1</x:v>
      </x:c>
      <x:c r="J32" s="36" t="str">
        <x:v>场10,11,13,14,16；镜068,071,076,089,101,113</x:v>
      </x:c>
      <x:c r="K32" s="36" t="str">
        <x:v>承载采样袋并贯穿月面—揽月—梦舟—回收链。</x:v>
      </x:c>
      <x:c r="L32" s="36" t="str">
        <x:v>空载；接近上限；封闭；外平台锁止；舱内锁止；跨舱；回收接收</x:v>
      </x:c>
      <x:c r="M32" s="36" t="str">
        <x:v>与BY-PRP-P0-005形成容器系统</x:v>
      </x:c>
      <x:c r="N32" s="36" t="str">
        <x:v>已确认生产方向</x:v>
      </x:c>
      <x:c r="O32" s="36" t="str">
        <x:v>阶段2A重入后按生产包执行</x:v>
      </x:c>
    </x:row>
    <x:row r="33" ht="46" customHeight="1">
      <x:c r="A33" s="50" t="n">
        <x:v>29</x:v>
      </x:c>
      <x:c r="B33" s="50" t="n">
        <x:v>1</x:v>
      </x:c>
      <x:c r="C33" s="50" t="str">
        <x:v>设备／道具</x:v>
      </x:c>
      <x:c r="D33" s="36" t="str">
        <x:v>月尘污染控制用品</x:v>
      </x:c>
      <x:c r="E33" s="36" t="str">
        <x:v>BY-PRP-P1-009-污染控制用品</x:v>
      </x:c>
      <x:c r="F33" s="36" t="str"/>
      <x:c r="G33" s="50" t="str"/>
      <x:c r="H33" s="50" t="str">
        <x:v>PRP</x:v>
      </x:c>
      <x:c r="I33" s="50" t="str">
        <x:v>P1</x:v>
      </x:c>
      <x:c r="J33" s="36" t="str">
        <x:v>场10；镜071</x:v>
      </x:c>
      <x:c r="K33" s="36" t="str">
        <x:v>返舱后擦拭登月服接口和样品容器的工具。</x:v>
      </x:c>
      <x:c r="L33" s="36" t="str">
        <x:v>收纳；擦拭；封存</x:v>
      </x:c>
      <x:c r="M33" s="36" t="str">
        <x:v>道具组轻量结构验证</x:v>
      </x:c>
      <x:c r="N33" s="36" t="str">
        <x:v>已确认生产方向</x:v>
      </x:c>
      <x:c r="O33" s="36" t="str">
        <x:v>阶段2A重入后按生产包执行</x:v>
      </x:c>
    </x:row>
    <x:row r="34" ht="46" customHeight="1">
      <x:c r="A34" s="50" t="n">
        <x:v>30</x:v>
      </x:c>
      <x:c r="B34" s="50" t="n">
        <x:v>1</x:v>
      </x:c>
      <x:c r="C34" s="50" t="str">
        <x:v>设备／道具</x:v>
      </x:c>
      <x:c r="D34" s="36" t="str">
        <x:v>梦舟返回舱样品柜与锁止</x:v>
      </x:c>
      <x:c r="E34" s="36" t="str">
        <x:v>BY-PRP-P1-010-返回舱样品柜与锁止</x:v>
      </x:c>
      <x:c r="F34" s="36" t="str"/>
      <x:c r="G34" s="50" t="str"/>
      <x:c r="H34" s="50" t="str">
        <x:v>PRP</x:v>
      </x:c>
      <x:c r="I34" s="50" t="str">
        <x:v>P1</x:v>
      </x:c>
      <x:c r="J34" s="36" t="str">
        <x:v>场14；镜101</x:v>
      </x:c>
      <x:c r="K34" s="36" t="str">
        <x:v>返航时独立固定主样品容器的紧凑柜体。</x:v>
      </x:c>
      <x:c r="L34" s="36" t="str">
        <x:v>空；容器锁止；回收交接</x:v>
      </x:c>
      <x:c r="M34" s="36" t="str">
        <x:v>与梦舟返航构型联合验证</x:v>
      </x:c>
      <x:c r="N34" s="36" t="str">
        <x:v>已确认生产方向</x:v>
      </x:c>
      <x:c r="O34" s="36" t="str">
        <x:v>阶段2A重入后按生产包执行</x:v>
      </x:c>
    </x:row>
    <x:row r="35" ht="46" customHeight="1">
      <x:c r="A35" s="50" t="n">
        <x:v>31</x:v>
      </x:c>
      <x:c r="B35" s="50" t="n">
        <x:v>1</x:v>
      </x:c>
      <x:c r="C35" s="50" t="str">
        <x:v>设备／道具</x:v>
      </x:c>
      <x:c r="D35" s="36" t="str">
        <x:v>返回舱信标与现场安全处置工具</x:v>
      </x:c>
      <x:c r="E35" s="36" t="str">
        <x:v>BY-PRP-P1-011-返回舱信标与现场安全工具</x:v>
      </x:c>
      <x:c r="F35" s="36" t="str"/>
      <x:c r="G35" s="50" t="str"/>
      <x:c r="H35" s="50" t="str">
        <x:v>PRP</x:v>
      </x:c>
      <x:c r="I35" s="50" t="str">
        <x:v>P1</x:v>
      </x:c>
      <x:c r="J35" s="36" t="str">
        <x:v>场16；镜111</x:v>
      </x:c>
      <x:c r="K35" s="36" t="str">
        <x:v>着陆后定位、温度／电气安全检查和舱门处置用品。</x:v>
      </x:c>
      <x:c r="L35" s="36" t="str">
        <x:v>信标工作；安全检查；开舱准备</x:v>
      </x:c>
      <x:c r="M35" s="36" t="str">
        <x:v>搜救场景道具组</x:v>
      </x:c>
      <x:c r="N35" s="36" t="str">
        <x:v>已确认生产方向</x:v>
      </x:c>
      <x:c r="O35" s="36" t="str">
        <x:v>阶段2A重入后按生产包执行</x:v>
      </x:c>
    </x:row>
    <x:row r="36" ht="46" customHeight="1">
      <x:c r="A36" s="50" t="n">
        <x:v>32</x:v>
      </x:c>
      <x:c r="B36" s="50" t="n">
        <x:v>1</x:v>
      </x:c>
      <x:c r="C36" s="50" t="str">
        <x:v>设备／道具</x:v>
      </x:c>
      <x:c r="D36" s="36" t="str">
        <x:v>东风医监支撑座椅、担架与生命体征设备</x:v>
      </x:c>
      <x:c r="E36" s="36" t="str">
        <x:v>BY-PRP-P0-006-东风医监转移设备</x:v>
      </x:c>
      <x:c r="F36" s="36" t="str"/>
      <x:c r="G36" s="50" t="str"/>
      <x:c r="H36" s="50" t="str">
        <x:v>PRP</x:v>
      </x:c>
      <x:c r="I36" s="50" t="str">
        <x:v>P0</x:v>
      </x:c>
      <x:c r="J36" s="36" t="str">
        <x:v>第15场</x:v>
      </x:c>
      <x:c r="K36" s="36" t="str">
        <x:v>航天员出舱后的循环、平衡和运动状态评估及转移设备。</x:v>
      </x:c>
      <x:c r="L36" s="36" t="str">
        <x:v>舱外待命；逐人评估；座椅转移；担架转移；坐姿挥手</x:v>
      </x:c>
      <x:c r="M36" s="36" t="str">
        <x:v>人物状态决定座椅或担架，不允许航天员立即自行步行出舱</x:v>
      </x:c>
      <x:c r="N36" s="36" t="str">
        <x:v>阶段1已确认生产方向</x:v>
      </x:c>
      <x:c r="O36" s="36" t="str">
        <x:v>阶段2B建立母资产并按镜头状态派生</x:v>
      </x:c>
    </x:row>
    <x:row r="37" ht="46" customHeight="1">
      <x:c r="A37" s="50" t="n">
        <x:v>33</x:v>
      </x:c>
      <x:c r="B37" s="50" t="n">
        <x:v>1</x:v>
      </x:c>
      <x:c r="C37" s="50" t="str">
        <x:v>设备／道具</x:v>
      </x:c>
      <x:c r="D37" s="36" t="str">
        <x:v>月球车前向与侧后固定相机组</x:v>
      </x:c>
      <x:c r="E37" s="36" t="str">
        <x:v>BY-PRP-P1-012-月球车任务相机组</x:v>
      </x:c>
      <x:c r="F37" s="36" t="str"/>
      <x:c r="G37" s="50" t="str"/>
      <x:c r="H37" s="50" t="str">
        <x:v>PRP</x:v>
      </x:c>
      <x:c r="I37" s="50" t="str">
        <x:v>P1</x:v>
      </x:c>
      <x:c r="J37" s="36" t="str">
        <x:v>第9—10场</x:v>
      </x:c>
      <x:c r="K37" s="36" t="str">
        <x:v>探索载人月球车的前向导航相机与侧后任务记录相机。</x:v>
      </x:c>
      <x:c r="L37" s="36" t="str">
        <x:v>前向行驶；侧后科研；返程</x:v>
      </x:c>
      <x:c r="M37" s="36" t="str">
        <x:v>所有月球车视角复用同一标定参数</x:v>
      </x:c>
      <x:c r="N37" s="36" t="str">
        <x:v>阶段1已确认生产方向</x:v>
      </x:c>
      <x:c r="O37" s="36" t="str">
        <x:v>阶段2B建立母资产并按镜头状态派生</x:v>
      </x:c>
    </x:row>
    <x:row r="38" ht="46" customHeight="1">
      <x:c r="A38" s="50" t="n">
        <x:v>34</x:v>
      </x:c>
      <x:c r="B38" s="50" t="n">
        <x:v>1</x:v>
      </x:c>
      <x:c r="C38" s="50" t="str">
        <x:v>设备／道具</x:v>
      </x:c>
      <x:c r="D38" s="36" t="str">
        <x:v>东风样品接收箱、封签与交接设备</x:v>
      </x:c>
      <x:c r="E38" s="36" t="str">
        <x:v>BY-PRP-P1-013-东风样品接收设备</x:v>
      </x:c>
      <x:c r="F38" s="36" t="str"/>
      <x:c r="G38" s="50" t="str"/>
      <x:c r="H38" s="50" t="str">
        <x:v>PRP</x:v>
      </x:c>
      <x:c r="I38" s="50" t="str">
        <x:v>P1</x:v>
      </x:c>
      <x:c r="J38" s="36" t="str">
        <x:v>第13、15场</x:v>
      </x:c>
      <x:c r="K38" s="36" t="str">
        <x:v>月球样品密封转运的现场接收箱、编号、封签和交接记录件。</x:v>
      </x:c>
      <x:c r="L38" s="36" t="str">
        <x:v>待命检查；编号交接；转运</x:v>
      </x:c>
      <x:c r="M38" s="36" t="str">
        <x:v>与BY-SYM-P1-005共同使用</x:v>
      </x:c>
      <x:c r="N38" s="36" t="str">
        <x:v>阶段1已确认生产方向</x:v>
      </x:c>
      <x:c r="O38" s="36" t="str">
        <x:v>阶段2B建立母资产并按镜头状态派生</x:v>
      </x:c>
    </x:row>
    <x:row r="39" ht="46" customHeight="1">
      <x:c r="A39" s="50" t="n">
        <x:v>35</x:v>
      </x:c>
      <x:c r="B39" s="50" t="n">
        <x:v>1</x:v>
      </x:c>
      <x:c r="C39" s="50" t="str">
        <x:v>设备／道具</x:v>
      </x:c>
      <x:c r="D39" s="36" t="str">
        <x:v>望宇登月服任务相机与图像链路</x:v>
      </x:c>
      <x:c r="E39" s="36" t="str">
        <x:v>BY-PRP-P1-014-宇航服任务相机</x:v>
      </x:c>
      <x:c r="F39" s="36" t="str"/>
      <x:c r="G39" s="50" t="str"/>
      <x:c r="H39" s="50" t="str">
        <x:v>PRP</x:v>
      </x:c>
      <x:c r="I39" s="50" t="str">
        <x:v>P1</x:v>
      </x:c>
      <x:c r="J39" s="36" t="str">
        <x:v>第8—10场</x:v>
      </x:c>
      <x:c r="K39" s="36" t="str">
        <x:v>固定于登月服的第一视角任务记录相机。</x:v>
      </x:c>
      <x:c r="L39" s="36" t="str">
        <x:v>扶梯；安全检查；采样；钻取；载荷部署</x:v>
      </x:c>
      <x:c r="M39" s="36" t="str">
        <x:v>分别绑定杨凛与陈砚服装资产</x:v>
      </x:c>
      <x:c r="N39" s="36" t="str">
        <x:v>阶段1已确认生产方向</x:v>
      </x:c>
      <x:c r="O39" s="36" t="str">
        <x:v>阶段2B建立母资产并按镜头状态派生</x:v>
      </x:c>
    </x:row>
    <x:row r="40" ht="46" customHeight="1">
      <x:c r="A40" s="50" t="n">
        <x:v>36</x:v>
      </x:c>
      <x:c r="B40" s="50" t="n">
        <x:v>1</x:v>
      </x:c>
      <x:c r="C40" s="50" t="str">
        <x:v>设备／道具</x:v>
      </x:c>
      <x:c r="D40" s="36" t="str">
        <x:v>梦舟／揽月任务相机组</x:v>
      </x:c>
      <x:c r="E40" s="36" t="str">
        <x:v>BY-PRP-P1-015-航天器任务相机组</x:v>
      </x:c>
      <x:c r="F40" s="36" t="str"/>
      <x:c r="G40" s="50" t="str"/>
      <x:c r="H40" s="50" t="str">
        <x:v>PRP</x:v>
      </x:c>
      <x:c r="I40" s="50" t="str">
        <x:v>P1</x:v>
      </x:c>
      <x:c r="J40" s="36" t="str">
        <x:v>第2、5—8、11、14场</x:v>
      </x:c>
      <x:c r="K40" s="36" t="str">
        <x:v>对接口监视、揽月下视与着陆腿、舱外固定、梦舟外部返回任务相机。</x:v>
      </x:c>
      <x:c r="L40" s="36" t="str">
        <x:v>对接；分离；下降；触月；出舱；再对接；返回</x:v>
      </x:c>
      <x:c r="M40" s="36" t="str">
        <x:v>任务证据视角优先于视觉重建</x:v>
      </x:c>
      <x:c r="N40" s="36" t="str">
        <x:v>阶段1已确认生产方向</x:v>
      </x:c>
      <x:c r="O40" s="36" t="str">
        <x:v>阶段2B建立母资产并按镜头状态派生</x:v>
      </x:c>
    </x:row>
  </x:sheetData>
  <x:mergeCells>
    <x:mergeCell ref="A1:O1"/>
    <x:mergeCell ref="A2:O2"/>
  </x:mergeCells>
  <x:conditionalFormatting sqref="I5:I40">
    <x:cfRule type="containsText" dxfId="3" priority="1" operator="containsText" text="P0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" hidden="0" customWidth="1"/>
    <x:col min="3" max="3" width="18" hidden="0" customWidth="1"/>
    <x:col min="4" max="4" width="30" hidden="0" customWidth="1"/>
    <x:col min="5" max="5" width="43" hidden="0" customWidth="1"/>
    <x:col min="6" max="6" width="43" hidden="0" customWidth="1"/>
    <x:col min="7" max="7" width="18" hidden="0" customWidth="1"/>
    <x:col min="8" max="8" width="12" hidden="0" customWidth="1"/>
    <x:col min="9" max="9" width="9" hidden="0" customWidth="1"/>
    <x:col min="10" max="10" width="28" hidden="0" customWidth="1"/>
    <x:col min="11" max="11" width="45" hidden="0" customWidth="1"/>
    <x:col min="12" max="12" width="38" hidden="0" customWidth="1"/>
    <x:col min="13" max="13" width="48" hidden="0" customWidth="1"/>
    <x:col min="14" max="14" width="26" hidden="0" customWidth="1"/>
    <x:col min="15" max="15" width="38" hidden="0" customWidth="1"/>
  </x:cols>
  <x:sheetData>
    <x:row r="1" ht="38" customHeight="1">
      <x:c r="A1" s="3" t="str">
        <x:v>《奔月》V1.3.1｜特殊资产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包含动作链、光照、视觉特效、关系约束和后期图形／标识；这些资产承担连续性、物理和来源边界。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4" customHeight="1">
      <x:c r="A4" s="18" t="str">
        <x:v>分类序号</x:v>
      </x:c>
      <x:c r="B4" s="19" t="str">
        <x:v>层级</x:v>
      </x:c>
      <x:c r="C4" s="19" t="str">
        <x:v>登记项类型</x:v>
      </x:c>
      <x:c r="D4" s="19" t="str">
        <x:v>显示名称</x:v>
      </x:c>
      <x:c r="E4" s="19" t="str">
        <x:v>生产资产ID</x:v>
      </x:c>
      <x:c r="F4" s="19" t="str">
        <x:v>父资产ID</x:v>
      </x:c>
      <x:c r="G4" s="19" t="str">
        <x:v>视图代码</x:v>
      </x:c>
      <x:c r="H4" s="19" t="str">
        <x:v>资产类型</x:v>
      </x:c>
      <x:c r="I4" s="19" t="str">
        <x:v>资产级别</x:v>
      </x:c>
      <x:c r="J4" s="19" t="str">
        <x:v>关联场次或段落</x:v>
      </x:c>
      <x:c r="K4" s="19" t="str">
        <x:v>基础描述</x:v>
      </x:c>
      <x:c r="L4" s="19" t="str">
        <x:v>状态变体</x:v>
      </x:c>
      <x:c r="M4" s="19" t="str">
        <x:v>使用或生成需求</x:v>
      </x:c>
      <x:c r="N4" s="19" t="str">
        <x:v>确认状态</x:v>
      </x:c>
      <x:c r="O4" s="20" t="str">
        <x:v>阶段2处理建议</x:v>
      </x:c>
    </x:row>
    <x:row r="5" ht="46" customHeight="1">
      <x:c r="A5" s="50" t="n">
        <x:v>1</x:v>
      </x:c>
      <x:c r="B5" s="50" t="n">
        <x:v>1</x:v>
      </x:c>
      <x:c r="C5" s="50" t="str">
        <x:v>动作链</x:v>
      </x:c>
      <x:c r="D5" s="36" t="str">
        <x:v>梦舟三座四种乘员状态动作链</x:v>
      </x:c>
      <x:c r="E5" s="36" t="str">
        <x:v>BY-ANM-P0-001-梦舟四种乘员状态</x:v>
      </x:c>
      <x:c r="F5" s="36" t="str"/>
      <x:c r="G5" s="50" t="str"/>
      <x:c r="H5" s="50" t="str">
        <x:v>ANM</x:v>
      </x:c>
      <x:c r="I5" s="50" t="str">
        <x:v>P0</x:v>
      </x:c>
      <x:c r="J5" s="36" t="str">
        <x:v>第1—3、5、11、14—15场</x:v>
      </x:c>
      <x:c r="K5" s="36" t="str">
        <x:v>三座满员、两座空置、一人环月值守、三人重聚与返航承载的动作连续。</x:v>
      </x:c>
      <x:c r="L5" s="36" t="str">
        <x:v>A满员；B一人值守；C重聚；D再入着陆</x:v>
      </x:c>
      <x:c r="M5" s="36" t="str">
        <x:v>不得改变舱内几何和座椅朝向</x:v>
      </x:c>
      <x:c r="N5" s="36" t="str">
        <x:v>阶段1已确认生产方向</x:v>
      </x:c>
      <x:c r="O5" s="36" t="str">
        <x:v>阶段2B建立母资产并按镜头状态派生</x:v>
      </x:c>
    </x:row>
    <x:row r="6" ht="46" customHeight="1">
      <x:c r="A6" s="50" t="n">
        <x:v>2</x:v>
      </x:c>
      <x:c r="B6" s="50" t="n">
        <x:v>1</x:v>
      </x:c>
      <x:c r="C6" s="50" t="str">
        <x:v>动作链</x:v>
      </x:c>
      <x:c r="D6" s="36" t="str">
        <x:v>揽月下降、着陆、单人出舱与月面起飞动作链</x:v>
      </x:c>
      <x:c r="E6" s="36" t="str">
        <x:v>BY-ANM-P0-002-揽月下降出舱起飞链</x:v>
      </x:c>
      <x:c r="F6" s="36" t="str"/>
      <x:c r="G6" s="50" t="str"/>
      <x:c r="H6" s="50" t="str">
        <x:v>ANM</x:v>
      </x:c>
      <x:c r="I6" s="50" t="str">
        <x:v>P0</x:v>
      </x:c>
      <x:c r="J6" s="36" t="str">
        <x:v>第5—8、11场</x:v>
      </x:c>
      <x:c r="K6" s="36" t="str">
        <x:v>下降约束、着陆检查、单人通行出舱、回舱增压、起飞与再对接。</x:v>
      </x:c>
      <x:c r="L6" s="36" t="str">
        <x:v>下降；触月；六小时准备；杨凛先出；陈砚后出；回舱；起飞；再对接</x:v>
      </x:c>
      <x:c r="M6" s="36" t="str">
        <x:v>关键动作按镜头证据链制作</x:v>
      </x:c>
      <x:c r="N6" s="36" t="str">
        <x:v>阶段1已确认生产方向</x:v>
      </x:c>
      <x:c r="O6" s="36" t="str">
        <x:v>阶段2B建立母资产并按镜头状态派生</x:v>
      </x:c>
    </x:row>
    <x:row r="7" ht="46" customHeight="1">
      <x:c r="A7" s="50" t="n">
        <x:v>3</x:v>
      </x:c>
      <x:c r="B7" s="50" t="n">
        <x:v>1</x:v>
      </x:c>
      <x:c r="C7" s="50" t="str">
        <x:v>动作链</x:v>
      </x:c>
      <x:c r="D7" s="36" t="str">
        <x:v>月面科研与时间压缩动作链</x:v>
      </x:c>
      <x:c r="E7" s="36" t="str">
        <x:v>BY-ANM-P1-001-月面科研时间压缩</x:v>
      </x:c>
      <x:c r="F7" s="36" t="str"/>
      <x:c r="G7" s="50" t="str"/>
      <x:c r="H7" s="50" t="str">
        <x:v>ANM</x:v>
      </x:c>
      <x:c r="I7" s="50" t="str">
        <x:v>P1</x:v>
      </x:c>
      <x:c r="J7" s="36" t="str">
        <x:v>第9—10场</x:v>
      </x:c>
      <x:c r="K7" s="36" t="str">
        <x:v>相机部署后国旗、月球车、采样、钻取、载荷部署和返程。</x:v>
      </x:c>
      <x:c r="L7" s="36" t="str">
        <x:v>T+06:20；T+08:20；T+10:40；T+12:50；T+13:40</x:v>
      </x:c>
      <x:c r="M7" s="36" t="str">
        <x:v>无外部空气传播声</x:v>
      </x:c>
      <x:c r="N7" s="36" t="str">
        <x:v>阶段1已确认生产方向</x:v>
      </x:c>
      <x:c r="O7" s="36" t="str">
        <x:v>阶段2B建立母资产并按镜头状态派生</x:v>
      </x:c>
    </x:row>
    <x:row r="8" ht="46" customHeight="1">
      <x:c r="A8" s="50" t="n">
        <x:v>4</x:v>
      </x:c>
      <x:c r="B8" s="50" t="n">
        <x:v>1</x:v>
      </x:c>
      <x:c r="C8" s="50" t="str">
        <x:v>动作链</x:v>
      </x:c>
      <x:c r="D8" s="36" t="str">
        <x:v>东风搜救、安全处置、开舱与人员转移动作链</x:v>
      </x:c>
      <x:c r="E8" s="36" t="str">
        <x:v>BY-ANM-P1-002-东风搜救开舱转移</x:v>
      </x:c>
      <x:c r="F8" s="36" t="str"/>
      <x:c r="G8" s="50" t="str"/>
      <x:c r="H8" s="50" t="str">
        <x:v>ANM</x:v>
      </x:c>
      <x:c r="I8" s="50" t="str">
        <x:v>P1</x:v>
      </x:c>
      <x:c r="J8" s="36" t="str">
        <x:v>第15场</x:v>
      </x:c>
      <x:c r="K8" s="36" t="str">
        <x:v>着陆、时间压缩、搜救抵达、安全检测、开舱评估、座椅／担架转移和样品交接。</x:v>
      </x:c>
      <x:c r="L8" s="36" t="str">
        <x:v>着陆；搜救抵达；安全处置；开舱；评估；转移；挥手；样品交接</x:v>
      </x:c>
      <x:c r="M8" s="36" t="str">
        <x:v>保持专业工作节奏</x:v>
      </x:c>
      <x:c r="N8" s="36" t="str">
        <x:v>阶段1已确认生产方向</x:v>
      </x:c>
      <x:c r="O8" s="36" t="str">
        <x:v>阶段2B建立母资产并按镜头状态派生</x:v>
      </x:c>
    </x:row>
    <x:row r="9" ht="46" customHeight="1">
      <x:c r="A9" s="52" t="n">
        <x:v>5</x:v>
      </x:c>
      <x:c r="B9" s="52" t="n">
        <x:v>1</x:v>
      </x:c>
      <x:c r="C9" s="52" t="str">
        <x:v>光照</x:v>
      </x:c>
      <x:c r="D9" s="41" t="str">
        <x:v>演播室中性直播光</x:v>
      </x:c>
      <x:c r="E9" s="41" t="str">
        <x:v>BY-LGT-P1-001-演播室中性直播光</x:v>
      </x:c>
      <x:c r="F9" s="41" t="str"/>
      <x:c r="G9" s="52" t="str"/>
      <x:c r="H9" s="52" t="str">
        <x:v>LGT</x:v>
      </x:c>
      <x:c r="I9" s="52" t="str">
        <x:v>P1</x:v>
      </x:c>
      <x:c r="J9" s="41" t="str">
        <x:v>历史V1.1</x:v>
      </x:c>
      <x:c r="K9" s="41" t="str">
        <x:v>克制直播光，人物清楚不过度美容</x:v>
      </x:c>
      <x:c r="L9" s="41" t="str">
        <x:v>主播;专家</x:v>
      </x:c>
      <x:c r="M9" s="41" t="str">
        <x:v>场景光影变体</x:v>
      </x:c>
      <x:c r="N9" s="41" t="str">
        <x:v>历史停用（V1.2不调用）</x:v>
      </x:c>
      <x:c r="O9" s="41" t="str">
        <x:v>随演播室停用</x:v>
      </x:c>
    </x:row>
    <x:row r="10" ht="46" customHeight="1">
      <x:c r="A10" s="52" t="n">
        <x:v>6</x:v>
      </x:c>
      <x:c r="B10" s="52" t="n">
        <x:v>1</x:v>
      </x:c>
      <x:c r="C10" s="52" t="str">
        <x:v>光照</x:v>
      </x:c>
      <x:c r="D10" s="41" t="str">
        <x:v>文昌夜间发射光</x:v>
      </x:c>
      <x:c r="E10" s="41" t="str">
        <x:v>BY-LGT-P1-002-文昌夜间发射光</x:v>
      </x:c>
      <x:c r="F10" s="41" t="str"/>
      <x:c r="G10" s="52" t="str"/>
      <x:c r="H10" s="52" t="str">
        <x:v>LGT</x:v>
      </x:c>
      <x:c r="I10" s="52" t="str">
        <x:v>P1</x:v>
      </x:c>
      <x:c r="J10" s="41" t="str">
        <x:v>历史V1.1</x:v>
      </x:c>
      <x:c r="K10" s="41" t="str">
        <x:v>发射场实用光叠加发动机火焰</x:v>
      </x:c>
      <x:c r="L10" s="41" t="str">
        <x:v>点火前;点火后</x:v>
      </x:c>
      <x:c r="M10" s="41" t="str">
        <x:v>场景光影状态</x:v>
      </x:c>
      <x:c r="N10" s="41" t="str">
        <x:v>历史停用（V1.2不调用）</x:v>
      </x:c>
      <x:c r="O10" s="41" t="str">
        <x:v>随发射场停用</x:v>
      </x:c>
    </x:row>
    <x:row r="11" ht="46" customHeight="1">
      <x:c r="A11" s="50" t="n">
        <x:v>7</x:v>
      </x:c>
      <x:c r="B11" s="50" t="n">
        <x:v>1</x:v>
      </x:c>
      <x:c r="C11" s="50" t="str">
        <x:v>光照</x:v>
      </x:c>
      <x:c r="D11" s="36" t="str">
        <x:v>梦舟舱内任务光</x:v>
      </x:c>
      <x:c r="E11" s="36" t="str">
        <x:v>BY-LGT-P0-001-梦舟舱内任务光</x:v>
      </x:c>
      <x:c r="F11" s="36" t="str"/>
      <x:c r="G11" s="50" t="str"/>
      <x:c r="H11" s="50" t="str">
        <x:v>LGT</x:v>
      </x:c>
      <x:c r="I11" s="50" t="str">
        <x:v>P0</x:v>
      </x:c>
      <x:c r="J11" s="36" t="str">
        <x:v>场1,2,3,9,11,12,13,14,15；镜004,007,015,018,063,079,081,090,094,101,103</x:v>
      </x:c>
      <x:c r="K11" s="36" t="str">
        <x:v>稳定舱内实用光和屏幕反射</x:v>
      </x:c>
      <x:c r="L11" s="36" t="str">
        <x:v>发射;巡航;对接</x:v>
      </x:c>
      <x:c r="M11" s="36" t="str">
        <x:v>做进场景母图</x:v>
      </x:c>
      <x:c r="N11" s="36" t="str">
        <x:v>已确认</x:v>
      </x:c>
      <x:c r="O11" s="36" t="str">
        <x:v>梦舟场景母图先锁定</x:v>
      </x:c>
    </x:row>
    <x:row r="12" ht="46" customHeight="1">
      <x:c r="A12" s="50" t="n">
        <x:v>8</x:v>
      </x:c>
      <x:c r="B12" s="50" t="n">
        <x:v>1</x:v>
      </x:c>
      <x:c r="C12" s="50" t="str">
        <x:v>光照</x:v>
      </x:c>
      <x:c r="D12" s="36" t="str">
        <x:v>揽月下降任务光</x:v>
      </x:c>
      <x:c r="E12" s="36" t="str">
        <x:v>BY-LGT-P0-002-揽月下降任务光</x:v>
      </x:c>
      <x:c r="F12" s="36" t="str"/>
      <x:c r="G12" s="50" t="str"/>
      <x:c r="H12" s="50" t="str">
        <x:v>LGT</x:v>
      </x:c>
      <x:c r="I12" s="50" t="str">
        <x:v>P0</x:v>
      </x:c>
      <x:c r="J12" s="36" t="str">
        <x:v>场2,3,4,5,6,7,10,11,12；镜009,011,017,019,023,029,032,036,038,040,043,044,045,046,069,070,071,073,076,082</x:v>
      </x:c>
      <x:c r="K12" s="36" t="str">
        <x:v>下降阶段稳定任务光</x:v>
      </x:c>
      <x:c r="L12" s="36" t="str">
        <x:v>下降;触月后</x:v>
      </x:c>
      <x:c r="M12" s="36" t="str">
        <x:v>做进场景母图</x:v>
      </x:c>
      <x:c r="N12" s="36" t="str">
        <x:v>已确认</x:v>
      </x:c>
      <x:c r="O12" s="36" t="str">
        <x:v>揽月场景母图先锁定</x:v>
      </x:c>
    </x:row>
    <x:row r="13" ht="46" customHeight="1">
      <x:c r="A13" s="50" t="n">
        <x:v>9</x:v>
      </x:c>
      <x:c r="B13" s="50" t="n">
        <x:v>1</x:v>
      </x:c>
      <x:c r="C13" s="50" t="str">
        <x:v>光照</x:v>
      </x:c>
      <x:c r="D13" s="36" t="str">
        <x:v>飞控大厅任务光</x:v>
      </x:c>
      <x:c r="E13" s="36" t="str">
        <x:v>BY-LGT-P1-003-飞控大厅任务光</x:v>
      </x:c>
      <x:c r="F13" s="36" t="str"/>
      <x:c r="G13" s="50" t="str"/>
      <x:c r="H13" s="50" t="str">
        <x:v>LGT</x:v>
      </x:c>
      <x:c r="I13" s="50" t="str">
        <x:v>P1</x:v>
      </x:c>
      <x:c r="J13" s="36" t="str">
        <x:v>场2,4,5,6,8,10,11,12,14,15,16；镜006,012,022,028,031,035,041,053,072,077,083,088,097,104,107,113</x:v>
      </x:c>
      <x:c r="K13" s="36" t="str">
        <x:v>冷色办公实用光和屏幕反射</x:v>
      </x:c>
      <x:c r="L13" s="36" t="str">
        <x:v>常态;着陆确认</x:v>
      </x:c>
      <x:c r="M13" s="36" t="str">
        <x:v>做进场景母图</x:v>
      </x:c>
      <x:c r="N13" s="36" t="str">
        <x:v>已确认采用</x:v>
      </x:c>
      <x:c r="O13" s="36" t="str">
        <x:v>关联新P0北京飞控大厅资产</x:v>
      </x:c>
    </x:row>
    <x:row r="14" ht="46" customHeight="1">
      <x:c r="A14" s="52" t="n">
        <x:v>10</x:v>
      </x:c>
      <x:c r="B14" s="52" t="n">
        <x:v>1</x:v>
      </x:c>
      <x:c r="C14" s="52" t="str">
        <x:v>光照</x:v>
      </x:c>
      <x:c r="D14" s="41" t="str">
        <x:v>月面固定太阳光</x:v>
      </x:c>
      <x:c r="E14" s="41" t="str">
        <x:v>BY-LGT-P0-003-月面固定太阳光</x:v>
      </x:c>
      <x:c r="F14" s="41" t="str"/>
      <x:c r="G14" s="52" t="str"/>
      <x:c r="H14" s="52" t="str">
        <x:v>LGT</x:v>
      </x:c>
      <x:c r="I14" s="52" t="str">
        <x:v>P0</x:v>
      </x:c>
      <x:c r="J14" s="41" t="str">
        <x:v>历史V1.1</x:v>
      </x:c>
      <x:c r="K14" s="41" t="str">
        <x:v>单一硬太阳光、黑天空、深阴影和有限地表反射</x:v>
      </x:c>
      <x:c r="L14" s="41" t="str">
        <x:v>下降;着陆;EVA;起飞</x:v>
      </x:c>
      <x:c r="M14" s="41" t="str">
        <x:v>做进月面场景母图</x:v>
      </x:c>
      <x:c r="N14" s="41" t="str">
        <x:v>历史停用（V1.2不调用）</x:v>
      </x:c>
      <x:c r="O14" s="41" t="str">
        <x:v>由明确承担天文偏差的BY-LGT-P0-004替代</x:v>
      </x:c>
    </x:row>
    <x:row r="15" ht="46" customHeight="1">
      <x:c r="A15" s="50" t="n">
        <x:v>11</x:v>
      </x:c>
      <x:c r="B15" s="50" t="n">
        <x:v>1</x:v>
      </x:c>
      <x:c r="C15" s="50" t="str">
        <x:v>光照</x:v>
      </x:c>
      <x:c r="D15" s="36" t="str">
        <x:v>环月轨道太阳光</x:v>
      </x:c>
      <x:c r="E15" s="36" t="str">
        <x:v>BY-LGT-P1-004-环月轨道太阳光</x:v>
      </x:c>
      <x:c r="F15" s="36" t="str"/>
      <x:c r="G15" s="50" t="str"/>
      <x:c r="H15" s="50" t="str">
        <x:v>LGT</x:v>
      </x:c>
      <x:c r="I15" s="50" t="str">
        <x:v>P1</x:v>
      </x:c>
      <x:c r="J15" s="36" t="str">
        <x:v>场1,2,4,11,12,13,14；镜002,008,010,011,020,021,024,025,078,084,085,087,093,095,096,098</x:v>
      </x:c>
      <x:c r="K15" s="36" t="str">
        <x:v>硬太阳光与月球反射</x:v>
      </x:c>
      <x:c r="L15" s="36" t="str">
        <x:v>交会;分离;转移</x:v>
      </x:c>
      <x:c r="M15" s="36" t="str">
        <x:v>做进轨道环境母图</x:v>
      </x:c>
      <x:c r="N15" s="36" t="str">
        <x:v>已确认采用</x:v>
      </x:c>
      <x:c r="O15" s="36" t="str">
        <x:v>轨道视觉重建包</x:v>
      </x:c>
    </x:row>
    <x:row r="16" ht="46" customHeight="1">
      <x:c r="A16" s="50" t="n">
        <x:v>12</x:v>
      </x:c>
      <x:c r="B16" s="50" t="n">
        <x:v>1</x:v>
      </x:c>
      <x:c r="C16" s="50" t="str">
        <x:v>光照</x:v>
      </x:c>
      <x:c r="D16" s="36" t="str">
        <x:v>揽月开舱门月面反射</x:v>
      </x:c>
      <x:c r="E16" s="36" t="str">
        <x:v>BY-LGT-P1-005-揽月开舱门月面反射</x:v>
      </x:c>
      <x:c r="F16" s="36" t="str"/>
      <x:c r="G16" s="50" t="str"/>
      <x:c r="H16" s="50" t="str">
        <x:v>LGT</x:v>
      </x:c>
      <x:c r="I16" s="50" t="str">
        <x:v>P1</x:v>
      </x:c>
      <x:c r="J16" s="36" t="str">
        <x:v>场7；镜047,048</x:v>
      </x:c>
      <x:c r="K16" s="36" t="str">
        <x:v>舱内暗部与舱外硬光反差</x:v>
      </x:c>
      <x:c r="L16" s="36" t="str">
        <x:v>舱门开启</x:v>
      </x:c>
      <x:c r="M16" s="36" t="str">
        <x:v>独立光影状态测试</x:v>
      </x:c>
      <x:c r="N16" s="36" t="str">
        <x:v>已确认采用</x:v>
      </x:c>
      <x:c r="O16" s="36" t="str">
        <x:v>揽月舱内光影变体</x:v>
      </x:c>
    </x:row>
    <x:row r="17" ht="46" customHeight="1">
      <x:c r="A17" s="50" t="n">
        <x:v>13</x:v>
      </x:c>
      <x:c r="B17" s="50" t="n">
        <x:v>1</x:v>
      </x:c>
      <x:c r="C17" s="50" t="str">
        <x:v>光照</x:v>
      </x:c>
      <x:c r="D17" s="36" t="str">
        <x:v>月面艺术化任务日光</x:v>
      </x:c>
      <x:c r="E17" s="36" t="str">
        <x:v>BY-LGT-P0-004-月面艺术化任务日光</x:v>
      </x:c>
      <x:c r="F17" s="36" t="str"/>
      <x:c r="G17" s="50" t="str"/>
      <x:c r="H17" s="50" t="str">
        <x:v>LGT</x:v>
      </x:c>
      <x:c r="I17" s="50" t="str">
        <x:v>P0</x:v>
      </x:c>
      <x:c r="J17" s="36" t="str">
        <x:v>场5,6,7,8,9,10,11；镜027,030,032,033,034,037,038,039,042,047,048,049,050,051,052,053,054,055,056,057,058,059,060,061,062,064,066,067,068,069,074,075</x:v>
      </x:c>
      <x:c r="K17" s="36" t="str">
        <x:v>为可见性与跨镜连续性建立的单一硬质平行主光。</x:v>
      </x:c>
      <x:c r="L17" s="36" t="str">
        <x:v>下降；触月；EVA；国旗；科学任务；返舱；起飞</x:v>
      </x:c>
      <x:c r="M17" s="36" t="str">
        <x:v>先在月面MASTER锁定，再供所有月面视图继承</x:v>
      </x:c>
      <x:c r="N17" s="36" t="str">
        <x:v>用户已确认</x:v>
      </x:c>
      <x:c r="O17" s="36" t="str">
        <x:v>重做月面MASTER光影校准测试</x:v>
      </x:c>
    </x:row>
    <x:row r="18" ht="46" customHeight="1">
      <x:c r="A18" s="50" t="n">
        <x:v>14</x:v>
      </x:c>
      <x:c r="B18" s="50" t="n">
        <x:v>1</x:v>
      </x:c>
      <x:c r="C18" s="50" t="str">
        <x:v>光照</x:v>
      </x:c>
      <x:c r="D18" s="36" t="str">
        <x:v>返回舱再入等离子辉光</x:v>
      </x:c>
      <x:c r="E18" s="36" t="str">
        <x:v>BY-LGT-P0-005-返回舱再入等离子辉光</x:v>
      </x:c>
      <x:c r="F18" s="36" t="str"/>
      <x:c r="G18" s="50" t="str"/>
      <x:c r="H18" s="50" t="str">
        <x:v>LGT</x:v>
      </x:c>
      <x:c r="I18" s="50" t="str">
        <x:v>P0</x:v>
      </x:c>
      <x:c r="J18" s="36" t="str">
        <x:v>场15；镜104,106,108</x:v>
      </x:c>
      <x:c r="K18" s="36" t="str">
        <x:v>高速再入时防热大底周围的受控等离子自发光。</x:v>
      </x:c>
      <x:c r="L18" s="36" t="str">
        <x:v>第一次再入；跃出减弱；第二次再入；黑障；恢复</x:v>
      </x:c>
      <x:c r="M18" s="36" t="str">
        <x:v>与再入VFX联动制作</x:v>
      </x:c>
      <x:c r="N18" s="36" t="str">
        <x:v>已确认生产方向</x:v>
      </x:c>
      <x:c r="O18" s="36" t="str">
        <x:v>阶段2A重入后按生产包执行</x:v>
      </x:c>
    </x:row>
    <x:row r="19" ht="46" customHeight="1">
      <x:c r="A19" s="50" t="n">
        <x:v>15</x:v>
      </x:c>
      <x:c r="B19" s="50" t="n">
        <x:v>1</x:v>
      </x:c>
      <x:c r="C19" s="50" t="str">
        <x:v>光照</x:v>
      </x:c>
      <x:c r="D19" s="36" t="str">
        <x:v>深空测控站任务光</x:v>
      </x:c>
      <x:c r="E19" s="36" t="str">
        <x:v>BY-LGT-P1-006-深空测控站任务光</x:v>
      </x:c>
      <x:c r="F19" s="36" t="str"/>
      <x:c r="G19" s="50" t="str"/>
      <x:c r="H19" s="50" t="str">
        <x:v>LGT</x:v>
      </x:c>
      <x:c r="I19" s="50" t="str">
        <x:v>P1</x:v>
      </x:c>
      <x:c r="J19" s="36" t="str">
        <x:v>场1,4,5,8,11,12；镜003,022,035,053,077,083</x:v>
      </x:c>
      <x:c r="K19" s="36" t="str">
        <x:v>佳木斯、喀什和VLBI工作区统一的克制任务照明。</x:v>
      </x:c>
      <x:c r="L19" s="36" t="str">
        <x:v>常态；关键窗口</x:v>
      </x:c>
      <x:c r="M19" s="36" t="str">
        <x:v>随场景母图锁定</x:v>
      </x:c>
      <x:c r="N19" s="36" t="str">
        <x:v>已确认生产方向</x:v>
      </x:c>
      <x:c r="O19" s="36" t="str">
        <x:v>阶段2A重入后按生产包执行</x:v>
      </x:c>
    </x:row>
    <x:row r="20" ht="46" customHeight="1">
      <x:c r="A20" s="50" t="n">
        <x:v>16</x:v>
      </x:c>
      <x:c r="B20" s="50" t="n">
        <x:v>1</x:v>
      </x:c>
      <x:c r="C20" s="50" t="str">
        <x:v>光照</x:v>
      </x:c>
      <x:c r="D20" s="36" t="str">
        <x:v>东风着陆场黎明—清晨自然光</x:v>
      </x:c>
      <x:c r="E20" s="36" t="str">
        <x:v>BY-LGT-P1-007-搜救着陆区日间自然光</x:v>
      </x:c>
      <x:c r="F20" s="36" t="str"/>
      <x:c r="G20" s="50" t="str"/>
      <x:c r="H20" s="50" t="str">
        <x:v>LGT</x:v>
      </x:c>
      <x:c r="I20" s="50" t="str">
        <x:v>P1</x:v>
      </x:c>
      <x:c r="J20" s="36" t="str">
        <x:v>第13—15场</x:v>
      </x:c>
      <x:c r="K20" s="36" t="str">
        <x:v>东风着陆场从黎明低照度到清晨自然光的连续光线。</x:v>
      </x:c>
      <x:c r="L20" s="36" t="str">
        <x:v>待命黎明；下降可见；着陆扬尘；搜救清晨</x:v>
      </x:c>
      <x:c r="M20" s="36" t="str">
        <x:v>与搜救现场MASTER同步确认</x:v>
      </x:c>
      <x:c r="N20" s="36" t="str">
        <x:v>已确认生产方向</x:v>
      </x:c>
      <x:c r="O20" s="36" t="str">
        <x:v>阶段2A重入后按生产包执行</x:v>
      </x:c>
    </x:row>
    <x:row r="21" ht="46" customHeight="1">
      <x:c r="A21" s="50" t="n">
        <x:v>17</x:v>
      </x:c>
      <x:c r="B21" s="50" t="n">
        <x:v>1</x:v>
      </x:c>
      <x:c r="C21" s="50" t="str">
        <x:v>光照</x:v>
      </x:c>
      <x:c r="D21" s="36" t="str">
        <x:v>飞控媒体区直播任务光</x:v>
      </x:c>
      <x:c r="E21" s="36" t="str">
        <x:v>BY-LGT-P1-008-飞控媒体区直播光</x:v>
      </x:c>
      <x:c r="F21" s="36" t="str"/>
      <x:c r="G21" s="50" t="str"/>
      <x:c r="H21" s="50" t="str">
        <x:v>LGT</x:v>
      </x:c>
      <x:c r="I21" s="50" t="str">
        <x:v>P1</x:v>
      </x:c>
      <x:c r="J21" s="36" t="str">
        <x:v>第1、3、5—9、12—13、15场</x:v>
      </x:c>
      <x:c r="K21" s="36" t="str">
        <x:v>中性、可信的新闻现场光，兼顾记者肤色、专家和任务大屏。</x:v>
      </x:c>
      <x:c r="L21" s="36" t="str">
        <x:v>记者单人；记者专家双人；片尾收束</x:v>
      </x:c>
      <x:c r="M21" s="36" t="str">
        <x:v>建立统一灯位，不随每次生成漂移</x:v>
      </x:c>
      <x:c r="N21" s="36" t="str">
        <x:v>阶段1已确认生产方向</x:v>
      </x:c>
      <x:c r="O21" s="36" t="str">
        <x:v>阶段2B建立母资产并按镜头状态派生</x:v>
      </x:c>
    </x:row>
    <x:row r="22" ht="46" customHeight="1">
      <x:c r="A22" s="52" t="n">
        <x:v>18</x:v>
      </x:c>
      <x:c r="B22" s="52" t="n">
        <x:v>1</x:v>
      </x:c>
      <x:c r="C22" s="52" t="str">
        <x:v>视觉特效</x:v>
      </x:c>
      <x:c r="D22" s="41" t="str">
        <x:v>地球发射火焰与烟羽</x:v>
      </x:c>
      <x:c r="E22" s="41" t="str">
        <x:v>BY-VFX-P1-001-地球发射火焰与烟羽</x:v>
      </x:c>
      <x:c r="F22" s="41" t="str"/>
      <x:c r="G22" s="52" t="str"/>
      <x:c r="H22" s="52" t="str">
        <x:v>VFX</x:v>
      </x:c>
      <x:c r="I22" s="52" t="str">
        <x:v>P1</x:v>
      </x:c>
      <x:c r="J22" s="41" t="str">
        <x:v>历史V1.1</x:v>
      </x:c>
      <x:c r="K22" s="41" t="str">
        <x:v>地球大气中的点火、烟羽和塔架受光</x:v>
      </x:c>
      <x:c r="L22" s="41" t="str">
        <x:v>点火;离架</x:v>
      </x:c>
      <x:c r="M22" s="41" t="str">
        <x:v>VFX模板与场景测试</x:v>
      </x:c>
      <x:c r="N22" s="41" t="str">
        <x:v>历史停用（V1.2不调用）</x:v>
      </x:c>
      <x:c r="O22" s="41" t="str">
        <x:v>V1.2不含发射</x:v>
      </x:c>
    </x:row>
    <x:row r="23" ht="46" customHeight="1">
      <x:c r="A23" s="50" t="n">
        <x:v>19</x:v>
      </x:c>
      <x:c r="B23" s="50" t="n">
        <x:v>1</x:v>
      </x:c>
      <x:c r="C23" s="50" t="str">
        <x:v>视觉特效</x:v>
      </x:c>
      <x:c r="D23" s="36" t="str">
        <x:v>环月轨道交会与对接</x:v>
      </x:c>
      <x:c r="E23" s="36" t="str">
        <x:v>BY-VFX-P1-002-环月轨道交会与对接</x:v>
      </x:c>
      <x:c r="F23" s="36" t="str"/>
      <x:c r="G23" s="50" t="str"/>
      <x:c r="H23" s="50" t="str">
        <x:v>VFX</x:v>
      </x:c>
      <x:c r="I23" s="50" t="str">
        <x:v>P1</x:v>
      </x:c>
      <x:c r="J23" s="36" t="str">
        <x:v>场1,2,12；镜005,008,010,011,084,085,087</x:v>
      </x:c>
      <x:c r="K23" s="36" t="str">
        <x:v>目标缓慢扩大、轴线收敛、接触捕获锁紧</x:v>
      </x:c>
      <x:c r="L23" s="36" t="str">
        <x:v>远距;接近;接触;锁紧</x:v>
      </x:c>
      <x:c r="M23" s="36" t="str">
        <x:v>轨道动作模板</x:v>
      </x:c>
      <x:c r="N23" s="36" t="str">
        <x:v>已确认采用</x:v>
      </x:c>
      <x:c r="O23" s="36" t="str">
        <x:v>载具确认后制作</x:v>
      </x:c>
    </x:row>
    <x:row r="24" ht="46" customHeight="1">
      <x:c r="A24" s="50" t="n">
        <x:v>20</x:v>
      </x:c>
      <x:c r="B24" s="50" t="n">
        <x:v>1</x:v>
      </x:c>
      <x:c r="C24" s="50" t="str">
        <x:v>视觉特效</x:v>
      </x:c>
      <x:c r="D24" s="36" t="str">
        <x:v>月面下降羽流与贴地月尘</x:v>
      </x:c>
      <x:c r="E24" s="36" t="str">
        <x:v>BY-VFX-P0-001-月面下降羽流与贴地月尘</x:v>
      </x:c>
      <x:c r="F24" s="36" t="str"/>
      <x:c r="G24" s="50" t="str"/>
      <x:c r="H24" s="50" t="str">
        <x:v>VFX</x:v>
      </x:c>
      <x:c r="I24" s="50" t="str">
        <x:v>P0</x:v>
      </x:c>
      <x:c r="J24" s="36" t="str">
        <x:v>场5；镜027,037</x:v>
      </x:c>
      <x:c r="K24" s="36" t="str">
        <x:v>低矮放射状高速散开的月尘</x:v>
      </x:c>
      <x:c r="L24" s="36" t="str">
        <x:v>远距下降;近地下降</x:v>
      </x:c>
      <x:c r="M24" s="36" t="str">
        <x:v>核心物理测试模板</x:v>
      </x:c>
      <x:c r="N24" s="36" t="str">
        <x:v>已确认锁定物理方向</x:v>
      </x:c>
      <x:c r="O24" s="36" t="str">
        <x:v>阶段2技术测试</x:v>
      </x:c>
    </x:row>
    <x:row r="25" ht="46" customHeight="1">
      <x:c r="A25" s="50" t="n">
        <x:v>21</x:v>
      </x:c>
      <x:c r="B25" s="50" t="n">
        <x:v>1</x:v>
      </x:c>
      <x:c r="C25" s="50" t="str">
        <x:v>视觉特效</x:v>
      </x:c>
      <x:c r="D25" s="36" t="str">
        <x:v>触月关机与月尘回落</x:v>
      </x:c>
      <x:c r="E25" s="36" t="str">
        <x:v>BY-VFX-P0-002-触月关机与月尘回落</x:v>
      </x:c>
      <x:c r="F25" s="36" t="str"/>
      <x:c r="G25" s="50" t="str"/>
      <x:c r="H25" s="50" t="str">
        <x:v>VFX</x:v>
      </x:c>
      <x:c r="I25" s="50" t="str">
        <x:v>P0</x:v>
      </x:c>
      <x:c r="J25" s="36" t="str">
        <x:v>场5,6；镜038,039</x:v>
      </x:c>
      <x:c r="K25" s="36" t="str">
        <x:v>支脚接触、羽流衰减和月尘回落属于同一事件</x:v>
      </x:c>
      <x:c r="L25" s="36" t="str">
        <x:v>接触;关机;静止</x:v>
      </x:c>
      <x:c r="M25" s="36" t="str">
        <x:v>触月技术测试</x:v>
      </x:c>
      <x:c r="N25" s="36" t="str">
        <x:v>已确认锁定物理方向</x:v>
      </x:c>
      <x:c r="O25" s="36" t="str">
        <x:v>阶段2技术测试</x:v>
      </x:c>
    </x:row>
    <x:row r="26" ht="46" customHeight="1">
      <x:c r="A26" s="50" t="n">
        <x:v>22</x:v>
      </x:c>
      <x:c r="B26" s="50" t="n">
        <x:v>1</x:v>
      </x:c>
      <x:c r="C26" s="50" t="str">
        <x:v>视觉特效</x:v>
      </x:c>
      <x:c r="D26" s="36" t="str">
        <x:v>第一足印月壤形变</x:v>
      </x:c>
      <x:c r="E26" s="36" t="str">
        <x:v>BY-VFX-P0-003-第一足印月壤形变</x:v>
      </x:c>
      <x:c r="F26" s="36" t="str"/>
      <x:c r="G26" s="50" t="str"/>
      <x:c r="H26" s="50" t="str">
        <x:v>VFX</x:v>
      </x:c>
      <x:c r="I26" s="50" t="str">
        <x:v>P0</x:v>
      </x:c>
      <x:c r="J26" s="36" t="str">
        <x:v>场8；镜050</x:v>
      </x:c>
      <x:c r="K26" s="36" t="str">
        <x:v>靴底压实月壤，细颗粒向两侧位移</x:v>
      </x:c>
      <x:c r="L26" s="36" t="str">
        <x:v>接触;承重;足印稳定</x:v>
      </x:c>
      <x:c r="M26" s="36" t="str">
        <x:v>极近景物理测试</x:v>
      </x:c>
      <x:c r="N26" s="36" t="str">
        <x:v>已确认锁定物理方向</x:v>
      </x:c>
      <x:c r="O26" s="36" t="str">
        <x:v>阶段2技术测试</x:v>
      </x:c>
    </x:row>
    <x:row r="27" ht="46" customHeight="1">
      <x:c r="A27" s="50" t="n">
        <x:v>23</x:v>
      </x:c>
      <x:c r="B27" s="50" t="n">
        <x:v>1</x:v>
      </x:c>
      <x:c r="C27" s="50" t="str">
        <x:v>视觉特效</x:v>
      </x:c>
      <x:c r="D27" s="36" t="str">
        <x:v>月面起飞羽流与留场余景</x:v>
      </x:c>
      <x:c r="E27" s="36" t="str">
        <x:v>BY-VFX-P0-004-月面起飞羽流与留场余景</x:v>
      </x:c>
      <x:c r="F27" s="36" t="str"/>
      <x:c r="G27" s="50" t="str"/>
      <x:c r="H27" s="50" t="str">
        <x:v>VFX</x:v>
      </x:c>
      <x:c r="I27" s="50" t="str">
        <x:v>P0</x:v>
      </x:c>
      <x:c r="J27" s="36" t="str">
        <x:v>场11；镜074,075</x:v>
      </x:c>
      <x:c r="K27" s="36" t="str">
        <x:v>登月舱起飞，月尘贴地散开，固定摄像机停留</x:v>
      </x:c>
      <x:c r="L27" s="36" t="str">
        <x:v>点火;上升;余景</x:v>
      </x:c>
      <x:c r="M27" s="36" t="str">
        <x:v>起飞技术测试模板</x:v>
      </x:c>
      <x:c r="N27" s="36" t="str">
        <x:v>已确认锁定物理方向</x:v>
      </x:c>
      <x:c r="O27" s="36" t="str">
        <x:v>阶段2技术测试</x:v>
      </x:c>
    </x:row>
    <x:row r="28" ht="46" customHeight="1">
      <x:c r="A28" s="50" t="n">
        <x:v>24</x:v>
      </x:c>
      <x:c r="B28" s="50" t="n">
        <x:v>1</x:v>
      </x:c>
      <x:c r="C28" s="50" t="str">
        <x:v>视觉特效</x:v>
      </x:c>
      <x:c r="D28" s="36" t="str">
        <x:v>月地转移点火与月球远离</x:v>
      </x:c>
      <x:c r="E28" s="36" t="str">
        <x:v>BY-VFX-P1-003-月地转移点火与月球远离</x:v>
      </x:c>
      <x:c r="F28" s="36" t="str"/>
      <x:c r="G28" s="50" t="str"/>
      <x:c r="H28" s="50" t="str">
        <x:v>VFX</x:v>
      </x:c>
      <x:c r="I28" s="50" t="str">
        <x:v>P1</x:v>
      </x:c>
      <x:c r="J28" s="36" t="str">
        <x:v>场14；镜096,098</x:v>
      </x:c>
      <x:c r="K28" s="36" t="str">
        <x:v>梦舟服务舱点火、姿态调整、月球弧面远离</x:v>
      </x:c>
      <x:c r="L28" s="36" t="str">
        <x:v>点火;转移</x:v>
      </x:c>
      <x:c r="M28" s="36" t="str">
        <x:v>结尾视觉重建模板</x:v>
      </x:c>
      <x:c r="N28" s="36" t="str">
        <x:v>已确认采用</x:v>
      </x:c>
      <x:c r="O28" s="36" t="str">
        <x:v>轨道视觉重建包</x:v>
      </x:c>
    </x:row>
    <x:row r="29" ht="46" customHeight="1">
      <x:c r="A29" s="50" t="n">
        <x:v>25</x:v>
      </x:c>
      <x:c r="B29" s="50" t="n">
        <x:v>1</x:v>
      </x:c>
      <x:c r="C29" s="50" t="str">
        <x:v>视觉特效</x:v>
      </x:c>
      <x:c r="D29" s="36" t="str">
        <x:v>返回舱等离子辉光与黑障视觉</x:v>
      </x:c>
      <x:c r="E29" s="36" t="str">
        <x:v>BY-VFX-P0-005-返回舱等离子辉光与黑障视觉</x:v>
      </x:c>
      <x:c r="F29" s="36" t="str"/>
      <x:c r="G29" s="50" t="str"/>
      <x:c r="H29" s="50" t="str">
        <x:v>VFX</x:v>
      </x:c>
      <x:c r="I29" s="50" t="str">
        <x:v>P0</x:v>
      </x:c>
      <x:c r="J29" s="36" t="str">
        <x:v>场15；镜104,106,108</x:v>
      </x:c>
      <x:c r="K29" s="36" t="str">
        <x:v>两次再入的等离子辉光、热流变化和通信衰减可见结果。</x:v>
      </x:c>
      <x:c r="L29" s="36" t="str">
        <x:v>第一次再入；跃出减弱；第二次再入；黑障；通信恢复</x:v>
      </x:c>
      <x:c r="M29" s="36" t="str">
        <x:v>高风险技术测试</x:v>
      </x:c>
      <x:c r="N29" s="36" t="str">
        <x:v>已确认生产方向</x:v>
      </x:c>
      <x:c r="O29" s="36" t="str">
        <x:v>阶段2A重入后按生产包执行</x:v>
      </x:c>
    </x:row>
    <x:row r="30" ht="46" customHeight="1">
      <x:c r="A30" s="50" t="n">
        <x:v>26</x:v>
      </x:c>
      <x:c r="B30" s="50" t="n">
        <x:v>1</x:v>
      </x:c>
      <x:c r="C30" s="50" t="str">
        <x:v>视觉特效</x:v>
      </x:c>
      <x:c r="D30" s="36" t="str">
        <x:v>返回舱稳定伞／主伞展开</x:v>
      </x:c>
      <x:c r="E30" s="36" t="str">
        <x:v>BY-VFX-P0-006-稳定伞与主伞展开</x:v>
      </x:c>
      <x:c r="F30" s="36" t="str"/>
      <x:c r="G30" s="50" t="str"/>
      <x:c r="H30" s="50" t="str">
        <x:v>VFX</x:v>
      </x:c>
      <x:c r="I30" s="50" t="str">
        <x:v>P0</x:v>
      </x:c>
      <x:c r="J30" s="36" t="str">
        <x:v>场15；镜108</x:v>
      </x:c>
      <x:c r="K30" s="36" t="str">
        <x:v>辉光减弱后伞具按程序依次展开，下降姿态稳定。</x:v>
      </x:c>
      <x:c r="L30" s="36" t="str">
        <x:v>稳定伞；主伞；稳定下降</x:v>
      </x:c>
      <x:c r="M30" s="36" t="str">
        <x:v>与返回舱群伞构型联合测试</x:v>
      </x:c>
      <x:c r="N30" s="36" t="str">
        <x:v>已确认生产方向</x:v>
      </x:c>
      <x:c r="O30" s="36" t="str">
        <x:v>阶段2A重入后按生产包执行</x:v>
      </x:c>
    </x:row>
    <x:row r="31" ht="46" customHeight="1">
      <x:c r="A31" s="50" t="n">
        <x:v>27</x:v>
      </x:c>
      <x:c r="B31" s="50" t="n">
        <x:v>1</x:v>
      </x:c>
      <x:c r="C31" s="50" t="str">
        <x:v>视觉特效</x:v>
      </x:c>
      <x:c r="D31" s="36" t="str">
        <x:v>返回舱气囊触地与滚摆</x:v>
      </x:c>
      <x:c r="E31" s="36" t="str">
        <x:v>BY-VFX-P0-007-气囊触地滚摆</x:v>
      </x:c>
      <x:c r="F31" s="36" t="str"/>
      <x:c r="G31" s="50" t="str"/>
      <x:c r="H31" s="50" t="str">
        <x:v>VFX</x:v>
      </x:c>
      <x:c r="I31" s="50" t="str">
        <x:v>P0</x:v>
      </x:c>
      <x:c r="J31" s="36" t="str">
        <x:v>场15；镜109</x:v>
      </x:c>
      <x:c r="K31" s="36" t="str">
        <x:v>气囊充气、触地、短距离滚摆并稳定。</x:v>
      </x:c>
      <x:c r="L31" s="36" t="str">
        <x:v>充气；触地；滚摆；稳定</x:v>
      </x:c>
      <x:c r="M31" s="36" t="str">
        <x:v>与搜救MASTER联合测试</x:v>
      </x:c>
      <x:c r="N31" s="36" t="str">
        <x:v>已确认生产方向</x:v>
      </x:c>
      <x:c r="O31" s="36" t="str">
        <x:v>阶段2A重入后按生产包执行</x:v>
      </x:c>
    </x:row>
    <x:row r="32" ht="46" customHeight="1">
      <x:c r="A32" s="50" t="n">
        <x:v>28</x:v>
      </x:c>
      <x:c r="B32" s="50" t="n">
        <x:v>1</x:v>
      </x:c>
      <x:c r="C32" s="50" t="str">
        <x:v>视觉特效</x:v>
      </x:c>
      <x:c r="D32" s="36" t="str">
        <x:v>月轨姿态控制喷流</x:v>
      </x:c>
      <x:c r="E32" s="36" t="str">
        <x:v>BY-VFX-P1-004-姿控喷流</x:v>
      </x:c>
      <x:c r="F32" s="36" t="str"/>
      <x:c r="G32" s="50" t="str"/>
      <x:c r="H32" s="50" t="str">
        <x:v>VFX</x:v>
      </x:c>
      <x:c r="I32" s="50" t="str">
        <x:v>P1</x:v>
      </x:c>
      <x:c r="J32" s="36" t="str">
        <x:v>场2,4,12,13,15；镜008,025,084,093,102,103</x:v>
      </x:c>
      <x:c r="K32" s="36" t="str">
        <x:v>两器交会、分离和姿态调整时的短促微弱喷流。</x:v>
      </x:c>
      <x:c r="L32" s="36" t="str">
        <x:v>接近；停泊；分离；调姿</x:v>
      </x:c>
      <x:c r="M32" s="36" t="str">
        <x:v>梦舟／揽月通用模板</x:v>
      </x:c>
      <x:c r="N32" s="36" t="str">
        <x:v>已确认生产方向</x:v>
      </x:c>
      <x:c r="O32" s="36" t="str">
        <x:v>阶段2A重入后按生产包执行</x:v>
      </x:c>
    </x:row>
    <x:row r="33" ht="46" customHeight="1">
      <x:c r="A33" s="50" t="n">
        <x:v>29</x:v>
      </x:c>
      <x:c r="B33" s="50" t="n">
        <x:v>1</x:v>
      </x:c>
      <x:c r="C33" s="50" t="str">
        <x:v>视觉特效</x:v>
      </x:c>
      <x:c r="D33" s="36" t="str">
        <x:v>半弹道跳跃式再入轨迹</x:v>
      </x:c>
      <x:c r="E33" s="36" t="str">
        <x:v>BY-VFX-P1-005-半弹道跳跃式再入轨迹</x:v>
      </x:c>
      <x:c r="F33" s="36" t="str"/>
      <x:c r="G33" s="50" t="str"/>
      <x:c r="H33" s="50" t="str">
        <x:v>VFX</x:v>
      </x:c>
      <x:c r="I33" s="50" t="str">
        <x:v>P1</x:v>
      </x:c>
      <x:c r="J33" s="36" t="str">
        <x:v>场15；镜104,105,106</x:v>
      </x:c>
      <x:c r="K33" s="36" t="str">
        <x:v>第一次擦入、跃出稠密大气、再次下弯和第二次再入的后期轨迹表达。</x:v>
      </x:c>
      <x:c r="L33" s="36" t="str">
        <x:v>第一次入射；跃出；第二次入射</x:v>
      </x:c>
      <x:c r="M33" s="36" t="str">
        <x:v>后期轨迹模板</x:v>
      </x:c>
      <x:c r="N33" s="36" t="str">
        <x:v>已确认生产方向</x:v>
      </x:c>
      <x:c r="O33" s="36" t="str">
        <x:v>阶段2A重入后按生产包执行</x:v>
      </x:c>
    </x:row>
    <x:row r="34" ht="46" customHeight="1">
      <x:c r="A34" s="50" t="n">
        <x:v>30</x:v>
      </x:c>
      <x:c r="B34" s="50" t="n">
        <x:v>1</x:v>
      </x:c>
      <x:c r="C34" s="50" t="str">
        <x:v>视觉特效</x:v>
      </x:c>
      <x:c r="D34" s="36" t="str">
        <x:v>揽月受控处置轨迹</x:v>
      </x:c>
      <x:c r="E34" s="36" t="str">
        <x:v>BY-VFX-P1-006-揽月受控处置轨迹</x:v>
      </x:c>
      <x:c r="F34" s="36" t="str"/>
      <x:c r="G34" s="50" t="str"/>
      <x:c r="H34" s="50" t="str">
        <x:v>VFX</x:v>
      </x:c>
      <x:c r="I34" s="50" t="str">
        <x:v>P1</x:v>
      </x:c>
      <x:c r="J34" s="36" t="str">
        <x:v>场13；镜093,095</x:v>
      </x:c>
      <x:c r="K34" s="36" t="str">
        <x:v>梦舟与揽月分离后的轨迹分叉和安全距离。</x:v>
      </x:c>
      <x:c r="L34" s="36" t="str">
        <x:v>分离；轨迹分叉；目标移除</x:v>
      </x:c>
      <x:c r="M34" s="36" t="str">
        <x:v>与揽月处置状态联合制作</x:v>
      </x:c>
      <x:c r="N34" s="36" t="str">
        <x:v>已确认生产方向</x:v>
      </x:c>
      <x:c r="O34" s="36" t="str">
        <x:v>阶段2A重入后按生产包执行</x:v>
      </x:c>
    </x:row>
    <x:row r="35" ht="46" customHeight="1">
      <x:c r="A35" s="50" t="n">
        <x:v>31</x:v>
      </x:c>
      <x:c r="B35" s="50" t="n">
        <x:v>1</x:v>
      </x:c>
      <x:c r="C35" s="50" t="str">
        <x:v>视觉特效</x:v>
      </x:c>
      <x:c r="D35" s="36" t="str">
        <x:v>月球车轮迹与低重力扬尘</x:v>
      </x:c>
      <x:c r="E35" s="36" t="str">
        <x:v>BY-VFX-P1-007-月球车轮迹与低重力扬尘</x:v>
      </x:c>
      <x:c r="F35" s="36" t="str"/>
      <x:c r="G35" s="50" t="str"/>
      <x:c r="H35" s="50" t="str">
        <x:v>VFX</x:v>
      </x:c>
      <x:c r="I35" s="50" t="str">
        <x:v>P1</x:v>
      </x:c>
      <x:c r="J35" s="36" t="str">
        <x:v>场9；镜058,059,066,067</x:v>
      </x:c>
      <x:c r="K35" s="36" t="str">
        <x:v>车轮压出连续轨迹，少量颗粒按弹道落回。</x:v>
      </x:c>
      <x:c r="L35" s="36" t="str">
        <x:v>卸载；行驶；转弯；返程</x:v>
      </x:c>
      <x:c r="M35" s="36" t="str">
        <x:v>月面物理测试</x:v>
      </x:c>
      <x:c r="N35" s="36" t="str">
        <x:v>已确认生产方向</x:v>
      </x:c>
      <x:c r="O35" s="36" t="str">
        <x:v>阶段2A重入后按生产包执行</x:v>
      </x:c>
    </x:row>
    <x:row r="36" ht="46" customHeight="1">
      <x:c r="A36" s="50" t="n">
        <x:v>32</x:v>
      </x:c>
      <x:c r="B36" s="50" t="n">
        <x:v>1</x:v>
      </x:c>
      <x:c r="C36" s="50" t="str">
        <x:v>视觉特效</x:v>
      </x:c>
      <x:c r="D36" s="36" t="str">
        <x:v>基于实时遥测的视觉重建合成</x:v>
      </x:c>
      <x:c r="E36" s="36" t="str">
        <x:v>BY-VFX-P1-008-遥测视觉重建合成</x:v>
      </x:c>
      <x:c r="F36" s="36" t="str"/>
      <x:c r="G36" s="50" t="str"/>
      <x:c r="H36" s="50" t="str">
        <x:v>VFX</x:v>
      </x:c>
      <x:c r="I36" s="50" t="str">
        <x:v>P1</x:v>
      </x:c>
      <x:c r="J36" s="36" t="str">
        <x:v>第1—2、4—7、11—14场</x:v>
      </x:c>
      <x:c r="K36" s="36" t="str">
        <x:v>以轨道、姿态、距离和时间数据重建无法由实体任务相机直接拍到的外部全景。</x:v>
      </x:c>
      <x:c r="L36" s="36" t="str">
        <x:v>环月对接；分离下降；着陆全景；月面上升；再入</x:v>
      </x:c>
      <x:c r="M36" s="36" t="str">
        <x:v>不得替代接触、触月、出舱、再对接等任务证据镜头</x:v>
      </x:c>
      <x:c r="N36" s="36" t="str">
        <x:v>阶段1已确认生产方向</x:v>
      </x:c>
      <x:c r="O36" s="36" t="str">
        <x:v>阶段2B建立母资产并按镜头状态派生</x:v>
      </x:c>
    </x:row>
    <x:row r="37" ht="46" customHeight="1">
      <x:c r="A37" s="50" t="n">
        <x:v>33</x:v>
      </x:c>
      <x:c r="B37" s="50" t="n">
        <x:v>1</x:v>
      </x:c>
      <x:c r="C37" s="50" t="str">
        <x:v>关系约束</x:v>
      </x:c>
      <x:c r="D37" s="36" t="str">
        <x:v>三名航天员与岗位关系</x:v>
      </x:c>
      <x:c r="E37" s="36" t="str">
        <x:v>BY-REL-P0-001-三名航天员与岗位</x:v>
      </x:c>
      <x:c r="F37" s="36" t="str"/>
      <x:c r="G37" s="50" t="str"/>
      <x:c r="H37" s="50" t="str">
        <x:v>REL</x:v>
      </x:c>
      <x:c r="I37" s="50" t="str">
        <x:v>P0</x:v>
      </x:c>
      <x:c r="J37" s="36" t="str">
        <x:v>全片</x:v>
      </x:c>
      <x:c r="K37" s="36" t="str">
        <x:v>三人外观、服装、声音、座位和岗位一一对应</x:v>
      </x:c>
      <x:c r="L37" s="36" t="str">
        <x:v>全过程</x:v>
      </x:c>
      <x:c r="M37" s="36" t="str">
        <x:v>跨资产关系记录</x:v>
      </x:c>
      <x:c r="N37" s="36" t="str">
        <x:v>已确认锁定</x:v>
      </x:c>
      <x:c r="O37" s="36" t="str">
        <x:v>阶段2B分工包必带</x:v>
      </x:c>
    </x:row>
    <x:row r="38" ht="46" customHeight="1">
      <x:c r="A38" s="50" t="n">
        <x:v>34</x:v>
      </x:c>
      <x:c r="B38" s="50" t="n">
        <x:v>1</x:v>
      </x:c>
      <x:c r="C38" s="50" t="str">
        <x:v>关系约束</x:v>
      </x:c>
      <x:c r="D38" s="36" t="str">
        <x:v>杨凛服装状态链</x:v>
      </x:c>
      <x:c r="E38" s="36" t="str">
        <x:v>BY-REL-P0-002-杨凛服装状态链</x:v>
      </x:c>
      <x:c r="F38" s="36" t="str"/>
      <x:c r="G38" s="50" t="str"/>
      <x:c r="H38" s="50" t="str">
        <x:v>REL</x:v>
      </x:c>
      <x:c r="I38" s="50" t="str">
        <x:v>P0</x:v>
      </x:c>
      <x:c r="J38" s="36" t="str">
        <x:v>03-10</x:v>
      </x:c>
      <x:c r="K38" s="36" t="str">
        <x:v>舱内飞行服到登月服再回舱内状态</x:v>
      </x:c>
      <x:c r="L38" s="36" t="str">
        <x:v>舱内;登月服;月尘;脱服后</x:v>
      </x:c>
      <x:c r="M38" s="36" t="str">
        <x:v>跨资产关系记录</x:v>
      </x:c>
      <x:c r="N38" s="36" t="str">
        <x:v>已确认锁定</x:v>
      </x:c>
      <x:c r="O38" s="36" t="str">
        <x:v>人物组关系切片</x:v>
      </x:c>
    </x:row>
    <x:row r="39" ht="46" customHeight="1">
      <x:c r="A39" s="50" t="n">
        <x:v>35</x:v>
      </x:c>
      <x:c r="B39" s="50" t="n">
        <x:v>1</x:v>
      </x:c>
      <x:c r="C39" s="50" t="str">
        <x:v>关系约束</x:v>
      </x:c>
      <x:c r="D39" s="36" t="str">
        <x:v>陈砚服装状态链</x:v>
      </x:c>
      <x:c r="E39" s="36" t="str">
        <x:v>BY-REL-P0-003-陈砚服装状态链</x:v>
      </x:c>
      <x:c r="F39" s="36" t="str"/>
      <x:c r="G39" s="50" t="str"/>
      <x:c r="H39" s="50" t="str">
        <x:v>REL</x:v>
      </x:c>
      <x:c r="I39" s="50" t="str">
        <x:v>P0</x:v>
      </x:c>
      <x:c r="J39" s="36" t="str">
        <x:v>03-10</x:v>
      </x:c>
      <x:c r="K39" s="36" t="str">
        <x:v>与杨凛同阶段但工具痕迹不同</x:v>
      </x:c>
      <x:c r="L39" s="36" t="str">
        <x:v>舱内;登月服;月尘;脱服后</x:v>
      </x:c>
      <x:c r="M39" s="36" t="str">
        <x:v>跨资产关系记录</x:v>
      </x:c>
      <x:c r="N39" s="36" t="str">
        <x:v>已确认锁定</x:v>
      </x:c>
      <x:c r="O39" s="36" t="str">
        <x:v>人物组关系切片</x:v>
      </x:c>
    </x:row>
    <x:row r="40" ht="46" customHeight="1">
      <x:c r="A40" s="52" t="n">
        <x:v>36</x:v>
      </x:c>
      <x:c r="B40" s="52" t="n">
        <x:v>1</x:v>
      </x:c>
      <x:c r="C40" s="52" t="str">
        <x:v>关系约束</x:v>
      </x:c>
      <x:c r="D40" s="41" t="str">
        <x:v>刘定槎与两张空座椅</x:v>
      </x:c>
      <x:c r="E40" s="41" t="str">
        <x:v>BY-REL-P0-004-刘定槎与两张空座椅</x:v>
      </x:c>
      <x:c r="F40" s="41" t="str"/>
      <x:c r="G40" s="52" t="str"/>
      <x:c r="H40" s="52" t="str">
        <x:v>REL</x:v>
      </x:c>
      <x:c r="I40" s="52" t="str">
        <x:v>P0</x:v>
      </x:c>
      <x:c r="J40" s="41" t="str">
        <x:v>历史V1.1</x:v>
      </x:c>
      <x:c r="K40" s="41" t="str">
        <x:v>分离后空出、等待时存在、重聚后坐满</x:v>
      </x:c>
      <x:c r="L40" s="41" t="str">
        <x:v>三人;两空座;重新坐满</x:v>
      </x:c>
      <x:c r="M40" s="41" t="str">
        <x:v>跨资产关系记录</x:v>
      </x:c>
      <x:c r="N40" s="41" t="str">
        <x:v>历史停用（V1.2不调用）</x:v>
      </x:c>
      <x:c r="O40" s="41" t="str">
        <x:v>叙事关系失效；由BY-REL-P0-009替代</x:v>
      </x:c>
    </x:row>
    <x:row r="41" ht="46" customHeight="1">
      <x:c r="A41" s="50" t="n">
        <x:v>37</x:v>
      </x:c>
      <x:c r="B41" s="50" t="n">
        <x:v>1</x:v>
      </x:c>
      <x:c r="C41" s="50" t="str">
        <x:v>关系约束</x:v>
      </x:c>
      <x:c r="D41" s="36" t="str">
        <x:v>揽月构型状态链</x:v>
      </x:c>
      <x:c r="E41" s="36" t="str">
        <x:v>BY-REL-P0-005-揽月构型状态链</x:v>
      </x:c>
      <x:c r="F41" s="36" t="str"/>
      <x:c r="G41" s="50" t="str"/>
      <x:c r="H41" s="50" t="str">
        <x:v>REL</x:v>
      </x:c>
      <x:c r="I41" s="50" t="str">
        <x:v>P0</x:v>
      </x:c>
      <x:c r="J41" s="36" t="str">
        <x:v>01;03-12</x:v>
      </x:c>
      <x:c r="K41" s="36" t="str">
        <x:v>着陆器＋推进舱交会对接—分离降轨—推进舱分离—着陆器下降／触月／整体起飞—再对接—受控处置。</x:v>
      </x:c>
      <x:c r="L41" s="36" t="str">
        <x:v>完整;分离;着陆;起飞;对接</x:v>
      </x:c>
      <x:c r="M41" s="36" t="str">
        <x:v>跨资产关系记录</x:v>
      </x:c>
      <x:c r="N41" s="36" t="str">
        <x:v>已确认锁定</x:v>
      </x:c>
      <x:c r="O41" s="36" t="str">
        <x:v>按V1.2扩展后的完整状态链执行</x:v>
      </x:c>
    </x:row>
    <x:row r="42" ht="46" customHeight="1">
      <x:c r="A42" s="50" t="n">
        <x:v>38</x:v>
      </x:c>
      <x:c r="B42" s="50" t="n">
        <x:v>1</x:v>
      </x:c>
      <x:c r="C42" s="50" t="str">
        <x:v>关系约束</x:v>
      </x:c>
      <x:c r="D42" s="36" t="str">
        <x:v>月面摄像机摄影来源</x:v>
      </x:c>
      <x:c r="E42" s="36" t="str">
        <x:v>BY-REL-P0-006-月面摄像机摄影来源</x:v>
      </x:c>
      <x:c r="F42" s="36" t="str"/>
      <x:c r="G42" s="50" t="str"/>
      <x:c r="H42" s="50" t="str">
        <x:v>REL</x:v>
      </x:c>
      <x:c r="I42" s="50" t="str">
        <x:v>P0</x:v>
      </x:c>
      <x:c r="J42" s="36" t="str">
        <x:v>第8—11场</x:v>
      </x:c>
      <x:c r="K42" s="36" t="str">
        <x:v>先部署摄像机后才能调用国旗和起飞固定全景</x:v>
      </x:c>
      <x:c r="L42" s="36" t="str">
        <x:v>部署前：揽月／宇航服任务相机；部署后：同一便携相机；科研：月球车与宇航服相机</x:v>
      </x:c>
      <x:c r="M42" s="36" t="str">
        <x:v>任何第三视角都必须能追溯到已部署设备或显式遥测视觉重建。</x:v>
      </x:c>
      <x:c r="N42" s="36" t="str">
        <x:v>已确认锁定</x:v>
      </x:c>
      <x:c r="O42" s="36" t="str">
        <x:v>月面场景组关系切片</x:v>
      </x:c>
    </x:row>
    <x:row r="43" ht="46" customHeight="1">
      <x:c r="A43" s="50" t="n">
        <x:v>39</x:v>
      </x:c>
      <x:c r="B43" s="50" t="n">
        <x:v>1</x:v>
      </x:c>
      <x:c r="C43" s="50" t="str">
        <x:v>关系约束</x:v>
      </x:c>
      <x:c r="D43" s="36" t="str">
        <x:v>国旗装置部署链</x:v>
      </x:c>
      <x:c r="E43" s="36" t="str">
        <x:v>BY-REL-P0-007-国旗装置部署链</x:v>
      </x:c>
      <x:c r="F43" s="36" t="str"/>
      <x:c r="G43" s="50" t="str"/>
      <x:c r="H43" s="50" t="str">
        <x:v>REL</x:v>
      </x:c>
      <x:c r="I43" s="50" t="str">
        <x:v>P0</x:v>
      </x:c>
      <x:c r="J43" s="36" t="str">
        <x:v>08</x:v>
      </x:c>
      <x:c r="K43" s="36" t="str">
        <x:v>折叠、搬运、底座稳定、支撑锁定、展开、静止</x:v>
      </x:c>
      <x:c r="L43" s="36" t="str">
        <x:v>多状态</x:v>
      </x:c>
      <x:c r="M43" s="36" t="str">
        <x:v>跨资产关系记录</x:v>
      </x:c>
      <x:c r="N43" s="36" t="str">
        <x:v>已确认锁定</x:v>
      </x:c>
      <x:c r="O43" s="36" t="str">
        <x:v>道具组关系切片</x:v>
      </x:c>
    </x:row>
    <x:row r="44" ht="46" customHeight="1">
      <x:c r="A44" s="50" t="n">
        <x:v>40</x:v>
      </x:c>
      <x:c r="B44" s="50" t="n">
        <x:v>1</x:v>
      </x:c>
      <x:c r="C44" s="50" t="str">
        <x:v>关系约束</x:v>
      </x:c>
      <x:c r="D44" s="36" t="str">
        <x:v>样品转移链</x:v>
      </x:c>
      <x:c r="E44" s="36" t="str">
        <x:v>BY-REL-P0-008-样品转移链</x:v>
      </x:c>
      <x:c r="F44" s="36" t="str"/>
      <x:c r="G44" s="50" t="str"/>
      <x:c r="H44" s="50" t="str">
        <x:v>REL</x:v>
      </x:c>
      <x:c r="I44" s="50" t="str">
        <x:v>P0</x:v>
      </x:c>
      <x:c r="J44" s="36" t="str">
        <x:v>09-12</x:v>
      </x:c>
      <x:c r="K44" s="36" t="str">
        <x:v>月面编号采样—装袋封口—主容器封闭—揽月固定—样品先行跨舱—梦舟样品柜锁止—回收接收。</x:v>
      </x:c>
      <x:c r="L44" s="36" t="str">
        <x:v>空;装样;转移;固定</x:v>
      </x:c>
      <x:c r="M44" s="36" t="str">
        <x:v>跨资产关系记录</x:v>
      </x:c>
      <x:c r="N44" s="36" t="str">
        <x:v>已确认锁定</x:v>
      </x:c>
      <x:c r="O44" s="36" t="str">
        <x:v>道具组关系切片</x:v>
      </x:c>
    </x:row>
    <x:row r="45" ht="46" customHeight="1">
      <x:c r="A45" s="50" t="n">
        <x:v>41</x:v>
      </x:c>
      <x:c r="B45" s="50" t="n">
        <x:v>1</x:v>
      </x:c>
      <x:c r="C45" s="50" t="str">
        <x:v>关系约束</x:v>
      </x:c>
      <x:c r="D45" s="36" t="str">
        <x:v>月面空间总图</x:v>
      </x:c>
      <x:c r="E45" s="36" t="str">
        <x:v>BY-REL-P1-001-月面空间总图</x:v>
      </x:c>
      <x:c r="F45" s="36" t="str"/>
      <x:c r="G45" s="50" t="str"/>
      <x:c r="H45" s="50" t="str">
        <x:v>REL</x:v>
      </x:c>
      <x:c r="I45" s="50" t="str">
        <x:v>P1</x:v>
      </x:c>
      <x:c r="J45" s="36" t="str">
        <x:v>04-10</x:v>
      </x:c>
      <x:c r="K45" s="36" t="str">
        <x:v>登月舱、舷梯、摄像机、国旗、科学设备、车辙和羽流安全区关系</x:v>
      </x:c>
      <x:c r="L45" s="36" t="str">
        <x:v>着陆前;作业;起飞后</x:v>
      </x:c>
      <x:c r="M45" s="36" t="str">
        <x:v>空间设计卡</x:v>
      </x:c>
      <x:c r="N45" s="36" t="str">
        <x:v>已确认</x:v>
      </x:c>
      <x:c r="O45" s="36" t="str">
        <x:v>场景组核心关系切片</x:v>
      </x:c>
    </x:row>
    <x:row r="46" ht="46" customHeight="1">
      <x:c r="A46" s="50" t="n">
        <x:v>42</x:v>
      </x:c>
      <x:c r="B46" s="50" t="n">
        <x:v>1</x:v>
      </x:c>
      <x:c r="C46" s="50" t="str">
        <x:v>关系约束</x:v>
      </x:c>
      <x:c r="D46" s="36" t="str">
        <x:v>两侧舱门顺序</x:v>
      </x:c>
      <x:c r="E46" s="36" t="str">
        <x:v>BY-REL-P1-002-两侧舱门顺序</x:v>
      </x:c>
      <x:c r="F46" s="36" t="str"/>
      <x:c r="G46" s="50" t="str"/>
      <x:c r="H46" s="50" t="str">
        <x:v>REL</x:v>
      </x:c>
      <x:c r="I46" s="50" t="str">
        <x:v>P1</x:v>
      </x:c>
      <x:c r="J46" s="36" t="str">
        <x:v>03;12-13</x:v>
      </x:c>
      <x:c r="K46" s="36" t="str">
        <x:v>返回转移后先关闭揽月侧，最终分离前关闭梦舟侧</x:v>
      </x:c>
      <x:c r="L46" s="36" t="str">
        <x:v>开启;关闭;密封;分离</x:v>
      </x:c>
      <x:c r="M46" s="36" t="str">
        <x:v>跨资产关系记录</x:v>
      </x:c>
      <x:c r="N46" s="36" t="str">
        <x:v>已确认锁定</x:v>
      </x:c>
      <x:c r="O46" s="36" t="str">
        <x:v>场景与道具组共用</x:v>
      </x:c>
    </x:row>
    <x:row r="47" ht="46" customHeight="1">
      <x:c r="A47" s="50" t="n">
        <x:v>43</x:v>
      </x:c>
      <x:c r="B47" s="50" t="n">
        <x:v>1</x:v>
      </x:c>
      <x:c r="C47" s="50" t="str">
        <x:v>关系约束</x:v>
      </x:c>
      <x:c r="D47" s="36" t="str">
        <x:v>声音来源真实性</x:v>
      </x:c>
      <x:c r="E47" s="36" t="str">
        <x:v>BY-REL-P1-003-声音来源真实性</x:v>
      </x:c>
      <x:c r="F47" s="36" t="str"/>
      <x:c r="G47" s="50" t="str"/>
      <x:c r="H47" s="50" t="str">
        <x:v>REL</x:v>
      </x:c>
      <x:c r="I47" s="50" t="str">
        <x:v>P1</x:v>
      </x:c>
      <x:c r="J47" s="36" t="str">
        <x:v>全片</x:v>
      </x:c>
      <x:c r="K47" s="36" t="str">
        <x:v>月面外部无空气传播声，呼吸与无线电来自任务通信音轨</x:v>
      </x:c>
      <x:c r="L47" s="36" t="str">
        <x:v>舱内;月面;轨道;地面</x:v>
      </x:c>
      <x:c r="M47" s="36" t="str">
        <x:v>正式镜头声音关系记录</x:v>
      </x:c>
      <x:c r="N47" s="36" t="str">
        <x:v>已确认锁定</x:v>
      </x:c>
      <x:c r="O47" s="36" t="str">
        <x:v>阶段3每镜终检</x:v>
      </x:c>
    </x:row>
    <x:row r="48" ht="46" customHeight="1">
      <x:c r="A48" s="50" t="n">
        <x:v>44</x:v>
      </x:c>
      <x:c r="B48" s="50" t="n">
        <x:v>1</x:v>
      </x:c>
      <x:c r="C48" s="50" t="str">
        <x:v>关系约束</x:v>
      </x:c>
      <x:c r="D48" s="36" t="str">
        <x:v>梦舟三座四种乘员状态与环月工作位关系</x:v>
      </x:c>
      <x:c r="E48" s="36" t="str">
        <x:v>BY-REL-P0-009-梦舟三座返航承载与环月工作位</x:v>
      </x:c>
      <x:c r="F48" s="36" t="str"/>
      <x:c r="G48" s="50" t="str"/>
      <x:c r="H48" s="50" t="str">
        <x:v>REL</x:v>
      </x:c>
      <x:c r="I48" s="50" t="str">
        <x:v>P0</x:v>
      </x:c>
      <x:c r="J48" s="36" t="str">
        <x:v>第1—3、5、11、14—15场</x:v>
      </x:c>
      <x:c r="K48" s="36" t="str">
        <x:v>同一返回舱内三座承力区、环月工作位、舱门轴线和样品固定位置的连续关系。</x:v>
      </x:c>
      <x:c r="L48" s="36" t="str">
        <x:v>三座满员→一人值守两座空置→三人重聚→三人返航承载</x:v>
      </x:c>
      <x:c r="M48" s="36" t="str">
        <x:v>作为梦舟所有镜头的强连续性约束；不得生成三人并排占满通道或座椅朝向漂移。</x:v>
      </x:c>
      <x:c r="N48" s="36" t="str">
        <x:v>已确认生产方向</x:v>
      </x:c>
      <x:c r="O48" s="36" t="str">
        <x:v>阶段2A重入后按生产包执行</x:v>
      </x:c>
    </x:row>
    <x:row r="49" ht="46" customHeight="1">
      <x:c r="A49" s="50" t="n">
        <x:v>45</x:v>
      </x:c>
      <x:c r="B49" s="50" t="n">
        <x:v>1</x:v>
      </x:c>
      <x:c r="C49" s="50" t="str">
        <x:v>关系约束</x:v>
      </x:c>
      <x:c r="D49" s="36" t="str">
        <x:v>梦舟轴向通道人员／样品转移顺序</x:v>
      </x:c>
      <x:c r="E49" s="36" t="str">
        <x:v>BY-REL-P0-010-梦舟轴向转移顺序</x:v>
      </x:c>
      <x:c r="F49" s="36" t="str"/>
      <x:c r="G49" s="50" t="str"/>
      <x:c r="H49" s="50" t="str">
        <x:v>REL</x:v>
      </x:c>
      <x:c r="I49" s="50" t="str">
        <x:v>P0</x:v>
      </x:c>
      <x:c r="J49" s="36" t="str"/>
      <x:c r="K49" s="36" t="str">
        <x:v>第一次先任务物品后人员；第二次先主样品容器后人员。</x:v>
      </x:c>
      <x:c r="L49" s="36" t="str">
        <x:v>首次转移；再对接转移</x:v>
      </x:c>
      <x:c r="M49" s="36" t="str">
        <x:v>通道场景和道具硬约束</x:v>
      </x:c>
      <x:c r="N49" s="36" t="str">
        <x:v>已确认生产方向</x:v>
      </x:c>
      <x:c r="O49" s="36" t="str">
        <x:v>阶段2A重入后按生产包执行</x:v>
      </x:c>
    </x:row>
    <x:row r="50" ht="46" customHeight="1">
      <x:c r="A50" s="50" t="n">
        <x:v>46</x:v>
      </x:c>
      <x:c r="B50" s="50" t="n">
        <x:v>1</x:v>
      </x:c>
      <x:c r="C50" s="50" t="str">
        <x:v>关系约束</x:v>
      </x:c>
      <x:c r="D50" s="36" t="str">
        <x:v>梦舟月轨—地月转移—再入状态链</x:v>
      </x:c>
      <x:c r="E50" s="36" t="str">
        <x:v>BY-REL-P0-011-梦舟返地构型状态链</x:v>
      </x:c>
      <x:c r="F50" s="36" t="str"/>
      <x:c r="G50" s="50" t="str"/>
      <x:c r="H50" s="50" t="str">
        <x:v>REL</x:v>
      </x:c>
      <x:c r="I50" s="50" t="str">
        <x:v>P0</x:v>
      </x:c>
      <x:c r="J50" s="36" t="str"/>
      <x:c r="K50" s="36" t="str">
        <x:v>月轨组合体—地月转移点火—三天巡航—服务舱近地分离—返回舱跳跃式再入—群伞／气囊—搜救。</x:v>
      </x:c>
      <x:c r="L50" s="36" t="str">
        <x:v>完整返地链</x:v>
      </x:c>
      <x:c r="M50" s="36" t="str">
        <x:v>梦舟外部与再入资产硬约束</x:v>
      </x:c>
      <x:c r="N50" s="36" t="str">
        <x:v>已确认生产方向</x:v>
      </x:c>
      <x:c r="O50" s="36" t="str">
        <x:v>阶段2A重入后按生产包执行</x:v>
      </x:c>
    </x:row>
    <x:row r="51" ht="46" customHeight="1">
      <x:c r="A51" s="50" t="n">
        <x:v>47</x:v>
      </x:c>
      <x:c r="B51" s="50" t="n">
        <x:v>1</x:v>
      </x:c>
      <x:c r="C51" s="50" t="str">
        <x:v>关系约束</x:v>
      </x:c>
      <x:c r="D51" s="36" t="str">
        <x:v>月面艺术化光照与推演声明关系</x:v>
      </x:c>
      <x:c r="E51" s="36" t="str">
        <x:v>BY-REL-P0-012-月面艺术化光照与声明</x:v>
      </x:c>
      <x:c r="F51" s="36" t="str"/>
      <x:c r="G51" s="50" t="str"/>
      <x:c r="H51" s="50" t="str">
        <x:v>REL</x:v>
      </x:c>
      <x:c r="I51" s="50" t="str">
        <x:v>P0</x:v>
      </x:c>
      <x:c r="J51" s="36" t="str"/>
      <x:c r="K51" s="36" t="str">
        <x:v>保留2029年4月8日和锁定坐标；画面采用艺术化任务日光；声明承担天文偏差。</x:v>
      </x:c>
      <x:c r="L51" s="36" t="str">
        <x:v>片头声明；月面全段；片尾声明</x:v>
      </x:c>
      <x:c r="M51" s="36" t="str">
        <x:v>阶段2A和阶段3禁止改写项</x:v>
      </x:c>
      <x:c r="N51" s="36" t="str">
        <x:v>用户已确认</x:v>
      </x:c>
      <x:c r="O51" s="36" t="str">
        <x:v>所有月面资产和后期声明必须继承</x:v>
      </x:c>
    </x:row>
    <x:row r="52" ht="46" customHeight="1">
      <x:c r="A52" s="50" t="n">
        <x:v>48</x:v>
      </x:c>
      <x:c r="B52" s="50" t="n">
        <x:v>1</x:v>
      </x:c>
      <x:c r="C52" s="50" t="str">
        <x:v>关系约束</x:v>
      </x:c>
      <x:c r="D52" s="36" t="str">
        <x:v>返回舱再入、着陆与搜救状态链</x:v>
      </x:c>
      <x:c r="E52" s="36" t="str">
        <x:v>BY-REL-P0-013-返回舱再入搜救状态链</x:v>
      </x:c>
      <x:c r="F52" s="36" t="str"/>
      <x:c r="G52" s="50" t="str"/>
      <x:c r="H52" s="50" t="str">
        <x:v>REL</x:v>
      </x:c>
      <x:c r="I52" s="50" t="str">
        <x:v>P0</x:v>
      </x:c>
      <x:c r="J52" s="36" t="str"/>
      <x:c r="K52" s="36" t="str">
        <x:v>服务舱分离—两次再入—黑障—通信恢复—开伞—气囊着陆—安全检查—开舱—医学与样品接收。</x:v>
      </x:c>
      <x:c r="L52" s="36" t="str">
        <x:v>完整回收链</x:v>
      </x:c>
      <x:c r="M52" s="36" t="str">
        <x:v>再入与搜救资产硬约束</x:v>
      </x:c>
      <x:c r="N52" s="36" t="str">
        <x:v>已确认生产方向</x:v>
      </x:c>
      <x:c r="O52" s="36" t="str">
        <x:v>阶段2A重入后按生产包执行</x:v>
      </x:c>
    </x:row>
    <x:row r="53" ht="46" customHeight="1">
      <x:c r="A53" s="50" t="n">
        <x:v>49</x:v>
      </x:c>
      <x:c r="B53" s="50" t="n">
        <x:v>1</x:v>
      </x:c>
      <x:c r="C53" s="50" t="str">
        <x:v>关系约束</x:v>
      </x:c>
      <x:c r="D53" s="36" t="str">
        <x:v>北京—佳木斯—喀什—VLBI测控接力链</x:v>
      </x:c>
      <x:c r="E53" s="36" t="str">
        <x:v>BY-REL-P1-004-地面测控接力链</x:v>
      </x:c>
      <x:c r="F53" s="36" t="str"/>
      <x:c r="G53" s="50" t="str"/>
      <x:c r="H53" s="50" t="str">
        <x:v>REL</x:v>
      </x:c>
      <x:c r="I53" s="50" t="str">
        <x:v>P1</x:v>
      </x:c>
      <x:c r="J53" s="36" t="str"/>
      <x:c r="K53" s="36" t="str">
        <x:v>北京总协调，佳木斯主链路，喀什备份与双目标，VLBI独立校核。</x:v>
      </x:c>
      <x:c r="L53" s="36" t="str">
        <x:v>交会；下降；月面；起飞；再交会；返回</x:v>
      </x:c>
      <x:c r="M53" s="36" t="str">
        <x:v>地面场景、声音和镜头装配约束</x:v>
      </x:c>
      <x:c r="N53" s="36" t="str">
        <x:v>已确认生产方向</x:v>
      </x:c>
      <x:c r="O53" s="36" t="str">
        <x:v>阶段2A重入后按生产包执行</x:v>
      </x:c>
    </x:row>
    <x:row r="54" ht="46" customHeight="1">
      <x:c r="A54" s="50" t="n">
        <x:v>50</x:v>
      </x:c>
      <x:c r="B54" s="50" t="n">
        <x:v>1</x:v>
      </x:c>
      <x:c r="C54" s="50" t="str">
        <x:v>关系约束</x:v>
      </x:c>
      <x:c r="D54" s="36" t="str">
        <x:v>小天AI权限边界</x:v>
      </x:c>
      <x:c r="E54" s="36" t="str">
        <x:v>BY-REL-P1-005-小天AI权限边界</x:v>
      </x:c>
      <x:c r="F54" s="36" t="str"/>
      <x:c r="G54" s="50" t="str"/>
      <x:c r="H54" s="50" t="str">
        <x:v>REL</x:v>
      </x:c>
      <x:c r="I54" s="50" t="str">
        <x:v>P1</x:v>
      </x:c>
      <x:c r="J54" s="36" t="str"/>
      <x:c r="K54" s="36" t="str">
        <x:v>只做融合、预测、候选排序和异常提示；最终授权、选择与中止权属于乘组和北京。</x:v>
      </x:c>
      <x:c r="L54" s="36" t="str">
        <x:v>交会；下降；复压；起飞；再入</x:v>
      </x:c>
      <x:c r="M54" s="36" t="str">
        <x:v>所有出现小天的镜头硬约束</x:v>
      </x:c>
      <x:c r="N54" s="36" t="str">
        <x:v>已确认生产方向</x:v>
      </x:c>
      <x:c r="O54" s="36" t="str">
        <x:v>阶段2A重入后按生产包执行</x:v>
      </x:c>
    </x:row>
    <x:row r="55" ht="46" customHeight="1">
      <x:c r="A55" s="50" t="n">
        <x:v>51</x:v>
      </x:c>
      <x:c r="B55" s="50" t="n">
        <x:v>1</x:v>
      </x:c>
      <x:c r="C55" s="50" t="str">
        <x:v>关系约束</x:v>
      </x:c>
      <x:c r="D55" s="36" t="str">
        <x:v>月面科学路线与样品编号链</x:v>
      </x:c>
      <x:c r="E55" s="36" t="str">
        <x:v>BY-REL-P1-006-月面科学路线与样品链</x:v>
      </x:c>
      <x:c r="F55" s="36" t="str"/>
      <x:c r="G55" s="50" t="str"/>
      <x:c r="H55" s="50" t="str">
        <x:v>REL</x:v>
      </x:c>
      <x:c r="I55" s="50" t="str">
        <x:v>P1</x:v>
      </x:c>
      <x:c r="J55" s="36" t="str"/>
      <x:c r="K55" s="36" t="str">
        <x:v>月球车路线、地面地质建议、编号采样、封装、主容器和回收接收闭环。</x:v>
      </x:c>
      <x:c r="L55" s="36" t="str">
        <x:v>路线；采样；封装；转移；接收</x:v>
      </x:c>
      <x:c r="M55" s="36" t="str">
        <x:v>月面科学任务装配约束</x:v>
      </x:c>
      <x:c r="N55" s="36" t="str">
        <x:v>已确认生产方向</x:v>
      </x:c>
      <x:c r="O55" s="36" t="str">
        <x:v>阶段2A重入后按生产包执行</x:v>
      </x:c>
    </x:row>
    <x:row r="56" ht="46" customHeight="1">
      <x:c r="A56" s="50" t="n">
        <x:v>52</x:v>
      </x:c>
      <x:c r="B56" s="50" t="n">
        <x:v>1</x:v>
      </x:c>
      <x:c r="C56" s="50" t="str">
        <x:v>关系约束</x:v>
      </x:c>
      <x:c r="D56" s="36" t="str">
        <x:v>任务相机、地面直播、遥测重建与图卡证据层级</x:v>
      </x:c>
      <x:c r="E56" s="36" t="str">
        <x:v>BY-REL-P1-007-摄影来源证据层级</x:v>
      </x:c>
      <x:c r="F56" s="36" t="str"/>
      <x:c r="G56" s="50" t="str"/>
      <x:c r="H56" s="50" t="str">
        <x:v>REL</x:v>
      </x:c>
      <x:c r="I56" s="50" t="str">
        <x:v>P1</x:v>
      </x:c>
      <x:c r="J56" s="36" t="str">
        <x:v>全片</x:v>
      </x:c>
      <x:c r="K56" s="36" t="str">
        <x:v>A任务证据机位、B地面直播机位、C显式遥测视觉重建、D后期图卡四层来源。</x:v>
      </x:c>
      <x:c r="L56" s="36" t="str">
        <x:v>四层摄影来源</x:v>
      </x:c>
      <x:c r="M56" s="36" t="str">
        <x:v>写入每镜摄影来源等级</x:v>
      </x:c>
      <x:c r="N56" s="36" t="str">
        <x:v>阶段1已确认生产方向</x:v>
      </x:c>
      <x:c r="O56" s="36" t="str">
        <x:v>阶段2B建立母资产并按镜头状态派生</x:v>
      </x:c>
    </x:row>
    <x:row r="57" ht="46" customHeight="1">
      <x:c r="A57" s="50" t="n">
        <x:v>53</x:v>
      </x:c>
      <x:c r="B57" s="50" t="n">
        <x:v>1</x:v>
      </x:c>
      <x:c r="C57" s="50" t="str">
        <x:v>关系约束</x:v>
      </x:c>
      <x:c r="D57" s="36" t="str">
        <x:v>三段直播进口、关键动作链、采访解释与出口</x:v>
      </x:c>
      <x:c r="E57" s="36" t="str">
        <x:v>BY-REL-P1-008-三段直播结构链</x:v>
      </x:c>
      <x:c r="F57" s="36" t="str"/>
      <x:c r="G57" s="50" t="str"/>
      <x:c r="H57" s="50" t="str">
        <x:v>REL</x:v>
      </x:c>
      <x:c r="I57" s="50" t="str">
        <x:v>P1</x:v>
      </x:c>
      <x:c r="J57" s="36" t="str">
        <x:v>全片</x:v>
      </x:c>
      <x:c r="K57" s="36" t="str">
        <x:v>记者事件前解释、任务关键动作、事件后采访、字幕跳时四种结构单元。</x:v>
      </x:c>
      <x:c r="L57" s="36" t="str">
        <x:v>直播一；直播二；直播三</x:v>
      </x:c>
      <x:c r="M57" s="36" t="str">
        <x:v>作为剪辑与声音节奏约束</x:v>
      </x:c>
      <x:c r="N57" s="36" t="str">
        <x:v>阶段1已确认生产方向</x:v>
      </x:c>
      <x:c r="O57" s="36" t="str">
        <x:v>阶段2B建立母资产并按镜头状态派生</x:v>
      </x:c>
    </x:row>
    <x:row r="58" ht="46" customHeight="1">
      <x:c r="A58" s="50" t="n">
        <x:v>54</x:v>
      </x:c>
      <x:c r="B58" s="50" t="n">
        <x:v>1</x:v>
      </x:c>
      <x:c r="C58" s="50" t="str">
        <x:v>关系约束</x:v>
      </x:c>
      <x:c r="D58" s="36" t="str">
        <x:v>东风人员医监转移与样品交接双线</x:v>
      </x:c>
      <x:c r="E58" s="36" t="str">
        <x:v>BY-REL-P1-009-东风医监与样品双线</x:v>
      </x:c>
      <x:c r="F58" s="36" t="str"/>
      <x:c r="G58" s="50" t="str"/>
      <x:c r="H58" s="50" t="str">
        <x:v>REL</x:v>
      </x:c>
      <x:c r="I58" s="50" t="str">
        <x:v>P1</x:v>
      </x:c>
      <x:c r="J58" s="36" t="str">
        <x:v>第15场</x:v>
      </x:c>
      <x:c r="K58" s="36" t="str">
        <x:v>人员安全处置、逐人评估、座椅／担架转移与样品编号交接并行闭合。</x:v>
      </x:c>
      <x:c r="L58" s="36" t="str">
        <x:v>安全处置；医学评估；人员转移；样品交接；任务闭合</x:v>
      </x:c>
      <x:c r="M58" s="36" t="str">
        <x:v>镜117合流</x:v>
      </x:c>
      <x:c r="N58" s="36" t="str">
        <x:v>阶段1已确认生产方向</x:v>
      </x:c>
      <x:c r="O58" s="36" t="str">
        <x:v>阶段2B建立母资产并按镜头状态派生</x:v>
      </x:c>
    </x:row>
    <x:row r="59" ht="46" customHeight="1">
      <x:c r="A59" s="50" t="n">
        <x:v>55</x:v>
      </x:c>
      <x:c r="B59" s="50" t="n">
        <x:v>1</x:v>
      </x:c>
      <x:c r="C59" s="50" t="str">
        <x:v>关系约束</x:v>
      </x:c>
      <x:c r="D59" s="36" t="str">
        <x:v>地球、月球与飞行器视觉尺度连续性</x:v>
      </x:c>
      <x:c r="E59" s="36" t="str">
        <x:v>BY-REL-P1-010-地月视觉尺度连续性</x:v>
      </x:c>
      <x:c r="F59" s="36" t="str"/>
      <x:c r="G59" s="50" t="str"/>
      <x:c r="H59" s="50" t="str">
        <x:v>REL</x:v>
      </x:c>
      <x:c r="I59" s="50" t="str">
        <x:v>P1</x:v>
      </x:c>
      <x:c r="J59" s="36" t="str">
        <x:v>深空与轨道镜头</x:v>
      </x:c>
      <x:c r="K59" s="36" t="str">
        <x:v>环月轨道中的地球表现为有清晰直径的蓝白圆盘，接近地球时逐步扩大。</x:v>
      </x:c>
      <x:c r="L59" s="36" t="str">
        <x:v>环月；离月；接近地球；再入</x:v>
      </x:c>
      <x:c r="M59" s="36" t="str">
        <x:v>与每个视觉重建镜头的镜头尺度绑定</x:v>
      </x:c>
      <x:c r="N59" s="36" t="str">
        <x:v>阶段1已确认生产方向</x:v>
      </x:c>
      <x:c r="O59" s="36" t="str">
        <x:v>阶段2B建立母资产并按镜头状态派生</x:v>
      </x:c>
    </x:row>
    <x:row r="60" ht="46" customHeight="1">
      <x:c r="A60" s="50" t="n">
        <x:v>56</x:v>
      </x:c>
      <x:c r="B60" s="50" t="n">
        <x:v>1</x:v>
      </x:c>
      <x:c r="C60" s="50" t="str">
        <x:v>后期图形／标识</x:v>
      </x:c>
      <x:c r="D60" s="36" t="str">
        <x:v>中华人民共和国国旗图形</x:v>
      </x:c>
      <x:c r="E60" s="36" t="str">
        <x:v>BY-SYM-P0-001-中华人民共和国国旗图形</x:v>
      </x:c>
      <x:c r="F60" s="36" t="str"/>
      <x:c r="G60" s="50" t="str"/>
      <x:c r="H60" s="50" t="str">
        <x:v>SYM</x:v>
      </x:c>
      <x:c r="I60" s="50" t="str">
        <x:v>P0</x:v>
      </x:c>
      <x:c r="J60" s="36" t="str">
        <x:v>场7,8,9,11；镜045,054,055,056,057,067,074</x:v>
      </x:c>
      <x:c r="K60" s="36" t="str">
        <x:v>工程化国旗装置上的准确国旗图形</x:v>
      </x:c>
      <x:c r="L60" s="36" t="str">
        <x:v>折叠;展开;静止</x:v>
      </x:c>
      <x:c r="M60" s="36" t="str">
        <x:v>准确图形资产与贴合测试</x:v>
      </x:c>
      <x:c r="N60" s="36" t="str">
        <x:v>已确认</x:v>
      </x:c>
      <x:c r="O60" s="36" t="str">
        <x:v>国旗装置确认后贴合</x:v>
      </x:c>
    </x:row>
    <x:row r="61" ht="46" customHeight="1">
      <x:c r="A61" s="50" t="n">
        <x:v>57</x:v>
      </x:c>
      <x:c r="B61" s="50" t="n">
        <x:v>1</x:v>
      </x:c>
      <x:c r="C61" s="50" t="str">
        <x:v>后期图形／标识</x:v>
      </x:c>
      <x:c r="D61" s="36" t="str">
        <x:v>未来纪实推演标识</x:v>
      </x:c>
      <x:c r="E61" s="36" t="str">
        <x:v>BY-SYM-P1-001-未来纪实推演标识</x:v>
      </x:c>
      <x:c r="F61" s="36" t="str"/>
      <x:c r="G61" s="50" t="str"/>
      <x:c r="H61" s="50" t="str">
        <x:v>SYM</x:v>
      </x:c>
      <x:c r="I61" s="50" t="str">
        <x:v>P1</x:v>
      </x:c>
      <x:c r="J61" s="36" t="str">
        <x:v>场1,16；镜001,114</x:v>
      </x:c>
      <x:c r="K61" s="36" t="str">
        <x:v>明确艺术化推演属性的标识</x:v>
      </x:c>
      <x:c r="L61" s="36" t="str">
        <x:v>片头;片尾</x:v>
      </x:c>
      <x:c r="M61" s="36" t="str">
        <x:v>统一包装资产</x:v>
      </x:c>
      <x:c r="N61" s="36" t="str">
        <x:v>已确认锁定</x:v>
      </x:c>
      <x:c r="O61" s="36" t="str">
        <x:v>阶段2A建立包装规则</x:v>
      </x:c>
    </x:row>
    <x:row r="62" ht="46" customHeight="1">
      <x:c r="A62" s="52" t="n">
        <x:v>58</x:v>
      </x:c>
      <x:c r="B62" s="52" t="n">
        <x:v>1</x:v>
      </x:c>
      <x:c r="C62" s="52" t="str">
        <x:v>后期图形／标识</x:v>
      </x:c>
      <x:c r="D62" s="41" t="str">
        <x:v>新闻条与日期标牌系统</x:v>
      </x:c>
      <x:c r="E62" s="41" t="str">
        <x:v>BY-SYM-P1-002-新闻条与日期标牌系统</x:v>
      </x:c>
      <x:c r="F62" s="41" t="str"/>
      <x:c r="G62" s="52" t="str"/>
      <x:c r="H62" s="52" t="str">
        <x:v>SYM</x:v>
      </x:c>
      <x:c r="I62" s="52" t="str">
        <x:v>P1</x:v>
      </x:c>
      <x:c r="J62" s="41" t="str">
        <x:v>历史V1.1</x:v>
      </x:c>
      <x:c r="K62" s="41" t="str">
        <x:v>新闻人物条、日期和任务标牌</x:v>
      </x:c>
      <x:c r="L62" s="41" t="str">
        <x:v>多种新闻条</x:v>
      </x:c>
      <x:c r="M62" s="41" t="str">
        <x:v>统一包装资产</x:v>
      </x:c>
      <x:c r="N62" s="41" t="str">
        <x:v>历史停用（V1.2不调用）</x:v>
      </x:c>
      <x:c r="O62" s="41" t="str">
        <x:v>V1.2已取消新闻段落；日期与任务阶段信息由BY-SYM-P1-003承担</x:v>
      </x:c>
    </x:row>
    <x:row r="63" ht="46" customHeight="1">
      <x:c r="A63" s="50" t="n">
        <x:v>59</x:v>
      </x:c>
      <x:c r="B63" s="50" t="n">
        <x:v>1</x:v>
      </x:c>
      <x:c r="C63" s="50" t="str">
        <x:v>后期图形／标识</x:v>
      </x:c>
      <x:c r="D63" s="36" t="str">
        <x:v>任务阶段与时间跳跃标牌</x:v>
      </x:c>
      <x:c r="E63" s="36" t="str">
        <x:v>BY-SYM-P1-003-任务阶段与时间跳跃标牌</x:v>
      </x:c>
      <x:c r="F63" s="36" t="str"/>
      <x:c r="G63" s="50" t="str"/>
      <x:c r="H63" s="50" t="str">
        <x:v>SYM</x:v>
      </x:c>
      <x:c r="I63" s="50" t="str">
        <x:v>P1</x:v>
      </x:c>
      <x:c r="J63" s="36" t="str">
        <x:v>第1、4、7、10—13、15场</x:v>
      </x:c>
      <x:c r="K63" s="36" t="str">
        <x:v>制动下降、接近月面、月面后段、数小时后等标牌</x:v>
      </x:c>
      <x:c r="L63" s="36" t="str">
        <x:v>日期；T+06:00；T+13:40；T+28:00；离月约三天；搜救时间压缩</x:v>
      </x:c>
      <x:c r="M63" s="36" t="str">
        <x:v>时间标牌必须与119镜时间线一致，并显式区分直播、延时和视觉重建。</x:v>
      </x:c>
      <x:c r="N63" s="36" t="str">
        <x:v>已确认锁定原则</x:v>
      </x:c>
      <x:c r="O63" s="36" t="str">
        <x:v>阶段2A建立包装规则</x:v>
      </x:c>
    </x:row>
    <x:row r="64" ht="46" customHeight="1">
      <x:c r="A64" s="50" t="n">
        <x:v>60</x:v>
      </x:c>
      <x:c r="B64" s="50" t="n">
        <x:v>1</x:v>
      </x:c>
      <x:c r="C64" s="50" t="str">
        <x:v>后期图形／标识</x:v>
      </x:c>
      <x:c r="D64" s="36" t="str">
        <x:v>艺术化光照偏差推演声明</x:v>
      </x:c>
      <x:c r="E64" s="36" t="str">
        <x:v>BY-SYM-P0-002-艺术化光照偏差推演声明</x:v>
      </x:c>
      <x:c r="F64" s="36" t="str"/>
      <x:c r="G64" s="50" t="str"/>
      <x:c r="H64" s="50" t="str">
        <x:v>SYM</x:v>
      </x:c>
      <x:c r="I64" s="50" t="str">
        <x:v>P0</x:v>
      </x:c>
      <x:c r="J64" s="36" t="str">
        <x:v>场1,16；镜001,114</x:v>
      </x:c>
      <x:c r="K64" s="36" t="str">
        <x:v>片头短声明和片尾完整声明，明确日期／坐标与真实自然照明存在偏差。</x:v>
      </x:c>
      <x:c r="L64" s="36" t="str">
        <x:v>片头短版；片尾完整版</x:v>
      </x:c>
      <x:c r="M64" s="36" t="str">
        <x:v>按锁定文本制作</x:v>
      </x:c>
      <x:c r="N64" s="36" t="str">
        <x:v>用户已确认</x:v>
      </x:c>
      <x:c r="O64" s="36" t="str">
        <x:v>建立后期包装规范；不进入生图正文</x:v>
      </x:c>
    </x:row>
    <x:row r="65" ht="46" customHeight="1">
      <x:c r="A65" s="50" t="n">
        <x:v>61</x:v>
      </x:c>
      <x:c r="B65" s="50" t="n">
        <x:v>1</x:v>
      </x:c>
      <x:c r="C65" s="50" t="str">
        <x:v>后期图形／标识</x:v>
      </x:c>
      <x:c r="D65" s="36" t="str">
        <x:v>任务轨迹、相位与走廊图后期模板</x:v>
      </x:c>
      <x:c r="E65" s="36" t="str">
        <x:v>BY-SYM-P1-004-任务轨迹与相位图模板</x:v>
      </x:c>
      <x:c r="F65" s="36" t="str"/>
      <x:c r="G65" s="50" t="str"/>
      <x:c r="H65" s="50" t="str">
        <x:v>SYM</x:v>
      </x:c>
      <x:c r="I65" s="50" t="str">
        <x:v>P1</x:v>
      </x:c>
      <x:c r="J65" s="36" t="str">
        <x:v>场1,2,3,4,5,6,7,8,9,10,14,16；镜003,004,006,007,012,018,019,022,023,026,028,029,034,042,046,053,065,070,099,113</x:v>
      </x:c>
      <x:c r="K65" s="36" t="str">
        <x:v>交会、下降、月面路线、地月转移和再入的克制信息图底图。</x:v>
      </x:c>
      <x:c r="L65" s="36" t="str">
        <x:v>交会；下降；路线；转移；再入</x:v>
      </x:c>
      <x:c r="M65" s="36" t="str">
        <x:v>跨场复用后期模板</x:v>
      </x:c>
      <x:c r="N65" s="36" t="str">
        <x:v>已确认生产方向</x:v>
      </x:c>
      <x:c r="O65" s="36" t="str">
        <x:v>阶段2A重入后按生产包执行</x:v>
      </x:c>
    </x:row>
    <x:row r="66" ht="46" customHeight="1">
      <x:c r="A66" s="50" t="n">
        <x:v>62</x:v>
      </x:c>
      <x:c r="B66" s="50" t="n">
        <x:v>1</x:v>
      </x:c>
      <x:c r="C66" s="50" t="str">
        <x:v>后期图形／标识</x:v>
      </x:c>
      <x:c r="D66" s="36" t="str">
        <x:v>样品编号、封签与接收状态模板</x:v>
      </x:c>
      <x:c r="E66" s="36" t="str">
        <x:v>BY-SYM-P1-005-样品编号与封签模板</x:v>
      </x:c>
      <x:c r="F66" s="36" t="str"/>
      <x:c r="G66" s="50" t="str"/>
      <x:c r="H66" s="50" t="str">
        <x:v>SYM</x:v>
      </x:c>
      <x:c r="I66" s="50" t="str">
        <x:v>P1</x:v>
      </x:c>
      <x:c r="J66" s="36" t="str">
        <x:v>场7,9；镜045,059,062</x:v>
      </x:c>
      <x:c r="K66" s="36" t="str">
        <x:v>采样袋、主容器和回收接收的统一编号体系。</x:v>
      </x:c>
      <x:c r="L66" s="36" t="str">
        <x:v>采样；封装；转移；接收</x:v>
      </x:c>
      <x:c r="M66" s="36" t="str">
        <x:v>与样品道具同步设计</x:v>
      </x:c>
      <x:c r="N66" s="36" t="str">
        <x:v>已确认生产方向</x:v>
      </x:c>
      <x:c r="O66" s="36" t="str">
        <x:v>阶段2A重入后按生产包执行</x:v>
      </x:c>
    </x:row>
    <x:row r="67" ht="46" customHeight="1">
      <x:c r="A67" s="50" t="n">
        <x:v>63</x:v>
      </x:c>
      <x:c r="B67" s="50" t="n">
        <x:v>1</x:v>
      </x:c>
      <x:c r="C67" s="50" t="str">
        <x:v>后期图形／标识</x:v>
      </x:c>
      <x:c r="D67" s="36" t="str">
        <x:v>“基于实时遥测的视觉重建”来源标识</x:v>
      </x:c>
      <x:c r="E67" s="36" t="str">
        <x:v>BY-SYM-P1-006-视觉重建来源标识</x:v>
      </x:c>
      <x:c r="F67" s="36" t="str"/>
      <x:c r="G67" s="50" t="str"/>
      <x:c r="H67" s="50" t="str">
        <x:v>SYM</x:v>
      </x:c>
      <x:c r="I67" s="50" t="str">
        <x:v>P1</x:v>
      </x:c>
      <x:c r="J67" s="36" t="str">
        <x:v>第1—2、4—7、11—14场</x:v>
      </x:c>
      <x:c r="K67" s="36" t="str">
        <x:v>明确区分艺术重建与任务相机实拍逻辑的角标。</x:v>
      </x:c>
      <x:c r="L67" s="36" t="str">
        <x:v>常驻角标；镜头起始淡入；结束淡出</x:v>
      </x:c>
      <x:c r="M67" s="36" t="str">
        <x:v>后期叠加，不写入载具屏幕</x:v>
      </x:c>
      <x:c r="N67" s="36" t="str">
        <x:v>阶段1已确认生产方向</x:v>
      </x:c>
      <x:c r="O67" s="36" t="str">
        <x:v>阶段2B建立母资产并按镜头状态派生</x:v>
      </x:c>
    </x:row>
    <x:row r="68" ht="46" customHeight="1">
      <x:c r="A68" s="50" t="n">
        <x:v>64</x:v>
      </x:c>
      <x:c r="B68" s="50" t="n">
        <x:v>1</x:v>
      </x:c>
      <x:c r="C68" s="50" t="str">
        <x:v>后期图形／标识</x:v>
      </x:c>
      <x:c r="D68" s="36" t="str">
        <x:v>三段直播进口、出口与任务倒计时图形</x:v>
      </x:c>
      <x:c r="E68" s="36" t="str">
        <x:v>BY-SYM-P1-007-直播进口出口与倒计时</x:v>
      </x:c>
      <x:c r="F68" s="36" t="str"/>
      <x:c r="G68" s="50" t="str"/>
      <x:c r="H68" s="50" t="str">
        <x:v>SYM</x:v>
      </x:c>
      <x:c r="I68" s="50" t="str">
        <x:v>P1</x:v>
      </x:c>
      <x:c r="J68" s="36" t="str">
        <x:v>三段直播</x:v>
      </x:c>
      <x:c r="K68" s="36" t="str">
        <x:v>记者开场、阶段提示、五分钟倒计时和直播收束的统一图形系统。</x:v>
      </x:c>
      <x:c r="L68" s="36" t="str">
        <x:v>直播开始；任务阶段；倒计时；直播结束</x:v>
      </x:c>
      <x:c r="M68" s="36" t="str">
        <x:v>与任务时间标牌统一设计语言</x:v>
      </x:c>
      <x:c r="N68" s="36" t="str">
        <x:v>阶段1已确认生产方向</x:v>
      </x:c>
      <x:c r="O68" s="36" t="str">
        <x:v>阶段2B建立母资产并按镜头状态派生</x:v>
      </x:c>
    </x:row>
    <x:row r="69" ht="46" customHeight="1">
      <x:c r="A69" s="50" t="n">
        <x:v>65</x:v>
      </x:c>
      <x:c r="B69" s="50" t="n">
        <x:v>1</x:v>
      </x:c>
      <x:c r="C69" s="50" t="str">
        <x:v>后期图形／标识</x:v>
      </x:c>
      <x:c r="D69" s="36" t="str">
        <x:v>东风搜救抵达时间压缩标牌</x:v>
      </x:c>
      <x:c r="E69" s="36" t="str">
        <x:v>BY-SYM-P1-008-东风搜救时间压缩</x:v>
      </x:c>
      <x:c r="F69" s="36" t="str"/>
      <x:c r="G69" s="50" t="str"/>
      <x:c r="H69" s="50" t="str">
        <x:v>SYM</x:v>
      </x:c>
      <x:c r="I69" s="50" t="str">
        <x:v>P1</x:v>
      </x:c>
      <x:c r="J69" s="36" t="str">
        <x:v>第15场</x:v>
      </x:c>
      <x:c r="K69" s="36" t="str">
        <x:v>明确提示搜救分队抵达和安全处置为时间压缩。</x:v>
      </x:c>
      <x:c r="L69" s="36" t="str">
        <x:v>黑场文字；任务画面转接</x:v>
      </x:c>
      <x:c r="M69" s="36" t="str">
        <x:v>给足阅读时间</x:v>
      </x:c>
      <x:c r="N69" s="36" t="str">
        <x:v>阶段1已确认生产方向</x:v>
      </x:c>
      <x:c r="O69" s="36" t="str">
        <x:v>阶段2B建立母资产并按镜头状态派生</x:v>
      </x:c>
    </x:row>
  </x:sheetData>
  <x:mergeCells>
    <x:mergeCell ref="A1:O1"/>
    <x:mergeCell ref="A2:O2"/>
  </x:mergeCells>
  <x:conditionalFormatting sqref="I5:I69">
    <x:cfRule type="containsText" dxfId="4" priority="1" operator="containsText" text="P0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" hidden="0" customWidth="1"/>
    <x:col min="3" max="3" width="18" hidden="0" customWidth="1"/>
    <x:col min="4" max="4" width="30" hidden="0" customWidth="1"/>
    <x:col min="5" max="5" width="43" hidden="0" customWidth="1"/>
    <x:col min="6" max="6" width="43" hidden="0" customWidth="1"/>
    <x:col min="7" max="7" width="18" hidden="0" customWidth="1"/>
    <x:col min="8" max="8" width="12" hidden="0" customWidth="1"/>
    <x:col min="9" max="9" width="9" hidden="0" customWidth="1"/>
    <x:col min="10" max="10" width="28" hidden="0" customWidth="1"/>
    <x:col min="11" max="11" width="45" hidden="0" customWidth="1"/>
    <x:col min="12" max="12" width="38" hidden="0" customWidth="1"/>
    <x:col min="13" max="13" width="48" hidden="0" customWidth="1"/>
    <x:col min="14" max="14" width="26" hidden="0" customWidth="1"/>
    <x:col min="15" max="15" width="38" hidden="0" customWidth="1"/>
  </x:cols>
  <x:sheetData>
    <x:row r="1" ht="38" customHeight="1">
      <x:c r="A1" s="3" t="str">
        <x:v>《奔月》V1.3.1｜声音资产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VOI为独立稳定音色；SND为随镜头视频同步生成的声音约束。月面外部无空气传播声，全片不配乐。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4" customHeight="1">
      <x:c r="A4" s="18" t="str">
        <x:v>分类序号</x:v>
      </x:c>
      <x:c r="B4" s="19" t="str">
        <x:v>层级</x:v>
      </x:c>
      <x:c r="C4" s="19" t="str">
        <x:v>登记项类型</x:v>
      </x:c>
      <x:c r="D4" s="19" t="str">
        <x:v>显示名称</x:v>
      </x:c>
      <x:c r="E4" s="19" t="str">
        <x:v>生产资产ID</x:v>
      </x:c>
      <x:c r="F4" s="19" t="str">
        <x:v>父资产ID</x:v>
      </x:c>
      <x:c r="G4" s="19" t="str">
        <x:v>视图代码</x:v>
      </x:c>
      <x:c r="H4" s="19" t="str">
        <x:v>资产类型</x:v>
      </x:c>
      <x:c r="I4" s="19" t="str">
        <x:v>资产级别</x:v>
      </x:c>
      <x:c r="J4" s="19" t="str">
        <x:v>关联场次或段落</x:v>
      </x:c>
      <x:c r="K4" s="19" t="str">
        <x:v>基础描述</x:v>
      </x:c>
      <x:c r="L4" s="19" t="str">
        <x:v>状态变体</x:v>
      </x:c>
      <x:c r="M4" s="19" t="str">
        <x:v>使用或生成需求</x:v>
      </x:c>
      <x:c r="N4" s="19" t="str">
        <x:v>确认状态</x:v>
      </x:c>
      <x:c r="O4" s="20" t="str">
        <x:v>阶段2处理建议</x:v>
      </x:c>
    </x:row>
    <x:row r="5" ht="46" customHeight="1">
      <x:c r="A5" s="50" t="n">
        <x:v>1</x:v>
      </x:c>
      <x:c r="B5" s="50" t="n">
        <x:v>1</x:v>
      </x:c>
      <x:c r="C5" s="50" t="str">
        <x:v>稳定音色</x:v>
      </x:c>
      <x:c r="D5" s="36" t="str">
        <x:v>杨凛稳定音色</x:v>
      </x:c>
      <x:c r="E5" s="36" t="str">
        <x:v>BY-VOI-P0-001-杨凛声音</x:v>
      </x:c>
      <x:c r="F5" s="36" t="str"/>
      <x:c r="G5" s="50" t="str"/>
      <x:c r="H5" s="50" t="str">
        <x:v>VOI</x:v>
      </x:c>
      <x:c r="I5" s="50" t="str">
        <x:v>P0</x:v>
      </x:c>
      <x:c r="J5" s="36" t="str">
        <x:v>场1,2,3,4,5,6,7,8,9,10,11,12,13,14,15,16；镜005,009,011,015,019,020,023,025,027,032,036,038,040,044,046,048,050,052,054,061,064,066,069,073,074,076,078,086,087,091,096,101,103,112</x:v>
      </x:c>
      <x:c r="K5" s="36" t="str">
        <x:v>中低、稳定、短句有明确落点</x:v>
      </x:c>
      <x:c r="L5" s="36" t="str">
        <x:v>中性;任务报告</x:v>
      </x:c>
      <x:c r="M5" s="36" t="str">
        <x:v>独立制作稳定音色资产</x:v>
      </x:c>
      <x:c r="N5" s="36" t="str">
        <x:v>已确认</x:v>
      </x:c>
      <x:c r="O5" s="36" t="str">
        <x:v>阶段2声音组首批</x:v>
      </x:c>
    </x:row>
    <x:row r="6" ht="46" customHeight="1">
      <x:c r="A6" s="50" t="n">
        <x:v>2</x:v>
      </x:c>
      <x:c r="B6" s="50" t="n">
        <x:v>1</x:v>
      </x:c>
      <x:c r="C6" s="50" t="str">
        <x:v>稳定音色</x:v>
      </x:c>
      <x:c r="D6" s="36" t="str">
        <x:v>陈砚稳定音色</x:v>
      </x:c>
      <x:c r="E6" s="36" t="str">
        <x:v>BY-VOI-P0-002-陈砚声音</x:v>
      </x:c>
      <x:c r="F6" s="36" t="str"/>
      <x:c r="G6" s="50" t="str"/>
      <x:c r="H6" s="50" t="str">
        <x:v>VOI</x:v>
      </x:c>
      <x:c r="I6" s="50" t="str">
        <x:v>P0</x:v>
      </x:c>
      <x:c r="J6" s="36" t="str">
        <x:v>场2,3,5,6,7,8,9,10,11,12,13；镜009,014,017,029,033,038,040,044,048,052,054,058,060,062,066,068,069,071,075,082,089,092</x:v>
      </x:c>
      <x:c r="K6" s="36" t="str">
        <x:v>中音、清楚、设备报告准确</x:v>
      </x:c>
      <x:c r="L6" s="36" t="str">
        <x:v>中性;设备报告</x:v>
      </x:c>
      <x:c r="M6" s="36" t="str">
        <x:v>独立制作稳定音色资产</x:v>
      </x:c>
      <x:c r="N6" s="36" t="str">
        <x:v>已确认</x:v>
      </x:c>
      <x:c r="O6" s="36" t="str">
        <x:v>阶段2声音组首批</x:v>
      </x:c>
    </x:row>
    <x:row r="7" ht="46" customHeight="1">
      <x:c r="A7" s="50" t="n">
        <x:v>3</x:v>
      </x:c>
      <x:c r="B7" s="50" t="n">
        <x:v>1</x:v>
      </x:c>
      <x:c r="C7" s="50" t="str">
        <x:v>稳定音色</x:v>
      </x:c>
      <x:c r="D7" s="36" t="str">
        <x:v>刘定槎稳定音色</x:v>
      </x:c>
      <x:c r="E7" s="36" t="str">
        <x:v>BY-VOI-P0-003-刘定槎声音</x:v>
      </x:c>
      <x:c r="F7" s="36" t="str"/>
      <x:c r="G7" s="50" t="str"/>
      <x:c r="H7" s="50" t="str">
        <x:v>VOI</x:v>
      </x:c>
      <x:c r="I7" s="50" t="str">
        <x:v>P0</x:v>
      </x:c>
      <x:c r="J7" s="36" t="str">
        <x:v>场1,2,3,4,9,11,12,13,14,15；镜004,007,011,013,015,016,018,019,020,063,079,081,084,085,086,087,089,090,092,098,102,108</x:v>
      </x:c>
      <x:c r="K7" s="36" t="str">
        <x:v>中低偏温润、克制</x:v>
      </x:c>
      <x:c r="L7" s="36" t="str">
        <x:v>中性;通信;返程</x:v>
      </x:c>
      <x:c r="M7" s="36" t="str">
        <x:v>独立制作稳定音色资产</x:v>
      </x:c>
      <x:c r="N7" s="36" t="str">
        <x:v>已确认</x:v>
      </x:c>
      <x:c r="O7" s="36" t="str">
        <x:v>阶段2声音组首批</x:v>
      </x:c>
    </x:row>
    <x:row r="8" ht="46" customHeight="1">
      <x:c r="A8" s="52" t="n">
        <x:v>4</x:v>
      </x:c>
      <x:c r="B8" s="52" t="n">
        <x:v>1</x:v>
      </x:c>
      <x:c r="C8" s="52" t="str">
        <x:v>稳定音色</x:v>
      </x:c>
      <x:c r="D8" s="41" t="str">
        <x:v>周明远稳定音色</x:v>
      </x:c>
      <x:c r="E8" s="41" t="str">
        <x:v>BY-VOI-P1-001-周明远声音</x:v>
      </x:c>
      <x:c r="F8" s="41" t="str"/>
      <x:c r="G8" s="52" t="str"/>
      <x:c r="H8" s="52" t="str">
        <x:v>VOI</x:v>
      </x:c>
      <x:c r="I8" s="52" t="str">
        <x:v>P1</x:v>
      </x:c>
      <x:c r="J8" s="41" t="str">
        <x:v>历史V1.1</x:v>
      </x:c>
      <x:c r="K8" s="41" t="str">
        <x:v>权威清晰、不过度播音</x:v>
      </x:c>
      <x:c r="L8" s="41" t="str">
        <x:v>新闻中性</x:v>
      </x:c>
      <x:c r="M8" s="41" t="str">
        <x:v>独立制作稳定音色资产</x:v>
      </x:c>
      <x:c r="N8" s="41" t="str">
        <x:v>历史停用（V1.2不调用）</x:v>
      </x:c>
      <x:c r="O8" s="41" t="str">
        <x:v>随角色停用</x:v>
      </x:c>
    </x:row>
    <x:row r="9" ht="46" customHeight="1">
      <x:c r="A9" s="50" t="n">
        <x:v>5</x:v>
      </x:c>
      <x:c r="B9" s="50" t="n">
        <x:v>1</x:v>
      </x:c>
      <x:c r="C9" s="50" t="str">
        <x:v>稳定音色</x:v>
      </x:c>
      <x:c r="D9" s="36" t="str">
        <x:v>林知夏稳定音色</x:v>
      </x:c>
      <x:c r="E9" s="36" t="str">
        <x:v>BY-VOI-P1-002-林知夏声音</x:v>
      </x:c>
      <x:c r="F9" s="36" t="str"/>
      <x:c r="G9" s="50" t="str"/>
      <x:c r="H9" s="50" t="str">
        <x:v>VOI</x:v>
      </x:c>
      <x:c r="I9" s="50" t="str">
        <x:v>P1</x:v>
      </x:c>
      <x:c r="J9" s="36" t="str">
        <x:v>场1,6,8,15；镜002,042,056,105</x:v>
      </x:c>
      <x:c r="K9" s="36" t="str">
        <x:v>清亮、专业、有现场感</x:v>
      </x:c>
      <x:c r="L9" s="36" t="str">
        <x:v>现场报道</x:v>
      </x:c>
      <x:c r="M9" s="36" t="str">
        <x:v>独立制作稳定音色资产</x:v>
      </x:c>
      <x:c r="N9" s="36" t="str">
        <x:v>已确认</x:v>
      </x:c>
      <x:c r="O9" s="36" t="str">
        <x:v>新闻声音包</x:v>
      </x:c>
    </x:row>
    <x:row r="10" ht="46" customHeight="1">
      <x:c r="A10" s="52" t="n">
        <x:v>6</x:v>
      </x:c>
      <x:c r="B10" s="52" t="n">
        <x:v>1</x:v>
      </x:c>
      <x:c r="C10" s="52" t="str">
        <x:v>稳定音色</x:v>
      </x:c>
      <x:c r="D10" s="41" t="str">
        <x:v>孙屹川稳定音色</x:v>
      </x:c>
      <x:c r="E10" s="41" t="str">
        <x:v>BY-VOI-P1-003-孙屹川声音</x:v>
      </x:c>
      <x:c r="F10" s="41" t="str"/>
      <x:c r="G10" s="52" t="str"/>
      <x:c r="H10" s="52" t="str">
        <x:v>VOI</x:v>
      </x:c>
      <x:c r="I10" s="52" t="str">
        <x:v>P1</x:v>
      </x:c>
      <x:c r="J10" s="41" t="str">
        <x:v>历史V1.1</x:v>
      </x:c>
      <x:c r="K10" s="41" t="str">
        <x:v>沉稳、精确、略年长</x:v>
      </x:c>
      <x:c r="L10" s="41" t="str">
        <x:v>专家中性</x:v>
      </x:c>
      <x:c r="M10" s="41" t="str">
        <x:v>独立制作稳定音色资产</x:v>
      </x:c>
      <x:c r="N10" s="41" t="str">
        <x:v>历史停用（V1.2不调用）</x:v>
      </x:c>
      <x:c r="O10" s="41" t="str">
        <x:v>随角色停用</x:v>
      </x:c>
    </x:row>
    <x:row r="11" ht="46" customHeight="1">
      <x:c r="A11" s="50" t="n">
        <x:v>7</x:v>
      </x:c>
      <x:c r="B11" s="50" t="n">
        <x:v>1</x:v>
      </x:c>
      <x:c r="C11" s="50" t="str">
        <x:v>稳定音色</x:v>
      </x:c>
      <x:c r="D11" s="36" t="str">
        <x:v>北京飞控主调度稳定音色</x:v>
      </x:c>
      <x:c r="E11" s="36" t="str">
        <x:v>BY-VOI-P1-004-北京飞控主调度声音</x:v>
      </x:c>
      <x:c r="F11" s="36" t="str"/>
      <x:c r="G11" s="50" t="str"/>
      <x:c r="H11" s="50" t="str">
        <x:v>VOI</x:v>
      </x:c>
      <x:c r="I11" s="50" t="str">
        <x:v>P1</x:v>
      </x:c>
      <x:c r="J11" s="36" t="str">
        <x:v>场1,2,4,5,6,7,8,9,10,12,13,14,15,16；镜003,005,006,010,012,021,023,024,026,028,031,036,041,045,050,051,053,057,064,065,067,072,073,080,083,088,093,095,097,102,104,106,108,113</x:v>
      </x:c>
      <x:c r="K11" s="36" t="str">
        <x:v>中性权威、短促、无情绪渲染</x:v>
      </x:c>
      <x:c r="L11" s="36" t="str">
        <x:v>任务调度</x:v>
      </x:c>
      <x:c r="M11" s="36" t="str">
        <x:v>独立制作稳定音色资产</x:v>
      </x:c>
      <x:c r="N11" s="36" t="str">
        <x:v>已确认</x:v>
      </x:c>
      <x:c r="O11" s="36" t="str">
        <x:v>阶段2声音组</x:v>
      </x:c>
    </x:row>
    <x:row r="12" ht="46" customHeight="1">
      <x:c r="A12" s="50" t="n">
        <x:v>8</x:v>
      </x:c>
      <x:c r="B12" s="50" t="n">
        <x:v>1</x:v>
      </x:c>
      <x:c r="C12" s="50" t="str">
        <x:v>稳定音色</x:v>
      </x:c>
      <x:c r="D12" s="36" t="str">
        <x:v>林海深空测控稳定音色</x:v>
      </x:c>
      <x:c r="E12" s="36" t="str">
        <x:v>BY-VOI-P1-005-林海深空测控声音</x:v>
      </x:c>
      <x:c r="F12" s="36" t="str"/>
      <x:c r="G12" s="50" t="str"/>
      <x:c r="H12" s="50" t="str">
        <x:v>VOI</x:v>
      </x:c>
      <x:c r="I12" s="50" t="str">
        <x:v>P1</x:v>
      </x:c>
      <x:c r="J12" s="36" t="str">
        <x:v>场1,5,8,11,14；镜003,028,035,053,077,097</x:v>
      </x:c>
      <x:c r="K12" s="36" t="str">
        <x:v>佳木斯主链路席位的克制无线电声音。</x:v>
      </x:c>
      <x:c r="L12" s="36" t="str">
        <x:v>中性样本</x:v>
      </x:c>
      <x:c r="M12" s="36" t="str">
        <x:v>独立音色验证</x:v>
      </x:c>
      <x:c r="N12" s="36" t="str">
        <x:v>已确认生产方向</x:v>
      </x:c>
      <x:c r="O12" s="36" t="str">
        <x:v>阶段2A重入后按生产包执行</x:v>
      </x:c>
    </x:row>
    <x:row r="13" ht="46" customHeight="1">
      <x:c r="A13" s="50" t="n">
        <x:v>9</x:v>
      </x:c>
      <x:c r="B13" s="50" t="n">
        <x:v>1</x:v>
      </x:c>
      <x:c r="C13" s="50" t="str">
        <x:v>稳定音色</x:v>
      </x:c>
      <x:c r="D13" s="36" t="str">
        <x:v>叶河深空测控稳定音色</x:v>
      </x:c>
      <x:c r="E13" s="36" t="str">
        <x:v>BY-VOI-P1-006-叶河深空测控声音</x:v>
      </x:c>
      <x:c r="F13" s="36" t="str"/>
      <x:c r="G13" s="50" t="str"/>
      <x:c r="H13" s="50" t="str">
        <x:v>VOI</x:v>
      </x:c>
      <x:c r="I13" s="50" t="str">
        <x:v>P1</x:v>
      </x:c>
      <x:c r="J13" s="36" t="str">
        <x:v>场4,5,11；镜022,035,077</x:v>
      </x:c>
      <x:c r="K13" s="36" t="str">
        <x:v>喀什备份链路席位声音。</x:v>
      </x:c>
      <x:c r="L13" s="36" t="str">
        <x:v>中性样本</x:v>
      </x:c>
      <x:c r="M13" s="36" t="str">
        <x:v>独立音色验证</x:v>
      </x:c>
      <x:c r="N13" s="36" t="str">
        <x:v>已确认生产方向</x:v>
      </x:c>
      <x:c r="O13" s="36" t="str">
        <x:v>阶段2A重入后按生产包执行</x:v>
      </x:c>
    </x:row>
    <x:row r="14" ht="46" customHeight="1">
      <x:c r="A14" s="50" t="n">
        <x:v>10</x:v>
      </x:c>
      <x:c r="B14" s="50" t="n">
        <x:v>1</x:v>
      </x:c>
      <x:c r="C14" s="50" t="str">
        <x:v>稳定音色</x:v>
      </x:c>
      <x:c r="D14" s="36" t="str">
        <x:v>天衡VLBI测轨稳定音色</x:v>
      </x:c>
      <x:c r="E14" s="36" t="str">
        <x:v>BY-VOI-P1-007-天衡测轨声音</x:v>
      </x:c>
      <x:c r="F14" s="36" t="str"/>
      <x:c r="G14" s="50" t="str"/>
      <x:c r="H14" s="50" t="str">
        <x:v>VOI</x:v>
      </x:c>
      <x:c r="I14" s="50" t="str">
        <x:v>P1</x:v>
      </x:c>
      <x:c r="J14" s="36" t="str">
        <x:v>场4,5,10,12,14；镜022,035,072,083,099</x:v>
      </x:c>
      <x:c r="K14" s="36" t="str">
        <x:v>测轨网统一呼号声音。</x:v>
      </x:c>
      <x:c r="L14" s="36" t="str">
        <x:v>中性样本</x:v>
      </x:c>
      <x:c r="M14" s="36" t="str">
        <x:v>独立音色验证</x:v>
      </x:c>
      <x:c r="N14" s="36" t="str">
        <x:v>已确认生产方向</x:v>
      </x:c>
      <x:c r="O14" s="36" t="str">
        <x:v>阶段2A重入后按生产包执行</x:v>
      </x:c>
    </x:row>
    <x:row r="15" ht="46" customHeight="1">
      <x:c r="A15" s="50" t="n">
        <x:v>11</x:v>
      </x:c>
      <x:c r="B15" s="50" t="n">
        <x:v>1</x:v>
      </x:c>
      <x:c r="C15" s="50" t="str">
        <x:v>稳定音色</x:v>
      </x:c>
      <x:c r="D15" s="36" t="str">
        <x:v>东风着陆场调度／搜救指挥稳定音色</x:v>
      </x:c>
      <x:c r="E15" s="36" t="str">
        <x:v>BY-VOI-P1-008-搜救指挥声音</x:v>
      </x:c>
      <x:c r="F15" s="36" t="str"/>
      <x:c r="G15" s="50" t="str"/>
      <x:c r="H15" s="50" t="str">
        <x:v>VOI</x:v>
      </x:c>
      <x:c r="I15" s="50" t="str">
        <x:v>P1</x:v>
      </x:c>
      <x:c r="J15" s="36" t="str">
        <x:v>第13—15场</x:v>
      </x:c>
      <x:c r="K15" s="36" t="str">
        <x:v>直播呼号“东风”的着陆场调度、目标跟踪和搜救指挥通话。</x:v>
      </x:c>
      <x:c r="L15" s="36" t="str">
        <x:v>中性样本</x:v>
      </x:c>
      <x:c r="M15" s="36" t="str">
        <x:v>独立音色资产；正式镜头中的通话随视频同步生成。</x:v>
      </x:c>
      <x:c r="N15" s="36" t="str">
        <x:v>已确认生产方向</x:v>
      </x:c>
      <x:c r="O15" s="36" t="str">
        <x:v>阶段2A重入后按生产包执行</x:v>
      </x:c>
    </x:row>
    <x:row r="16" ht="46" customHeight="1">
      <x:c r="A16" s="50" t="n">
        <x:v>12</x:v>
      </x:c>
      <x:c r="B16" s="50" t="n">
        <x:v>1</x:v>
      </x:c>
      <x:c r="C16" s="50" t="str">
        <x:v>稳定音色</x:v>
      </x:c>
      <x:c r="D16" s="36" t="str">
        <x:v>小天任务智能体稳定音色</x:v>
      </x:c>
      <x:c r="E16" s="36" t="str">
        <x:v>BY-VOI-P1-009-小天任务智能体声音</x:v>
      </x:c>
      <x:c r="F16" s="36" t="str"/>
      <x:c r="G16" s="50" t="str"/>
      <x:c r="H16" s="50" t="str">
        <x:v>VOI</x:v>
      </x:c>
      <x:c r="I16" s="50" t="str">
        <x:v>P1</x:v>
      </x:c>
      <x:c r="J16" s="36" t="str">
        <x:v>场1,2,3,5,7,10,11,12,13,15；镜004,007,018,030,032,034,046,070,076,085,094,103</x:v>
      </x:c>
      <x:c r="K16" s="36" t="str">
        <x:v>受限任务智能体的中性提示音色。</x:v>
      </x:c>
      <x:c r="L16" s="36" t="str">
        <x:v>中性样本</x:v>
      </x:c>
      <x:c r="M16" s="36" t="str">
        <x:v>独立音色验证</x:v>
      </x:c>
      <x:c r="N16" s="36" t="str">
        <x:v>已确认生产方向</x:v>
      </x:c>
      <x:c r="O16" s="36" t="str">
        <x:v>阶段2A重入后按生产包执行</x:v>
      </x:c>
    </x:row>
    <x:row r="17" ht="46" customHeight="1">
      <x:c r="A17" s="50" t="n">
        <x:v>13</x:v>
      </x:c>
      <x:c r="B17" s="50" t="n">
        <x:v>1</x:v>
      </x:c>
      <x:c r="C17" s="50" t="str">
        <x:v>稳定音色</x:v>
      </x:c>
      <x:c r="D17" s="36" t="str">
        <x:v>北京地质席稳定音色</x:v>
      </x:c>
      <x:c r="E17" s="36" t="str">
        <x:v>BY-VOI-P1-010-北京地质席声音</x:v>
      </x:c>
      <x:c r="F17" s="36" t="str"/>
      <x:c r="G17" s="50" t="str"/>
      <x:c r="H17" s="50" t="str">
        <x:v>VOI</x:v>
      </x:c>
      <x:c r="I17" s="50" t="str">
        <x:v>P1</x:v>
      </x:c>
      <x:c r="J17" s="36" t="str">
        <x:v>场9；镜061</x:v>
      </x:c>
      <x:c r="K17" s="36" t="str">
        <x:v>月面路线与采样建议的科学席声音。</x:v>
      </x:c>
      <x:c r="L17" s="36" t="str">
        <x:v>中性样本</x:v>
      </x:c>
      <x:c r="M17" s="36" t="str">
        <x:v>独立音色验证</x:v>
      </x:c>
      <x:c r="N17" s="36" t="str">
        <x:v>已确认生产方向</x:v>
      </x:c>
      <x:c r="O17" s="36" t="str">
        <x:v>阶段2A重入后按生产包执行</x:v>
      </x:c>
    </x:row>
    <x:row r="18" ht="46" customHeight="1">
      <x:c r="A18" s="50" t="n">
        <x:v>14</x:v>
      </x:c>
      <x:c r="B18" s="50" t="n">
        <x:v>1</x:v>
      </x:c>
      <x:c r="C18" s="50" t="str">
        <x:v>稳定音色</x:v>
      </x:c>
      <x:c r="D18" s="36" t="str">
        <x:v>回收现场指挥稳定音色</x:v>
      </x:c>
      <x:c r="E18" s="36" t="str">
        <x:v>BY-VOI-P1-011-现场指挥声音</x:v>
      </x:c>
      <x:c r="F18" s="36" t="str"/>
      <x:c r="G18" s="50" t="str"/>
      <x:c r="H18" s="50" t="str">
        <x:v>VOI</x:v>
      </x:c>
      <x:c r="I18" s="50" t="str">
        <x:v>P1</x:v>
      </x:c>
      <x:c r="J18" s="36" t="str">
        <x:v>场16；镜111</x:v>
      </x:c>
      <x:c r="K18" s="36" t="str">
        <x:v>返回舱安全检查和开舱程序的现场声音。</x:v>
      </x:c>
      <x:c r="L18" s="36" t="str">
        <x:v>中性样本</x:v>
      </x:c>
      <x:c r="M18" s="36" t="str">
        <x:v>独立音色验证</x:v>
      </x:c>
      <x:c r="N18" s="36" t="str">
        <x:v>已确认生产方向</x:v>
      </x:c>
      <x:c r="O18" s="36" t="str">
        <x:v>阶段2A重入后按生产包执行</x:v>
      </x:c>
    </x:row>
    <x:row r="19" ht="46" customHeight="1">
      <x:c r="A19" s="50" t="n">
        <x:v>15</x:v>
      </x:c>
      <x:c r="B19" s="50" t="n">
        <x:v>1</x:v>
      </x:c>
      <x:c r="C19" s="50" t="str">
        <x:v>稳定音色</x:v>
      </x:c>
      <x:c r="D19" s="36" t="str">
        <x:v>何文澜稳定音色</x:v>
      </x:c>
      <x:c r="E19" s="36" t="str">
        <x:v>BY-VOI-P1-012-何文澜声音</x:v>
      </x:c>
      <x:c r="F19" s="36" t="str"/>
      <x:c r="G19" s="50" t="str"/>
      <x:c r="H19" s="50" t="str">
        <x:v>VOI</x:v>
      </x:c>
      <x:c r="I19" s="50" t="str">
        <x:v>P1</x:v>
      </x:c>
      <x:c r="J19" s="36" t="str">
        <x:v>第3、7、11、15场</x:v>
      </x:c>
      <x:c r="K19" s="36" t="str">
        <x:v>冷静、温和、医学解释清楚的中年专家音色。</x:v>
      </x:c>
      <x:c r="L19" s="36" t="str">
        <x:v>媒体区原声；专家画外</x:v>
      </x:c>
      <x:c r="M19" s="36" t="str">
        <x:v>独立制作、确认和登记；正式镜头对白同步生成</x:v>
      </x:c>
      <x:c r="N19" s="36" t="str">
        <x:v>阶段1已确认生产方向</x:v>
      </x:c>
      <x:c r="O19" s="36" t="str">
        <x:v>阶段2B建立母资产并按镜头状态派生</x:v>
      </x:c>
    </x:row>
    <x:row r="20" ht="46" customHeight="1">
      <x:c r="A20" s="50" t="n">
        <x:v>16</x:v>
      </x:c>
      <x:c r="B20" s="50" t="n">
        <x:v>1</x:v>
      </x:c>
      <x:c r="C20" s="50" t="str">
        <x:v>稳定音色</x:v>
      </x:c>
      <x:c r="D20" s="36" t="str">
        <x:v>孙亦川稳定音色</x:v>
      </x:c>
      <x:c r="E20" s="36" t="str">
        <x:v>BY-VOI-P1-013-孙亦川声音</x:v>
      </x:c>
      <x:c r="F20" s="36" t="str"/>
      <x:c r="G20" s="50" t="str"/>
      <x:c r="H20" s="50" t="str">
        <x:v>VOI</x:v>
      </x:c>
      <x:c r="I20" s="50" t="str">
        <x:v>P1</x:v>
      </x:c>
      <x:c r="J20" s="36" t="str">
        <x:v>第6、12—14场</x:v>
      </x:c>
      <x:c r="K20" s="36" t="str">
        <x:v>逻辑清晰、节奏克制的轨道动力学专家音色。</x:v>
      </x:c>
      <x:c r="L20" s="36" t="str">
        <x:v>媒体区原声；专家画外</x:v>
      </x:c>
      <x:c r="M20" s="36" t="str">
        <x:v>独立制作、确认和登记；正式镜头对白同步生成</x:v>
      </x:c>
      <x:c r="N20" s="36" t="str">
        <x:v>阶段1已确认生产方向</x:v>
      </x:c>
      <x:c r="O20" s="36" t="str">
        <x:v>阶段2B建立母资产并按镜头状态派生</x:v>
      </x:c>
    </x:row>
    <x:row r="21" ht="46" customHeight="1">
      <x:c r="A21" s="50" t="n">
        <x:v>17</x:v>
      </x:c>
      <x:c r="B21" s="50" t="n">
        <x:v>1</x:v>
      </x:c>
      <x:c r="C21" s="50" t="str">
        <x:v>稳定音色</x:v>
      </x:c>
      <x:c r="D21" s="36" t="str">
        <x:v>顾青岚稳定音色</x:v>
      </x:c>
      <x:c r="E21" s="36" t="str">
        <x:v>BY-VOI-P1-014-顾青岚声音</x:v>
      </x:c>
      <x:c r="F21" s="36" t="str"/>
      <x:c r="G21" s="50" t="str"/>
      <x:c r="H21" s="50" t="str">
        <x:v>VOI</x:v>
      </x:c>
      <x:c r="I21" s="50" t="str">
        <x:v>P1</x:v>
      </x:c>
      <x:c r="J21" s="36" t="str">
        <x:v>第9—10场</x:v>
      </x:c>
      <x:c r="K21" s="36" t="str">
        <x:v>清晰、沉稳的月球地质专家音色。</x:v>
      </x:c>
      <x:c r="L21" s="36" t="str">
        <x:v>媒体区原声；专家画外</x:v>
      </x:c>
      <x:c r="M21" s="36" t="str">
        <x:v>独立制作、确认和登记；正式镜头对白同步生成</x:v>
      </x:c>
      <x:c r="N21" s="36" t="str">
        <x:v>阶段1已确认生产方向</x:v>
      </x:c>
      <x:c r="O21" s="36" t="str">
        <x:v>阶段2B建立母资产并按镜头状态派生</x:v>
      </x:c>
    </x:row>
    <x:row r="22" ht="46" customHeight="1">
      <x:c r="A22" s="50" t="n">
        <x:v>18</x:v>
      </x:c>
      <x:c r="B22" s="50" t="n">
        <x:v>1</x:v>
      </x:c>
      <x:c r="C22" s="50" t="str">
        <x:v>稳定音色</x:v>
      </x:c>
      <x:c r="D22" s="36" t="str">
        <x:v>东风医监人员稳定音色</x:v>
      </x:c>
      <x:c r="E22" s="36" t="str">
        <x:v>BY-VOI-P1-015-医监人员声音</x:v>
      </x:c>
      <x:c r="F22" s="36" t="str"/>
      <x:c r="G22" s="50" t="str"/>
      <x:c r="H22" s="50" t="str">
        <x:v>VOI</x:v>
      </x:c>
      <x:c r="I22" s="50" t="str">
        <x:v>P1</x:v>
      </x:c>
      <x:c r="J22" s="36" t="str">
        <x:v>第15场</x:v>
      </x:c>
      <x:c r="K22" s="36" t="str">
        <x:v>现场医监人员的短句程序口令。</x:v>
      </x:c>
      <x:c r="L22" s="36" t="str">
        <x:v>舱门开启前后</x:v>
      </x:c>
      <x:c r="M22" s="36" t="str">
        <x:v>独立登记；正式镜头通话同步生成</x:v>
      </x:c>
      <x:c r="N22" s="36" t="str">
        <x:v>阶段1已确认生产方向</x:v>
      </x:c>
      <x:c r="O22" s="36" t="str">
        <x:v>阶段2B建立母资产并按镜头状态派生</x:v>
      </x:c>
    </x:row>
    <x:row r="23" ht="46" customHeight="1">
      <x:c r="A23" s="50" t="n">
        <x:v>19</x:v>
      </x:c>
      <x:c r="B23" s="50" t="n">
        <x:v>1</x:v>
      </x:c>
      <x:c r="C23" s="50" t="str">
        <x:v>同步声音约束</x:v>
      </x:c>
      <x:c r="D23" s="36" t="str">
        <x:v>舱内生命保障与设备底噪</x:v>
      </x:c>
      <x:c r="E23" s="36" t="str">
        <x:v>BY-SND-P0-001-舱内生命保障与设备底噪</x:v>
      </x:c>
      <x:c r="F23" s="36" t="str"/>
      <x:c r="G23" s="50" t="str"/>
      <x:c r="H23" s="50" t="str">
        <x:v>SND</x:v>
      </x:c>
      <x:c r="I23" s="50" t="str">
        <x:v>P0</x:v>
      </x:c>
      <x:c r="J23" s="36" t="str">
        <x:v>场1,2,3,4,5,6,7,9,10,11,12,13,14,15；镜004,007,009,011,015,017,018,023,029,032,036,038,040,043,063,069,071,076,079,081,082,090,094,098,100,101,103,106</x:v>
      </x:c>
      <x:c r="K23" s="36" t="str">
        <x:v>稳定连续的舱内声音母题</x:v>
      </x:c>
      <x:c r="L23" s="36" t="str">
        <x:v>梦舟;揽月</x:v>
      </x:c>
      <x:c r="M23" s="36" t="str">
        <x:v>正式镜头Prompt声音约束</x:v>
      </x:c>
      <x:c r="N23" s="36" t="str">
        <x:v>已确认锁定</x:v>
      </x:c>
      <x:c r="O23" s="36" t="str">
        <x:v>不进入独立声音资产映射</x:v>
      </x:c>
    </x:row>
    <x:row r="24" ht="46" customHeight="1">
      <x:c r="A24" s="50" t="n">
        <x:v>20</x:v>
      </x:c>
      <x:c r="B24" s="50" t="n">
        <x:v>1</x:v>
      </x:c>
      <x:c r="C24" s="50" t="str">
        <x:v>同步声音约束</x:v>
      </x:c>
      <x:c r="D24" s="36" t="str">
        <x:v>地月无线电通信质感</x:v>
      </x:c>
      <x:c r="E24" s="36" t="str">
        <x:v>BY-SND-P0-002-地月无线电通信质感</x:v>
      </x:c>
      <x:c r="F24" s="36" t="str"/>
      <x:c r="G24" s="50" t="str"/>
      <x:c r="H24" s="50" t="str">
        <x:v>SND</x:v>
      </x:c>
      <x:c r="I24" s="50" t="str">
        <x:v>P0</x:v>
      </x:c>
      <x:c r="J24" s="36" t="str">
        <x:v>场1,2,3,4,5,6,7,8,9,10,11,12,13,14,15,16；镜001,003,004,005,006,007,008,009,010,011,012,013,014,015,016,017,018,019,020,021,022,023,024,025,026,027,028,029,030,031,032,033,034,035,036,038,040,041,043,044,045,046,047,048,049,050,051,052,053,054,057,058,059,060,061,062,063,064,065,066,067,068,069,070,071,072,073,074,075,076,077,078,079,080,081,082,083,084,085,086,087,088,089,090,091,092,093,094,095,096,097,098,099,101,102,103,104,106,108,112,113</x:v>
      </x:c>
      <x:c r="K24" s="36" t="str">
        <x:v>带宽感、底噪和传播停顿</x:v>
      </x:c>
      <x:c r="L24" s="36" t="str">
        <x:v>地面到月球;月球到地面</x:v>
      </x:c>
      <x:c r="M24" s="36" t="str">
        <x:v>正式镜头Prompt声音约束</x:v>
      </x:c>
      <x:c r="N24" s="36" t="str">
        <x:v>已确认锁定</x:v>
      </x:c>
      <x:c r="O24" s="36" t="str">
        <x:v>不进入独立声音资产映射</x:v>
      </x:c>
    </x:row>
    <x:row r="25" ht="46" customHeight="1">
      <x:c r="A25" s="50" t="n">
        <x:v>21</x:v>
      </x:c>
      <x:c r="B25" s="50" t="n">
        <x:v>1</x:v>
      </x:c>
      <x:c r="C25" s="50" t="str">
        <x:v>同步声音约束</x:v>
      </x:c>
      <x:c r="D25" s="36" t="str">
        <x:v>舱门对接机构结构传导</x:v>
      </x:c>
      <x:c r="E25" s="36" t="str">
        <x:v>BY-SND-P1-001-舱门对接机构结构传导</x:v>
      </x:c>
      <x:c r="F25" s="36" t="str"/>
      <x:c r="G25" s="50" t="str"/>
      <x:c r="H25" s="50" t="str">
        <x:v>SND</x:v>
      </x:c>
      <x:c r="I25" s="50" t="str">
        <x:v>P1</x:v>
      </x:c>
      <x:c r="J25" s="36" t="str">
        <x:v>场1,2,3,4,7,10,12,13,16；镜005,008,010,011,013,014,016,018,019,020,046,047,048,070,087,089,092,111,112</x:v>
      </x:c>
      <x:c r="K25" s="36" t="str">
        <x:v>舱门、分离、接触、锁紧的结构传导声</x:v>
      </x:c>
      <x:c r="L25" s="36" t="str">
        <x:v>关闭;分离;接触;锁紧</x:v>
      </x:c>
      <x:c r="M25" s="36" t="str">
        <x:v>正式镜头Prompt声音约束</x:v>
      </x:c>
      <x:c r="N25" s="36" t="str">
        <x:v>已确认锁定</x:v>
      </x:c>
      <x:c r="O25" s="36" t="str">
        <x:v>随视频同步生成</x:v>
      </x:c>
    </x:row>
    <x:row r="26" ht="46" customHeight="1">
      <x:c r="A26" s="50" t="n">
        <x:v>22</x:v>
      </x:c>
      <x:c r="B26" s="50" t="n">
        <x:v>1</x:v>
      </x:c>
      <x:c r="C26" s="50" t="str">
        <x:v>同步声音约束</x:v>
      </x:c>
      <x:c r="D26" s="36" t="str">
        <x:v>登月服内部呼吸与结构声</x:v>
      </x:c>
      <x:c r="E26" s="36" t="str">
        <x:v>BY-SND-P1-002-登月服内部呼吸与结构声</x:v>
      </x:c>
      <x:c r="F26" s="36" t="str"/>
      <x:c r="G26" s="50" t="str"/>
      <x:c r="H26" s="50" t="str">
        <x:v>SND</x:v>
      </x:c>
      <x:c r="I26" s="50" t="str">
        <x:v>P1</x:v>
      </x:c>
      <x:c r="J26" s="36" t="str">
        <x:v>场7,8,9,10,11；镜044,046,047,048,049,050,051,052,054,057,058,059,060,061,062,064,066,067,068,069,070,071,073,074,075,076,078</x:v>
      </x:c>
      <x:c r="K26" s="36" t="str">
        <x:v>头盔内呼吸、关节和扶手接触传导</x:v>
      </x:c>
      <x:c r="L26" s="36" t="str">
        <x:v>静息;活动;略重呼吸</x:v>
      </x:c>
      <x:c r="M26" s="36" t="str">
        <x:v>正式镜头Prompt声音约束</x:v>
      </x:c>
      <x:c r="N26" s="36" t="str">
        <x:v>已确认锁定</x:v>
      </x:c>
      <x:c r="O26" s="36" t="str">
        <x:v>随视频同步生成</x:v>
      </x:c>
    </x:row>
    <x:row r="27" ht="46" customHeight="1">
      <x:c r="A27" s="50" t="n">
        <x:v>23</x:v>
      </x:c>
      <x:c r="B27" s="50" t="n">
        <x:v>1</x:v>
      </x:c>
      <x:c r="C27" s="50" t="str">
        <x:v>同步声音约束</x:v>
      </x:c>
      <x:c r="D27" s="36" t="str">
        <x:v>发动机舱内结构振动</x:v>
      </x:c>
      <x:c r="E27" s="36" t="str">
        <x:v>BY-SND-P1-003-发动机舱内结构振动</x:v>
      </x:c>
      <x:c r="F27" s="36" t="str"/>
      <x:c r="G27" s="50" t="str"/>
      <x:c r="H27" s="50" t="str">
        <x:v>SND</x:v>
      </x:c>
      <x:c r="I27" s="50" t="str">
        <x:v>P1</x:v>
      </x:c>
      <x:c r="J27" s="36" t="str">
        <x:v>场4,5,14,15；镜024,038,098,103</x:v>
      </x:c>
      <x:c r="K27" s="36" t="str">
        <x:v>下降和起飞时舱内可感知的结构振动</x:v>
      </x:c>
      <x:c r="L27" s="36" t="str">
        <x:v>点火;稳定工作;关机</x:v>
      </x:c>
      <x:c r="M27" s="36" t="str">
        <x:v>正式镜头Prompt声音约束</x:v>
      </x:c>
      <x:c r="N27" s="36" t="str">
        <x:v>已确认锁定</x:v>
      </x:c>
      <x:c r="O27" s="36" t="str">
        <x:v>随视频同步生成</x:v>
      </x:c>
    </x:row>
    <x:row r="28" ht="46" customHeight="1">
      <x:c r="A28" s="52" t="n">
        <x:v>24</x:v>
      </x:c>
      <x:c r="B28" s="52" t="n">
        <x:v>1</x:v>
      </x:c>
      <x:c r="C28" s="52" t="str">
        <x:v>同步声音约束</x:v>
      </x:c>
      <x:c r="D28" s="41" t="str">
        <x:v>新闻提示音</x:v>
      </x:c>
      <x:c r="E28" s="41" t="str">
        <x:v>BY-SND-P2-001-新闻提示音</x:v>
      </x:c>
      <x:c r="F28" s="41" t="str"/>
      <x:c r="G28" s="52" t="str"/>
      <x:c r="H28" s="52" t="str">
        <x:v>SND</x:v>
      </x:c>
      <x:c r="I28" s="52" t="str">
        <x:v>P2</x:v>
      </x:c>
      <x:c r="J28" s="41" t="str">
        <x:v>历史V1.1</x:v>
      </x:c>
      <x:c r="K28" s="41" t="str">
        <x:v>片头单一克制提示音</x:v>
      </x:c>
      <x:c r="L28" s="41" t="str">
        <x:v>单次</x:v>
      </x:c>
      <x:c r="M28" s="41" t="str">
        <x:v>随片头视频生成或后期单点制作</x:v>
      </x:c>
      <x:c r="N28" s="41" t="str">
        <x:v>历史停用（V1.2不调用）</x:v>
      </x:c>
      <x:c r="O28" s="41" t="str">
        <x:v>V1.2无新闻包装提示音且全片无配乐</x:v>
      </x:c>
    </x:row>
    <x:row r="29" ht="46" customHeight="1">
      <x:c r="A29" s="50" t="n">
        <x:v>25</x:v>
      </x:c>
      <x:c r="B29" s="50" t="n">
        <x:v>1</x:v>
      </x:c>
      <x:c r="C29" s="50" t="str">
        <x:v>同步声音约束</x:v>
      </x:c>
      <x:c r="D29" s="36" t="str">
        <x:v>再入舱内结构与通信衰减</x:v>
      </x:c>
      <x:c r="E29" s="36" t="str">
        <x:v>BY-SND-P1-004-再入结构与通信衰减</x:v>
      </x:c>
      <x:c r="F29" s="36" t="str"/>
      <x:c r="G29" s="50" t="str"/>
      <x:c r="H29" s="50" t="str">
        <x:v>SND</x:v>
      </x:c>
      <x:c r="I29" s="50" t="str">
        <x:v>P1</x:v>
      </x:c>
      <x:c r="J29" s="36" t="str">
        <x:v>场15；镜102,103,104,105,106,108</x:v>
      </x:c>
      <x:c r="K29" s="36" t="str">
        <x:v>再入振动、结构传导、无线电衰减与黑障噪声的同步生成约束。</x:v>
      </x:c>
      <x:c r="L29" s="36" t="str">
        <x:v>第一次再入；黑障；恢复</x:v>
      </x:c>
      <x:c r="M29" s="36" t="str">
        <x:v>随镜头视频同步生成</x:v>
      </x:c>
      <x:c r="N29" s="36" t="str">
        <x:v>已确认生产方向</x:v>
      </x:c>
      <x:c r="O29" s="36" t="str">
        <x:v>阶段2A重入后按生产包执行</x:v>
      </x:c>
    </x:row>
    <x:row r="30" ht="46" customHeight="1">
      <x:c r="A30" s="50" t="n">
        <x:v>26</x:v>
      </x:c>
      <x:c r="B30" s="50" t="n">
        <x:v>1</x:v>
      </x:c>
      <x:c r="C30" s="50" t="str">
        <x:v>同步声音约束</x:v>
      </x:c>
      <x:c r="D30" s="36" t="str">
        <x:v>降落伞气动与着陆冲击</x:v>
      </x:c>
      <x:c r="E30" s="36" t="str">
        <x:v>BY-SND-P1-005-降落伞与着陆冲击</x:v>
      </x:c>
      <x:c r="F30" s="36" t="str"/>
      <x:c r="G30" s="50" t="str"/>
      <x:c r="H30" s="50" t="str">
        <x:v>SND</x:v>
      </x:c>
      <x:c r="I30" s="50" t="str">
        <x:v>P1</x:v>
      </x:c>
      <x:c r="J30" s="36" t="str">
        <x:v>场15；镜108,109</x:v>
      </x:c>
      <x:c r="K30" s="36" t="str">
        <x:v>地球大气中的伞具气动、舱内冲击和地面接触声。</x:v>
      </x:c>
      <x:c r="L30" s="36" t="str">
        <x:v>开伞；气囊触地；滚摆</x:v>
      </x:c>
      <x:c r="M30" s="36" t="str">
        <x:v>随镜头视频同步生成</x:v>
      </x:c>
      <x:c r="N30" s="36" t="str">
        <x:v>已确认生产方向</x:v>
      </x:c>
      <x:c r="O30" s="36" t="str">
        <x:v>阶段2A重入后按生产包执行</x:v>
      </x:c>
    </x:row>
    <x:row r="31" ht="46" customHeight="1">
      <x:c r="A31" s="50" t="n">
        <x:v>27</x:v>
      </x:c>
      <x:c r="B31" s="50" t="n">
        <x:v>1</x:v>
      </x:c>
      <x:c r="C31" s="50" t="str">
        <x:v>同步声音约束</x:v>
      </x:c>
      <x:c r="D31" s="36" t="str">
        <x:v>搜救现场风声、车辆设备与远距通信</x:v>
      </x:c>
      <x:c r="E31" s="36" t="str">
        <x:v>BY-SND-P1-006-搜救现场声</x:v>
      </x:c>
      <x:c r="F31" s="36" t="str"/>
      <x:c r="G31" s="50" t="str"/>
      <x:c r="H31" s="50" t="str">
        <x:v>SND</x:v>
      </x:c>
      <x:c r="I31" s="50" t="str">
        <x:v>P1</x:v>
      </x:c>
      <x:c r="J31" s="36" t="str">
        <x:v>场16；镜110,111,112,113,114</x:v>
      </x:c>
      <x:c r="K31" s="36" t="str">
        <x:v>回收现场的地球环境声和任务通信。</x:v>
      </x:c>
      <x:c r="L31" s="36" t="str">
        <x:v>接近；安全检查；开舱；终景</x:v>
      </x:c>
      <x:c r="M31" s="36" t="str">
        <x:v>随镜头视频同步生成</x:v>
      </x:c>
      <x:c r="N31" s="36" t="str">
        <x:v>已确认生产方向</x:v>
      </x:c>
      <x:c r="O31" s="36" t="str">
        <x:v>阶段2A重入后按生产包执行</x:v>
      </x:c>
    </x:row>
    <x:row r="32" ht="46" customHeight="1">
      <x:c r="A32" s="50" t="n">
        <x:v>28</x:v>
      </x:c>
      <x:c r="B32" s="50" t="n">
        <x:v>1</x:v>
      </x:c>
      <x:c r="C32" s="50" t="str">
        <x:v>同步声音约束</x:v>
      </x:c>
      <x:c r="D32" s="36" t="str">
        <x:v>月球车设备链路结构声</x:v>
      </x:c>
      <x:c r="E32" s="36" t="str">
        <x:v>BY-SND-P1-007-月球车设备链路结构声</x:v>
      </x:c>
      <x:c r="F32" s="36" t="str"/>
      <x:c r="G32" s="50" t="str"/>
      <x:c r="H32" s="50" t="str">
        <x:v>SND</x:v>
      </x:c>
      <x:c r="I32" s="50" t="str">
        <x:v>P1</x:v>
      </x:c>
      <x:c r="J32" s="36" t="str">
        <x:v>场9；镜058,059,066,067</x:v>
      </x:c>
      <x:c r="K32" s="36" t="str">
        <x:v>经车载／通信设备传回的电机和结构振动。</x:v>
      </x:c>
      <x:c r="L32" s="36" t="str">
        <x:v>卸载；行驶；返程</x:v>
      </x:c>
      <x:c r="M32" s="36" t="str">
        <x:v>随镜头视频同步生成</x:v>
      </x:c>
      <x:c r="N32" s="36" t="str">
        <x:v>已确认生产方向</x:v>
      </x:c>
      <x:c r="O32" s="36" t="str">
        <x:v>阶段2A重入后按生产包执行</x:v>
      </x:c>
    </x:row>
    <x:row r="33" ht="46" customHeight="1">
      <x:c r="A33" s="50" t="n">
        <x:v>29</x:v>
      </x:c>
      <x:c r="B33" s="50" t="n">
        <x:v>1</x:v>
      </x:c>
      <x:c r="C33" s="50" t="str">
        <x:v>同步声音约束</x:v>
      </x:c>
      <x:c r="D33" s="36" t="str">
        <x:v>飞控与测控大厅设备底噪</x:v>
      </x:c>
      <x:c r="E33" s="36" t="str">
        <x:v>BY-SND-P1-008-飞控与测控大厅底噪</x:v>
      </x:c>
      <x:c r="F33" s="36" t="str"/>
      <x:c r="G33" s="50" t="str"/>
      <x:c r="H33" s="50" t="str">
        <x:v>SND</x:v>
      </x:c>
      <x:c r="I33" s="50" t="str">
        <x:v>P1</x:v>
      </x:c>
      <x:c r="J33" s="36" t="str">
        <x:v>场2,4,5,6,8,10,11,12,14,15,16；镜006,012,022,028,031,035,041,053,072,077,083,088,097,104,107,113</x:v>
      </x:c>
      <x:c r="K33" s="36" t="str">
        <x:v>北京飞控、深空测控和搜救指挥空间中的克制设备与席位环境声。</x:v>
      </x:c>
      <x:c r="L33" s="36" t="str">
        <x:v>常态任务；关键节点</x:v>
      </x:c>
      <x:c r="M33" s="36" t="str">
        <x:v>随镜头视频同步生成</x:v>
      </x:c>
      <x:c r="N33" s="36" t="str">
        <x:v>已确认生产方向</x:v>
      </x:c>
      <x:c r="O33" s="36" t="str">
        <x:v>阶段2A重入后按生产包执行</x:v>
      </x:c>
    </x:row>
    <x:row r="34" ht="46" customHeight="1">
      <x:c r="A34" s="50" t="n">
        <x:v>30</x:v>
      </x:c>
      <x:c r="B34" s="50" t="n">
        <x:v>1</x:v>
      </x:c>
      <x:c r="C34" s="50" t="str">
        <x:v>同步声音约束</x:v>
      </x:c>
      <x:c r="D34" s="36" t="str">
        <x:v>飞控媒体区直播现场声</x:v>
      </x:c>
      <x:c r="E34" s="36" t="str">
        <x:v>BY-SND-P1-009-媒体区直播现场声</x:v>
      </x:c>
      <x:c r="F34" s="36" t="str"/>
      <x:c r="G34" s="50" t="str"/>
      <x:c r="H34" s="50" t="str">
        <x:v>SND</x:v>
      </x:c>
      <x:c r="I34" s="50" t="str">
        <x:v>P1</x:v>
      </x:c>
      <x:c r="J34" s="36" t="str">
        <x:v>三段直播</x:v>
      </x:c>
      <x:c r="K34" s="36" t="str">
        <x:v>低声工作环境、轻空调底噪、现场掌声与人物近讲。</x:v>
      </x:c>
      <x:c r="L34" s="36" t="str">
        <x:v>开场安静；采访；克制掌声；片尾收束</x:v>
      </x:c>
      <x:c r="M34" s="36" t="str">
        <x:v>无配乐、无新闻提示音</x:v>
      </x:c>
      <x:c r="N34" s="36" t="str">
        <x:v>阶段1已确认生产方向</x:v>
      </x:c>
      <x:c r="O34" s="36" t="str">
        <x:v>阶段2B建立母资产并按镜头状态派生</x:v>
      </x:c>
    </x:row>
  </x:sheetData>
  <x:mergeCells>
    <x:mergeCell ref="A1:O1"/>
    <x:mergeCell ref="A2:O2"/>
  </x:mergeCells>
  <x:conditionalFormatting sqref="I5:I34">
    <x:cfRule type="containsText" dxfId="5" priority="1" operator="containsText" text="P0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27" hidden="0" customWidth="1"/>
    <x:col min="4" max="4" width="19" hidden="0" customWidth="1"/>
    <x:col min="5" max="5" width="9" hidden="0" customWidth="1"/>
    <x:col min="6" max="6" width="31" hidden="0" customWidth="1"/>
    <x:col min="7" max="7" width="68" hidden="0" customWidth="1"/>
    <x:col min="8" max="8" width="35" hidden="0" customWidth="1"/>
    <x:col min="9" max="9" width="28" hidden="0" customWidth="1"/>
    <x:col min="10" max="10" width="72" hidden="0" customWidth="1"/>
    <x:col min="11" max="11" width="52" hidden="0" customWidth="1"/>
    <x:col min="12" max="12" width="52" hidden="0" customWidth="1"/>
    <x:col min="13" max="13" width="52" hidden="0" customWidth="1"/>
    <x:col min="14" max="14" width="25" hidden="0" customWidth="1"/>
    <x:col min="15" max="15" width="50" hidden="0" customWidth="1"/>
  </x:cols>
  <x:sheetData>
    <x:row r="1" ht="34" customHeight="1">
      <x:c r="A1" s="18" t="str">
        <x:v>镜号</x:v>
      </x:c>
      <x:c r="B1" s="19" t="str">
        <x:v>场次</x:v>
      </x:c>
      <x:c r="C1" s="19" t="str">
        <x:v>场名</x:v>
      </x:c>
      <x:c r="D1" s="19" t="str">
        <x:v>时间码</x:v>
      </x:c>
      <x:c r="E1" s="19" t="str">
        <x:v>时长秒</x:v>
      </x:c>
      <x:c r="F1" s="19" t="str">
        <x:v>景别／机位</x:v>
      </x:c>
      <x:c r="G1" s="19" t="str">
        <x:v>画面动作摘要</x:v>
      </x:c>
      <x:c r="H1" s="19" t="str">
        <x:v>关键状态／变体</x:v>
      </x:c>
      <x:c r="I1" s="19" t="str">
        <x:v>摄影来源等级</x:v>
      </x:c>
      <x:c r="J1" s="19" t="str">
        <x:v>所需视觉资产ID</x:v>
      </x:c>
      <x:c r="K1" s="19" t="str">
        <x:v>所需人物音色ID</x:v>
      </x:c>
      <x:c r="L1" s="19" t="str">
        <x:v>同步声音约束ID</x:v>
      </x:c>
      <x:c r="M1" s="19" t="str">
        <x:v>后期文字／图形资产ID</x:v>
      </x:c>
      <x:c r="N1" s="19" t="str">
        <x:v>资产状态</x:v>
      </x:c>
      <x:c r="O1" s="20" t="str">
        <x:v>专业控制</x:v>
      </x:c>
    </x:row>
    <x:row r="2" ht="62" customHeight="1">
      <x:c r="A2" s="109" t="n">
        <x:v>1</x:v>
      </x:c>
      <x:c r="B2" s="109" t="n">
        <x:v>1</x:v>
      </x:c>
      <x:c r="C2" s="109" t="str">
        <x:v>直播一开场：两器即将对接</x:v>
      </x:c>
      <x:c r="D2" s="109" t="str">
        <x:v>00:00:00–00:00:12</x:v>
      </x:c>
      <x:c r="E2" s="109" t="n">
        <x:v>12</x:v>
      </x:c>
      <x:c r="F2" s="31" t="str">
        <x:v>黑场／后期字幕</x:v>
      </x:c>
      <x:c r="G2" s="31" t="str">
        <x:v>黑场依次出现：本片依据截至2026年的公开信息，对中国首次载人登月进行未来纪实推演；人物、日期、呼号及未公开任务细节均为艺术创作，不代表官方方案。</x:v>
      </x:c>
      <x:c r="H2" s="31" t="str">
        <x:v>常规任务状态</x:v>
      </x:c>
      <x:c r="I2" s="109" t="str">
        <x:v>D｜后期字幕／解释图卡</x:v>
      </x:c>
      <x:c r="J2" s="31" t="str">
        <x:v>BY-REL-P1-007-摄影来源证据层级</x:v>
      </x:c>
      <x:c r="K2" s="31" t="str"/>
      <x:c r="L2" s="31" t="str">
        <x:v>BY-REL-P1-003-声音来源真实性</x:v>
      </x:c>
      <x:c r="M2" s="31" t="str">
        <x:v>BY-SYM-P0-002-艺术化光照偏差推演声明;BY-SYM-P1-001-未来纪实推演标识;BY-SYM-P1-003-任务阶段与时间跳跃标牌</x:v>
      </x:c>
      <x:c r="N2" s="31" t="str">
        <x:v>阶段1映射完成｜阶段2B按镜头状态调用</x:v>
      </x:c>
      <x:c r="O2" s="31" t="str">
        <x:v>字幕后期制作；给足完整阅读时间。</x:v>
      </x:c>
    </x:row>
    <x:row r="3" ht="62" customHeight="1">
      <x:c r="A3" s="110" t="n">
        <x:v>2</x:v>
      </x:c>
      <x:c r="B3" s="110" t="n">
        <x:v>1</x:v>
      </x:c>
      <x:c r="C3" s="110" t="str">
        <x:v>直播一开场：两器即将对接</x:v>
      </x:c>
      <x:c r="D3" s="110" t="str">
        <x:v>00:00:12–00:00:17</x:v>
      </x:c>
      <x:c r="E3" s="110" t="n">
        <x:v>5</x:v>
      </x:c>
      <x:c r="F3" s="32" t="str">
        <x:v>黑场转深空／后期字幕</x:v>
      </x:c>
      <x:c r="G3" s="32" t="str">
        <x:v>字幕：2029年4月6日，月球轨道。画面转为月球弧面与黑色深空。</x:v>
      </x:c>
      <x:c r="H3" s="32" t="str">
        <x:v>常规任务状态</x:v>
      </x:c>
      <x:c r="I3" s="110" t="str">
        <x:v>D｜后期字幕／解释图卡</x:v>
      </x:c>
      <x:c r="J3" s="32" t="str">
        <x:v>BY-LGT-P1-004-环月轨道太阳光;BY-REL-P1-007-摄影来源证据层级;BY-REL-P1-010-地月视觉尺度连续性;BY-SCN-P1-006-环月轨道外部环境</x:v>
      </x:c>
      <x:c r="K3" s="32" t="str"/>
      <x:c r="L3" s="32" t="str">
        <x:v>BY-REL-P1-003-声音来源真实性</x:v>
      </x:c>
      <x:c r="M3" s="32" t="str">
        <x:v>BY-SYM-P1-003-任务阶段与时间跳跃标牌</x:v>
      </x:c>
      <x:c r="N3" s="32" t="str">
        <x:v>阶段1映射完成｜阶段2B按镜头状态调用</x:v>
      </x:c>
      <x:c r="O3" s="32" t="str">
        <x:v>日期属于本片艺术时间线。</x:v>
      </x:c>
    </x:row>
    <x:row r="4" ht="62" customHeight="1">
      <x:c r="A4" s="110" t="n">
        <x:v>3</x:v>
      </x:c>
      <x:c r="B4" s="110" t="n">
        <x:v>1</x:v>
      </x:c>
      <x:c r="C4" s="110" t="str">
        <x:v>直播一开场：两器即将对接</x:v>
      </x:c>
      <x:c r="D4" s="110" t="str">
        <x:v>00:00:17–00:00:27</x:v>
      </x:c>
      <x:c r="E4" s="110" t="n">
        <x:v>10</x:v>
      </x:c>
      <x:c r="F4" s="32" t="str">
        <x:v>媒体区直播中景</x:v>
      </x:c>
      <x:c r="G4" s="32" t="str">
        <x:v>林知夏站在固定媒体位，身后玻璃与大屏可见北京飞控中心工作状态。</x:v>
      </x:c>
      <x:c r="H4" s="32" t="str">
        <x:v>常规任务状态</x:v>
      </x:c>
      <x:c r="I4" s="110" t="str">
        <x:v>B｜地面直播／测控任务机位</x:v>
      </x:c>
      <x:c r="J4" s="32" t="str">
        <x:v>BY-CHR-P1-002-林知夏;BY-CRO-P1-001-北京飞控任务团队;BY-CST-P1-004-林知夏记者服装;BY-LGT-P1-003-飞控大厅任务光;BY-LGT-P1-008-飞控媒体区直播光;BY-REL-P1-007-摄影来源证据层级;BY-REL-P1-008-三段直播结构链;BY-SCN-P0-006-北京飞控大厅与任务主屏;BY-SCN-P1-003-飞控中心媒体区</x:v>
      </x:c>
      <x:c r="K4" s="32" t="str">
        <x:v>BY-VOI-P1-002-林知夏声音</x:v>
      </x:c>
      <x:c r="L4" s="32" t="str">
        <x:v>BY-REL-P1-003-声音来源真实性;BY-SND-P1-008-飞控与测控大厅底噪;BY-SND-P1-009-媒体区直播现场声</x:v>
      </x:c>
      <x:c r="M4" s="32" t="str">
        <x:v>BY-SYM-P1-007-直播进口出口与倒计时</x:v>
      </x:c>
      <x:c r="N4" s="32" t="str">
        <x:v>阶段1映射完成｜阶段2B按镜头状态调用</x:v>
      </x:c>
      <x:c r="O4" s="32" t="str">
        <x:v>记者不进入飞控工作大厅；台词保留起句和收句余量。</x:v>
      </x:c>
    </x:row>
    <x:row r="5" ht="62" customHeight="1">
      <x:c r="A5" s="110" t="n">
        <x:v>4</x:v>
      </x:c>
      <x:c r="B5" s="110" t="n">
        <x:v>1</x:v>
      </x:c>
      <x:c r="C5" s="110" t="str">
        <x:v>直播一开场：两器即将对接</x:v>
      </x:c>
      <x:c r="D5" s="110" t="str">
        <x:v>00:00:27–00:00:39</x:v>
      </x:c>
      <x:c r="E5" s="110" t="n">
        <x:v>12</x:v>
      </x:c>
      <x:c r="F5" s="32" t="str">
        <x:v>月轨双器远景／视觉重建</x:v>
      </x:c>
      <x:c r="G5" s="32" t="str">
        <x:v>月球弧面占画面下方，梦舟与揽月沿同一轨道方向飞行；远处地球是有清晰直径的蓝白色圆盘。画面角落标注：基于实时遥测的视觉重建。</x:v>
      </x:c>
      <x:c r="H5" s="32" t="str">
        <x:v>遥测视觉重建｜角标常驻</x:v>
      </x:c>
      <x:c r="I5" s="110" t="str">
        <x:v>C｜显式遥测视觉重建</x:v>
      </x:c>
      <x:c r="J5" s="32" t="str">
        <x:v>BY-LGT-P1-004-环月轨道太阳光;BY-REL-P0-005-揽月构型状态链;BY-REL-P1-007-摄影来源证据层级;BY-REL-P1-010-地月视觉尺度连续性;BY-SCN-P1-006-环月轨道外部环境;BY-VEH-P0-001-梦舟载人飞船;BY-VEH-P0-002-揽月完整构型;BY-VEH-P0-003-揽月登月舱;BY-VFX-P1-008-遥测视觉重建合成</x:v>
      </x:c>
      <x:c r="K5" s="32" t="str">
        <x:v>BY-VOI-P1-002-林知夏声音</x:v>
      </x:c>
      <x:c r="L5" s="32" t="str">
        <x:v>BY-REL-P1-003-声音来源真实性</x:v>
      </x:c>
      <x:c r="M5" s="32" t="str">
        <x:v>BY-SYM-P1-006-视觉重建来源标识</x:v>
      </x:c>
      <x:c r="N5" s="32" t="str">
        <x:v>阶段1映射完成｜阶段2B按镜头状态调用</x:v>
      </x:c>
      <x:c r="O5" s="32" t="str">
        <x:v>不伪装成物理外拍机位；地球不能表现为小蓝点。</x:v>
      </x:c>
    </x:row>
    <x:row r="6" ht="62" customHeight="1">
      <x:c r="A6" s="110" t="n">
        <x:v>5</x:v>
      </x:c>
      <x:c r="B6" s="110" t="n">
        <x:v>1</x:v>
      </x:c>
      <x:c r="C6" s="110" t="str">
        <x:v>直播一开场：两器即将对接</x:v>
      </x:c>
      <x:c r="D6" s="110" t="str">
        <x:v>00:00:39–00:00:48</x:v>
      </x:c>
      <x:c r="E6" s="110" t="n">
        <x:v>9</x:v>
      </x:c>
      <x:c r="F6" s="32" t="str">
        <x:v>梦舟舱内后向广角</x:v>
      </x:c>
      <x:c r="G6" s="32" t="str">
        <x:v>三名航天员全部固定在梦舟三把座椅上；杨凛居中统筹，刘定槎监看相对导航，陈砚核对揽月遥测和转移清单。</x:v>
      </x:c>
      <x:c r="H6" s="32" t="str">
        <x:v>梦舟A｜三座满员／对接前</x:v>
      </x:c>
      <x:c r="I6" s="110" t="str">
        <x:v>A｜航天器／宇航服／月面真实任务机位推演</x:v>
      </x:c>
      <x:c r="J6" s="32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-005-两器舱门与对接锁止结果件;BY-PRP-P1-006-舱内操作界面与任务屏;BY-REL-P0-005-揽月构型状态链;BY-REL-P0-009-梦舟三座返航承载与环月工作位;BY-REL-P0-010-梦舟轴向转移顺序;BY-REL-P1-002-两侧舱门顺序;BY-REL-P1-007-摄影来源证据层级;BY-SCN-P0-001-梦舟舱内三座布局;BY-SCN-P0-002-梦舟对接通道与舱门区;BY-SCN-P0-005-梦舟环月工作位;BY-VEH-P0-001-梦舟载人飞船;BY-VEH-P0-002-揽月完整构型;BY-VEH-P0-003-揽月登月舱</x:v>
      </x:c>
      <x:c r="K6" s="32" t="str">
        <x:v>BY-VOI-P0-001-杨凛声音;BY-VOI-P0-002-陈砚声音;BY-VOI-P0-003-刘定槎声音</x:v>
      </x:c>
      <x:c r="L6" s="32" t="str">
        <x:v>BY-REL-P1-003-声音来源真实性;BY-SND-P0-001-舱内生命保障与设备底噪;BY-SND-P1-001-舱门对接机构结构传导</x:v>
      </x:c>
      <x:c r="M6" s="32" t="str"/>
      <x:c r="N6" s="32" t="str">
        <x:v>阶段1映射完成｜阶段2B按镜头状态调用</x:v>
      </x:c>
      <x:c r="O6" s="32" t="str">
        <x:v>第一次建立三座满员的视觉母题；揽月此时无人。</x:v>
      </x:c>
    </x:row>
    <x:row r="7" ht="62" customHeight="1">
      <x:c r="A7" s="110" t="n">
        <x:v>6</x:v>
      </x:c>
      <x:c r="B7" s="110" t="n">
        <x:v>1</x:v>
      </x:c>
      <x:c r="C7" s="110" t="str">
        <x:v>直播一开场：两器即将对接</x:v>
      </x:c>
      <x:c r="D7" s="110" t="str">
        <x:v>00:00:48–00:00:56</x:v>
      </x:c>
      <x:c r="E7" s="110" t="n">
        <x:v>8</x:v>
      </x:c>
      <x:c r="F7" s="32" t="str">
        <x:v>飞控大厅广角</x:v>
      </x:c>
      <x:c r="G7" s="32" t="str">
        <x:v>主屏显示双目标相对轨迹；飞行主任、轨道、制导导航控制和航天员系统席位安静工作。</x:v>
      </x:c>
      <x:c r="H7" s="32" t="str">
        <x:v>常规任务状态</x:v>
      </x:c>
      <x:c r="I7" s="110" t="str">
        <x:v>B｜地面直播／测控任务机位</x:v>
      </x:c>
      <x:c r="J7" s="32" t="str">
        <x:v>BY-CRO-P1-001-北京飞控任务团队;BY-LGT-P1-003-飞控大厅任务光;BY-REL-P1-007-摄影来源证据层级;BY-SCN-P0-006-北京飞控大厅与任务主屏</x:v>
      </x:c>
      <x:c r="K7" s="32" t="str">
        <x:v>BY-VOI-P1-004-北京飞控主调度声音</x:v>
      </x:c>
      <x:c r="L7" s="32" t="str">
        <x:v>BY-REL-P1-003-声音来源真实性;BY-SND-P1-008-飞控与测控大厅底噪</x:v>
      </x:c>
      <x:c r="M7" s="32" t="str">
        <x:v>BY-SYM-P1-004-任务轨迹与相位图模板</x:v>
      </x:c>
      <x:c r="N7" s="32" t="str">
        <x:v>阶段1映射完成｜阶段2B按镜头状态调用</x:v>
      </x:c>
      <x:c r="O7" s="32" t="str">
        <x:v>只保留关键状态闭合。</x:v>
      </x:c>
    </x:row>
    <x:row r="8" ht="62" customHeight="1">
      <x:c r="A8" s="110" t="n">
        <x:v>7</x:v>
      </x:c>
      <x:c r="B8" s="110" t="n">
        <x:v>1</x:v>
      </x:c>
      <x:c r="C8" s="110" t="str">
        <x:v>直播一开场：两器即将对接</x:v>
      </x:c>
      <x:c r="D8" s="110" t="str">
        <x:v>00:00:56–00:01:02</x:v>
      </x:c>
      <x:c r="E8" s="110" t="n">
        <x:v>6</x:v>
      </x:c>
      <x:c r="F8" s="32" t="str">
        <x:v>佳木斯深空站外景</x:v>
      </x:c>
      <x:c r="G8" s="32" t="str">
        <x:v>66米天线缓慢跟踪；任务屏显示梦舟、揽月两条轨迹和链路状态。</x:v>
      </x:c>
      <x:c r="H8" s="32" t="str">
        <x:v>常规任务状态</x:v>
      </x:c>
      <x:c r="I8" s="110" t="str">
        <x:v>B｜地面直播／测控任务机位</x:v>
      </x:c>
      <x:c r="J8" s="32" t="str">
        <x:v>BY-CRO-P1-002-深空测控值班团队;BY-LGT-P1-004-环月轨道太阳光;BY-LGT-P1-006-深空测控站任务光;BY-REL-P0-005-揽月构型状态链;BY-REL-P1-004-地面测控接力链;BY-REL-P1-007-摄影来源证据层级;BY-REL-P1-010-地月视觉尺度连续性;BY-SCN-P1-006-环月轨道外部环境;BY-SCN-P1-007-佳木斯66米深空测控站;BY-VEH-P0-001-梦舟载人飞船;BY-VEH-P0-002-揽月完整构型;BY-VEH-P0-003-揽月登月舱</x:v>
      </x:c>
      <x:c r="K8" s="32" t="str">
        <x:v>BY-VOI-P1-005-林海深空测控声音</x:v>
      </x:c>
      <x:c r="L8" s="32" t="str">
        <x:v>BY-REL-P1-003-声音来源真实性;BY-SND-P1-008-飞控与测控大厅底噪</x:v>
      </x:c>
      <x:c r="M8" s="32" t="str">
        <x:v>BY-SYM-P1-004-任务轨迹与相位图模板</x:v>
      </x:c>
      <x:c r="N8" s="32" t="str">
        <x:v>阶段1映射完成｜阶段2B按镜头状态调用</x:v>
      </x:c>
      <x:c r="O8" s="32" t="str">
        <x:v>近月主链路由深空地面站接力。</x:v>
      </x:c>
    </x:row>
    <x:row r="9" ht="62" customHeight="1">
      <x:c r="A9" s="110" t="n">
        <x:v>8</x:v>
      </x:c>
      <x:c r="B9" s="110" t="n">
        <x:v>2</x:v>
      </x:c>
      <x:c r="C9" s="110" t="str">
        <x:v>环月对接</x:v>
      </x:c>
      <x:c r="D9" s="110" t="str">
        <x:v>00:01:02–00:01:10</x:v>
      </x:c>
      <x:c r="E9" s="110" t="n">
        <x:v>8</x:v>
      </x:c>
      <x:c r="F9" s="32" t="str">
        <x:v>梦舟舱内三人中景</x:v>
      </x:c>
      <x:c r="G9" s="32" t="str">
        <x:v>三名航天员保持约束状态；刘定槎读出闭合速度，陈砚监看揽月状态，杨凛确认接近序列。</x:v>
      </x:c>
      <x:c r="H9" s="32" t="str">
        <x:v>梦舟A｜三座满员／对接前</x:v>
      </x:c>
      <x:c r="I9" s="110" t="str">
        <x:v>A｜航天器／宇航服／月面真实任务机位推演</x:v>
      </x:c>
      <x:c r="J9" s="32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-006-舱内操作界面与任务屏;BY-REL-P0-005-揽月构型状态链;BY-REL-P0-009-梦舟三座返航承载与环月工作位;BY-REL-P1-007-摄影来源证据层级;BY-SCN-P0-001-梦舟舱内三座布局;BY-SCN-P0-005-梦舟环月工作位;BY-VEH-P0-001-梦舟载人飞船;BY-VEH-P0-002-揽月完整构型;BY-VEH-P0-003-揽月登月舱</x:v>
      </x:c>
      <x:c r="K9" s="32" t="str">
        <x:v>BY-VOI-P0-001-杨凛声音;BY-VOI-P0-002-陈砚声音;BY-VOI-P0-003-刘定槎声音</x:v>
      </x:c>
      <x:c r="L9" s="32" t="str">
        <x:v>BY-REL-P1-003-声音来源真实性;BY-SND-P0-001-舱内生命保障与设备底噪</x:v>
      </x:c>
      <x:c r="M9" s="32" t="str"/>
      <x:c r="N9" s="32" t="str">
        <x:v>阶段1映射完成｜阶段2B按镜头状态调用</x:v>
      </x:c>
      <x:c r="O9" s="32" t="str">
        <x:v>三名乘员均在梦舟；不虚构揽月内有人。</x:v>
      </x:c>
    </x:row>
    <x:row r="10" ht="62" customHeight="1">
      <x:c r="A10" s="110" t="n">
        <x:v>9</x:v>
      </x:c>
      <x:c r="B10" s="110" t="n">
        <x:v>2</x:v>
      </x:c>
      <x:c r="C10" s="110" t="str">
        <x:v>环月对接</x:v>
      </x:c>
      <x:c r="D10" s="110" t="str">
        <x:v>00:01:10–00:01:17</x:v>
      </x:c>
      <x:c r="E10" s="110" t="n">
        <x:v>7</x:v>
      </x:c>
      <x:c r="F10" s="32" t="str">
        <x:v>双器侧向／视觉重建</x:v>
      </x:c>
      <x:c r="G10" s="32" t="str">
        <x:v>两器沿对接轴线缓慢闭合，姿控喷气短促且克制；角落标注：基于实时遥测的视觉重建。</x:v>
      </x:c>
      <x:c r="H10" s="32" t="str">
        <x:v>遥测视觉重建｜角标常驻</x:v>
      </x:c>
      <x:c r="I10" s="110" t="str">
        <x:v>C｜显式遥测视觉重建</x:v>
      </x:c>
      <x:c r="J10" s="32" t="str">
        <x:v>BY-PRP-P1-005-两器舱门与对接锁止结果件;BY-REL-P1-007-摄影来源证据层级;BY-VFX-P1-002-环月轨道交会与对接;BY-VFX-P1-004-姿控喷流;BY-VFX-P1-008-遥测视觉重建合成</x:v>
      </x:c>
      <x:c r="K10" s="32" t="str"/>
      <x:c r="L10" s="32" t="str">
        <x:v>BY-REL-P1-003-声音来源真实性;BY-SND-P1-001-舱门对接机构结构传导</x:v>
      </x:c>
      <x:c r="M10" s="32" t="str">
        <x:v>BY-SYM-P1-006-视觉重建来源标识</x:v>
      </x:c>
      <x:c r="N10" s="32" t="str">
        <x:v>阶段1映射完成｜阶段2B按镜头状态调用</x:v>
      </x:c>
      <x:c r="O10" s="32" t="str">
        <x:v>不指定未公开的主动／被动对接分工。</x:v>
      </x:c>
    </x:row>
    <x:row r="11" ht="62" customHeight="1">
      <x:c r="A11" s="110" t="n">
        <x:v>10</x:v>
      </x:c>
      <x:c r="B11" s="110" t="n">
        <x:v>2</x:v>
      </x:c>
      <x:c r="C11" s="110" t="str">
        <x:v>环月对接</x:v>
      </x:c>
      <x:c r="D11" s="110" t="str">
        <x:v>00:01:17–00:01:24</x:v>
      </x:c>
      <x:c r="E11" s="110" t="n">
        <x:v>7</x:v>
      </x:c>
      <x:c r="F11" s="32" t="str">
        <x:v>对接口监视相机</x:v>
      </x:c>
      <x:c r="G11" s="32" t="str">
        <x:v>目标十字线在二十米停泊点稳定，闭合速度降为零。</x:v>
      </x:c>
      <x:c r="H11" s="32" t="str">
        <x:v>常规任务状态</x:v>
      </x:c>
      <x:c r="I11" s="110" t="str">
        <x:v>A｜航天器／宇航服／月面真实任务机位推演</x:v>
      </x:c>
      <x:c r="J11" s="32" t="str">
        <x:v>BY-PRP-P1-005-两器舱门与对接锁止结果件;BY-PRP-P1-015-航天器任务相机组;BY-REL-P1-007-摄影来源证据层级;BY-VFX-P1-002-环月轨道交会与对接</x:v>
      </x:c>
      <x:c r="K11" s="32" t="str">
        <x:v>BY-VOI-P0-003-刘定槎声音;BY-VOI-P1-004-北京飞控主调度声音</x:v>
      </x:c>
      <x:c r="L11" s="32" t="str">
        <x:v>BY-REL-P1-003-声音来源真实性;BY-SND-P1-001-舱门对接机构结构传导</x:v>
      </x:c>
      <x:c r="M11" s="32" t="str"/>
      <x:c r="N11" s="32" t="str">
        <x:v>阶段1映射完成｜阶段2B按镜头状态调用</x:v>
      </x:c>
      <x:c r="O11" s="32" t="str">
        <x:v>任务证据视角；不让记者或专家覆盖。</x:v>
      </x:c>
    </x:row>
    <x:row r="12" ht="62" customHeight="1">
      <x:c r="A12" s="110" t="n">
        <x:v>11</x:v>
      </x:c>
      <x:c r="B12" s="110" t="n">
        <x:v>2</x:v>
      </x:c>
      <x:c r="C12" s="110" t="str">
        <x:v>环月对接</x:v>
      </x:c>
      <x:c r="D12" s="110" t="str">
        <x:v>00:01:24–00:01:31</x:v>
      </x:c>
      <x:c r="E12" s="110" t="n">
        <x:v>7</x:v>
      </x:c>
      <x:c r="F12" s="32" t="str">
        <x:v>飞控屏幕近景</x:v>
      </x:c>
      <x:c r="G12" s="32" t="str">
        <x:v>轨道、姿态和链路状态依次转绿；飞行主任手势确认。</x:v>
      </x:c>
      <x:c r="H12" s="32" t="str">
        <x:v>常规任务状态</x:v>
      </x:c>
      <x:c r="I12" s="110" t="str">
        <x:v>B｜地面直播／测控任务机位</x:v>
      </x:c>
      <x:c r="J12" s="32" t="str">
        <x:v>BY-CRO-P1-001-北京飞控任务团队;BY-LGT-P1-003-飞控大厅任务光;BY-REL-P1-007-摄影来源证据层级;BY-SCN-P0-006-北京飞控大厅与任务主屏</x:v>
      </x:c>
      <x:c r="K12" s="32" t="str">
        <x:v>BY-VOI-P1-004-北京飞控主调度声音</x:v>
      </x:c>
      <x:c r="L12" s="32" t="str">
        <x:v>BY-REL-P1-003-声音来源真实性;BY-SND-P1-008-飞控与测控大厅底噪</x:v>
      </x:c>
      <x:c r="M12" s="32" t="str"/>
      <x:c r="N12" s="32" t="str">
        <x:v>阶段1映射完成｜阶段2B按镜头状态调用</x:v>
      </x:c>
      <x:c r="O12" s="32" t="str">
        <x:v>保留授权动作和短暂停顿。</x:v>
      </x:c>
    </x:row>
    <x:row r="13" ht="62" customHeight="1">
      <x:c r="A13" s="110" t="n">
        <x:v>12</x:v>
      </x:c>
      <x:c r="B13" s="110" t="n">
        <x:v>2</x:v>
      </x:c>
      <x:c r="C13" s="110" t="str">
        <x:v>环月对接</x:v>
      </x:c>
      <x:c r="D13" s="110" t="str">
        <x:v>00:01:31–00:01:38</x:v>
      </x:c>
      <x:c r="E13" s="110" t="n">
        <x:v>7</x:v>
      </x:c>
      <x:c r="F13" s="32" t="str">
        <x:v>梦舟舱内交叉近景</x:v>
      </x:c>
      <x:c r="G13" s="32" t="str">
        <x:v>杨凛看向中央状态页，刘定槎盯住相对导航，陈砚保持对揽月系统监视。</x:v>
      </x:c>
      <x:c r="H13" s="32" t="str">
        <x:v>梦舟A｜三座满员／对接前</x:v>
      </x:c>
      <x:c r="I13" s="110" t="str">
        <x:v>A｜航天器／宇航服／月面真实任务机位推演</x:v>
      </x:c>
      <x:c r="J13" s="32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-006-舱内操作界面与任务屏;BY-REL-P0-005-揽月构型状态链;BY-REL-P0-009-梦舟三座返航承载与环月工作位;BY-REL-P1-007-摄影来源证据层级;BY-SCN-P0-001-梦舟舱内三座布局;BY-SCN-P0-005-梦舟环月工作位;BY-VEH-P0-001-梦舟载人飞船;BY-VEH-P0-002-揽月完整构型;BY-VEH-P0-003-揽月登月舱</x:v>
      </x:c>
      <x:c r="K13" s="32" t="str">
        <x:v>BY-VOI-P0-001-杨凛声音</x:v>
      </x:c>
      <x:c r="L13" s="32" t="str">
        <x:v>BY-REL-P1-003-声音来源真实性;BY-SND-P0-001-舱内生命保障与设备底噪</x:v>
      </x:c>
      <x:c r="M13" s="32" t="str"/>
      <x:c r="N13" s="32" t="str">
        <x:v>阶段1映射完成｜阶段2B按镜头状态调用</x:v>
      </x:c>
      <x:c r="O13" s="32" t="str">
        <x:v>通话保留约1.3秒单程延迟的自然节奏。</x:v>
      </x:c>
    </x:row>
    <x:row r="14" ht="62" customHeight="1">
      <x:c r="A14" s="110" t="n">
        <x:v>13</x:v>
      </x:c>
      <x:c r="B14" s="110" t="n">
        <x:v>2</x:v>
      </x:c>
      <x:c r="C14" s="110" t="str">
        <x:v>环月对接</x:v>
      </x:c>
      <x:c r="D14" s="110" t="str">
        <x:v>00:01:38–00:01:46</x:v>
      </x:c>
      <x:c r="E14" s="110" t="n">
        <x:v>8</x:v>
      </x:c>
      <x:c r="F14" s="32" t="str">
        <x:v>正轴／视觉重建</x:v>
      </x:c>
      <x:c r="G14" s="32" t="str">
        <x:v>对接环在画面中心逐渐重合，双器相对运动接近静止；角落保留视觉重建标识。</x:v>
      </x:c>
      <x:c r="H14" s="32" t="str">
        <x:v>遥测视觉重建｜角标常驻</x:v>
      </x:c>
      <x:c r="I14" s="110" t="str">
        <x:v>C｜显式遥测视觉重建</x:v>
      </x:c>
      <x:c r="J14" s="32" t="str">
        <x:v>BY-PRP-P1-005-两器舱门与对接锁止结果件;BY-REL-P1-007-摄影来源证据层级;BY-VFX-P1-002-环月轨道交会与对接;BY-VFX-P1-008-遥测视觉重建合成</x:v>
      </x:c>
      <x:c r="K14" s="32" t="str"/>
      <x:c r="L14" s="32" t="str">
        <x:v>BY-REL-P1-003-声音来源真实性;BY-SND-P1-001-舱门对接机构结构传导</x:v>
      </x:c>
      <x:c r="M14" s="32" t="str">
        <x:v>BY-SYM-P1-006-视觉重建来源标识</x:v>
      </x:c>
      <x:c r="N14" s="32" t="str">
        <x:v>阶段1映射完成｜阶段2B按镜头状态调用</x:v>
      </x:c>
      <x:c r="O14" s="32" t="str">
        <x:v>第三视角只补充空间尺度。</x:v>
      </x:c>
    </x:row>
    <x:row r="15" ht="62" customHeight="1">
      <x:c r="A15" s="110" t="n">
        <x:v>14</x:v>
      </x:c>
      <x:c r="B15" s="110" t="n">
        <x:v>2</x:v>
      </x:c>
      <x:c r="C15" s="110" t="str">
        <x:v>环月对接</x:v>
      </x:c>
      <x:c r="D15" s="110" t="str">
        <x:v>00:01:46–00:01:54</x:v>
      </x:c>
      <x:c r="E15" s="110" t="n">
        <x:v>8</x:v>
      </x:c>
      <x:c r="F15" s="32" t="str">
        <x:v>对接机构与舱内交叉</x:v>
      </x:c>
      <x:c r="G15" s="32" t="str">
        <x:v>对接环接触、缓冲、拉紧；梦舟舱内出现轻微结构振动。</x:v>
      </x:c>
      <x:c r="H15" s="32" t="str">
        <x:v>常规任务状态</x:v>
      </x:c>
      <x:c r="I15" s="110" t="str">
        <x:v>A｜航天器／宇航服／月面真实任务机位推演</x:v>
      </x:c>
      <x:c r="J15" s="32" t="str">
        <x:v>BY-PRP-P1-005-两器舱门与对接锁止结果件;BY-REL-P1-007-摄影来源证据层级;BY-VEH-P0-001-梦舟载人飞船;BY-VFX-P1-002-环月轨道交会与对接</x:v>
      </x:c>
      <x:c r="K15" s="32" t="str">
        <x:v>BY-VOI-P0-001-杨凛声音;BY-VOI-P0-003-刘定槎声音</x:v>
      </x:c>
      <x:c r="L15" s="32" t="str">
        <x:v>BY-REL-P1-003-声音来源真实性;BY-SND-P1-001-舱门对接机构结构传导</x:v>
      </x:c>
      <x:c r="M15" s="32" t="str"/>
      <x:c r="N15" s="32" t="str">
        <x:v>阶段1映射完成｜阶段2B按镜头状态调用</x:v>
      </x:c>
      <x:c r="O15" s="32" t="str">
        <x:v>结构声只在舱内成立。</x:v>
      </x:c>
    </x:row>
    <x:row r="16" ht="62" customHeight="1">
      <x:c r="A16" s="110" t="n">
        <x:v>15</x:v>
      </x:c>
      <x:c r="B16" s="110" t="n">
        <x:v>2</x:v>
      </x:c>
      <x:c r="C16" s="110" t="str">
        <x:v>环月对接</x:v>
      </x:c>
      <x:c r="D16" s="110" t="str">
        <x:v>00:01:54–00:02:02</x:v>
      </x:c>
      <x:c r="E16" s="110" t="n">
        <x:v>8</x:v>
      </x:c>
      <x:c r="F16" s="32" t="str">
        <x:v>北京飞控广角</x:v>
      </x:c>
      <x:c r="G16" s="32" t="str">
        <x:v>硬连接、姿态、密封和压力检查依次完成，大厅短暂克制鼓掌。</x:v>
      </x:c>
      <x:c r="H16" s="32" t="str">
        <x:v>常规任务状态</x:v>
      </x:c>
      <x:c r="I16" s="110" t="str">
        <x:v>B｜地面直播／测控任务机位</x:v>
      </x:c>
      <x:c r="J16" s="32" t="str">
        <x:v>BY-CRO-P1-001-北京飞控任务团队;BY-LGT-P1-003-飞控大厅任务光;BY-PRP-P1-005-两器舱门与对接锁止结果件;BY-REL-P1-007-摄影来源证据层级;BY-SCN-P0-006-北京飞控大厅与任务主屏;BY-VFX-P1-002-环月轨道交会与对接</x:v>
      </x:c>
      <x:c r="K16" s="32" t="str">
        <x:v>BY-VOI-P1-004-北京飞控主调度声音</x:v>
      </x:c>
      <x:c r="L16" s="32" t="str">
        <x:v>BY-REL-P1-003-声音来源真实性;BY-SND-P1-001-舱门对接机构结构传导;BY-SND-P1-008-飞控与测控大厅底噪</x:v>
      </x:c>
      <x:c r="M16" s="32" t="str"/>
      <x:c r="N16" s="32" t="str">
        <x:v>阶段1映射完成｜阶段2B按镜头状态调用</x:v>
      </x:c>
      <x:c r="O16" s="32" t="str">
        <x:v>对接成功后仍完成密封检查。</x:v>
      </x:c>
    </x:row>
    <x:row r="17" ht="62" customHeight="1">
      <x:c r="A17" s="110" t="n">
        <x:v>16</x:v>
      </x:c>
      <x:c r="B17" s="110" t="n">
        <x:v>3</x:v>
      </x:c>
      <x:c r="C17" s="110" t="str">
        <x:v>人员转移与直播一结束</x:v>
      </x:c>
      <x:c r="D17" s="110" t="str">
        <x:v>00:02:02–00:02:08</x:v>
      </x:c>
      <x:c r="E17" s="110" t="n">
        <x:v>6</x:v>
      </x:c>
      <x:c r="F17" s="32" t="str">
        <x:v>对接通道轴向固定</x:v>
      </x:c>
      <x:c r="G17" s="32" t="str">
        <x:v>压差归零后两侧舱门依次开启，任务数据盒、救生包和个人转移袋沿固定索先行通过。</x:v>
      </x:c>
      <x:c r="H17" s="32" t="str">
        <x:v>常规任务状态</x:v>
      </x:c>
      <x:c r="I17" s="110" t="str">
        <x:v>A｜航天器／宇航服／月面真实任务机位推演</x:v>
      </x:c>
      <x:c r="J17" s="32" t="str">
        <x:v>BY-PRP-P1-005-两器舱门与对接锁止结果件;BY-REL-P0-010-梦舟轴向转移顺序;BY-REL-P1-002-两侧舱门顺序;BY-REL-P1-007-摄影来源证据层级;BY-SCN-P0-002-梦舟对接通道与舱门区;BY-VFX-P1-002-环月轨道交会与对接</x:v>
      </x:c>
      <x:c r="K17" s="32" t="str">
        <x:v>BY-VOI-P0-003-刘定槎声音</x:v>
      </x:c>
      <x:c r="L17" s="32" t="str">
        <x:v>BY-REL-P1-003-声音来源真实性;BY-SND-P1-001-舱门对接机构结构传导</x:v>
      </x:c>
      <x:c r="M17" s="32" t="str"/>
      <x:c r="N17" s="32" t="str">
        <x:v>阶段1映射完成｜阶段2B按镜头状态调用</x:v>
      </x:c>
      <x:c r="O17" s="32" t="str">
        <x:v>先物品、后人员。</x:v>
      </x:c>
    </x:row>
    <x:row r="18" ht="62" customHeight="1">
      <x:c r="A18" s="110" t="n">
        <x:v>17</x:v>
      </x:c>
      <x:c r="B18" s="110" t="n">
        <x:v>3</x:v>
      </x:c>
      <x:c r="C18" s="110" t="str">
        <x:v>人员转移与直播一结束</x:v>
      </x:c>
      <x:c r="D18" s="110" t="str">
        <x:v>00:02:08–00:02:14</x:v>
      </x:c>
      <x:c r="E18" s="110" t="n">
        <x:v>6</x:v>
      </x:c>
      <x:c r="F18" s="32" t="str">
        <x:v>梦舟返回舱三人中景</x:v>
      </x:c>
      <x:c r="G18" s="32" t="str">
        <x:v>杨凛、陈砚解除座椅约束，刘定槎仍在工作位；三把座椅关系清楚。</x:v>
      </x:c>
      <x:c r="H18" s="32" t="str">
        <x:v>梦舟A｜三座满员／对接前</x:v>
      </x:c>
      <x:c r="I18" s="110" t="str">
        <x:v>A｜航天器／宇航服／月面真实任务机位推演</x:v>
      </x:c>
      <x:c r="J18" s="32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-006-舱内操作界面与任务屏;BY-REL-P0-009-梦舟三座返航承载与环月工作位;BY-REL-P1-007-摄影来源证据层级;BY-SCN-P0-001-梦舟舱内三座布局;BY-SCN-P0-005-梦舟环月工作位;BY-VEH-P0-001-梦舟载人飞船</x:v>
      </x:c>
      <x:c r="K18" s="32" t="str">
        <x:v>BY-VOI-P0-001-杨凛声音;BY-VOI-P0-003-刘定槎声音</x:v>
      </x:c>
      <x:c r="L18" s="32" t="str">
        <x:v>BY-REL-P1-003-声音来源真实性;BY-SND-P0-001-舱内生命保障与设备底噪</x:v>
      </x:c>
      <x:c r="M18" s="32" t="str"/>
      <x:c r="N18" s="32" t="str">
        <x:v>阶段1映射完成｜阶段2B按镜头状态调用</x:v>
      </x:c>
      <x:c r="O18" s="32" t="str">
        <x:v>对话克制，不使用煽情告别。</x:v>
      </x:c>
    </x:row>
    <x:row r="19" ht="62" customHeight="1">
      <x:c r="A19" s="110" t="n">
        <x:v>18</x:v>
      </x:c>
      <x:c r="B19" s="110" t="n">
        <x:v>3</x:v>
      </x:c>
      <x:c r="C19" s="110" t="str">
        <x:v>人员转移与直播一结束</x:v>
      </x:c>
      <x:c r="D19" s="110" t="str">
        <x:v>00:02:14–00:02:21</x:v>
      </x:c>
      <x:c r="E19" s="110" t="n">
        <x:v>7</x:v>
      </x:c>
      <x:c r="F19" s="32" t="str">
        <x:v>通道固定机位</x:v>
      </x:c>
      <x:c r="G19" s="32" t="str">
        <x:v>杨凛、陈砚依次进入揽月，刘定槎执行人数清点并关闭转移清单。</x:v>
      </x:c>
      <x:c r="H19" s="32" t="str">
        <x:v>常规任务状态</x:v>
      </x:c>
      <x:c r="I19" s="110" t="str">
        <x:v>A｜航天器／宇航服／月面真实任务机位推演</x:v>
      </x:c>
      <x:c r="J19" s="32" t="str">
        <x:v>BY-CHR-P0-001-杨凛;BY-CHR-P0-002-陈砚;BY-CHR-P0-003-刘定槎;BY-CST-P0-001-杨凛舱内飞行服;BY-CST-P0-002-陈砚舱内飞行服;BY-CST-P0-003-刘定槎舱内飞行服;BY-PRP-P1-005-两器舱门与对接锁止结果件;BY-REL-P0-005-揽月构型状态链;BY-REL-P0-010-梦舟轴向转移顺序;BY-REL-P1-002-两侧舱门顺序;BY-REL-P1-007-摄影来源证据层级;BY-SCN-P0-002-梦舟对接通道与舱门区;BY-VEH-P0-002-揽月完整构型;BY-VEH-P0-003-揽月登月舱</x:v>
      </x:c>
      <x:c r="K19" s="32" t="str">
        <x:v>BY-VOI-P0-003-刘定槎声音</x:v>
      </x:c>
      <x:c r="L19" s="32" t="str">
        <x:v>BY-REL-P1-003-声音来源真实性;BY-SND-P1-001-舱门对接机构结构传导</x:v>
      </x:c>
      <x:c r="M19" s="32" t="str"/>
      <x:c r="N19" s="32" t="str">
        <x:v>阶段1映射完成｜阶段2B按镜头状态调用</x:v>
      </x:c>
      <x:c r="O19" s="32" t="str">
        <x:v>人员关系正式完成切换。</x:v>
      </x:c>
    </x:row>
    <x:row r="20" ht="62" customHeight="1">
      <x:c r="A20" s="110" t="n">
        <x:v>19</x:v>
      </x:c>
      <x:c r="B20" s="110" t="n">
        <x:v>3</x:v>
      </x:c>
      <x:c r="C20" s="110" t="str">
        <x:v>人员转移与直播一结束</x:v>
      </x:c>
      <x:c r="D20" s="110" t="str">
        <x:v>00:02:21–00:02:27</x:v>
      </x:c>
      <x:c r="E20" s="110" t="n">
        <x:v>6</x:v>
      </x:c>
      <x:c r="F20" s="32" t="str">
        <x:v>梦舟返回舱后向广角</x:v>
      </x:c>
      <x:c r="G20" s="32" t="str">
        <x:v>刘定槎独自坐回工作位，左右两张座椅空置并锁定；他抬眼确认两器组合体状态。</x:v>
      </x:c>
      <x:c r="H20" s="32" t="str">
        <x:v>梦舟B｜刘定槎值守／两座空置锁定</x:v>
      </x:c>
      <x:c r="I20" s="110" t="str">
        <x:v>A｜航天器／宇航服／月面真实任务机位推演</x:v>
      </x:c>
      <x:c r="J20" s="32" t="str">
        <x:v>BY-ANM-P0-001-梦舟四种乘员状态;BY-CHR-P0-003-刘定槎;BY-CST-P0-003-刘定槎舱内飞行服;BY-LGT-P0-001-梦舟舱内任务光;BY-PRP-P0-001-梦舟三座椅与束缚系统;BY-PRP-P1-006-舱内操作界面与任务屏;BY-REL-P0-009-梦舟三座返航承载与环月工作位;BY-REL-P1-007-摄影来源证据层级;BY-SCN-P0-001-梦舟舱内三座布局;BY-SCN-P0-005-梦舟环月工作位;BY-VEH-P0-001-梦舟载人飞船</x:v>
      </x:c>
      <x:c r="K20" s="32" t="str"/>
      <x:c r="L20" s="32" t="str">
        <x:v>BY-REL-P1-003-声音来源真实性;BY-SND-P0-001-舱内生命保障与设备底噪</x:v>
      </x:c>
      <x:c r="M20" s="32" t="str"/>
      <x:c r="N20" s="32" t="str">
        <x:v>阶段1映射完成｜阶段2B按镜头状态调用</x:v>
      </x:c>
      <x:c r="O20" s="32" t="str">
        <x:v>第二次建立两张空座的视觉母题。</x:v>
      </x:c>
    </x:row>
    <x:row r="21" ht="62" customHeight="1">
      <x:c r="A21" s="110" t="n">
        <x:v>20</x:v>
      </x:c>
      <x:c r="B21" s="110" t="n">
        <x:v>3</x:v>
      </x:c>
      <x:c r="C21" s="110" t="str">
        <x:v>人员转移与直播一结束</x:v>
      </x:c>
      <x:c r="D21" s="110" t="str">
        <x:v>00:02:27–00:02:45</x:v>
      </x:c>
      <x:c r="E21" s="110" t="n">
        <x:v>18</x:v>
      </x:c>
      <x:c r="F21" s="32" t="str">
        <x:v>媒体区双人中景</x:v>
      </x:c>
      <x:c r="G21" s="32" t="str">
        <x:v>林知夏与何文澜站在任务大屏前，屏上标注：48小时准备期。</x:v>
      </x:c>
      <x:c r="H21" s="32" t="str">
        <x:v>常规任务状态</x:v>
      </x:c>
      <x:c r="I21" s="110" t="str">
        <x:v>B｜地面直播／测控任务机位</x:v>
      </x:c>
      <x:c r="J21" s="32" t="str">
        <x:v>BY-CHR-P1-002-林知夏;BY-CHR-P1-004-何文澜;BY-CST-P1-004-林知夏记者服装;BY-CST-P1-006-何文澜专家服装;BY-LGT-P1-008-飞控媒体区直播光;BY-REL-P1-007-摄影来源证据层级;BY-REL-P1-008-三段直播结构链;BY-SCN-P1-003-飞控中心媒体区</x:v>
      </x:c>
      <x:c r="K21" s="32" t="str">
        <x:v>BY-VOI-P1-002-林知夏声音;BY-VOI-P1-012-何文澜声音</x:v>
      </x:c>
      <x:c r="L21" s="32" t="str">
        <x:v>BY-REL-P1-003-声音来源真实性;BY-SND-P1-003-发动机舱内结构振动;BY-SND-P1-009-媒体区直播现场声</x:v>
      </x:c>
      <x:c r="M21" s="32" t="str">
        <x:v>BY-SYM-P1-007-直播进口出口与倒计时</x:v>
      </x:c>
      <x:c r="N21" s="32" t="str">
        <x:v>阶段1映射完成｜阶段2B按镜头状态调用</x:v>
      </x:c>
      <x:c r="O21" s="32" t="str">
        <x:v>采访允许自然停顿和眼神反应；不覆盖任务关键动作。</x:v>
      </x:c>
    </x:row>
    <x:row r="22" ht="62" customHeight="1">
      <x:c r="A22" s="110" t="n">
        <x:v>21</x:v>
      </x:c>
      <x:c r="B22" s="110" t="n">
        <x:v>3</x:v>
      </x:c>
      <x:c r="C22" s="110" t="str">
        <x:v>人员转移与直播一结束</x:v>
      </x:c>
      <x:c r="D22" s="110" t="str">
        <x:v>00:02:45–00:02:53</x:v>
      </x:c>
      <x:c r="E22" s="110" t="n">
        <x:v>8</x:v>
      </x:c>
      <x:c r="F22" s="32" t="str">
        <x:v>揽月舱内准备蒙太奇</x:v>
      </x:c>
      <x:c r="G22" s="32" t="str">
        <x:v>两人固定物品、检查登月服接口、核对下降清单并轮换休息。</x:v>
      </x:c>
      <x:c r="H22" s="32" t="str">
        <x:v>常规任务状态</x:v>
      </x:c>
      <x:c r="I22" s="110" t="str">
        <x:v>A｜航天器／宇航服／月面真实任务机位推演</x:v>
      </x:c>
      <x:c r="J22" s="32" t="str">
        <x:v>BY-ANM-P0-002-揽月下降出舱起飞链;BY-CHR-P0-001-杨凛;BY-CHR-P0-002-陈砚;BY-LGT-P0-002-揽月下降任务光;BY-LGT-P0-004-月面艺术化任务日光;BY-PRP-P1-006-舱内操作界面与任务屏;BY-REL-P0-005-揽月构型状态链;BY-REL-P0-012-月面艺术化光照与声明;BY-REL-P1-001-月面空间总图;BY-REL-P1-007-摄影来源证据层级;BY-SCN-P0-003-揽月登月舱舱内;BY-SCN-P0-004-月面着陆与作业区;BY-VEH-P0-002-揽月完整构型;BY-VEH-P0-003-揽月登月舱</x:v>
      </x:c>
      <x:c r="K22" s="32" t="str">
        <x:v>BY-VOI-P1-012-何文澜声音</x:v>
      </x:c>
      <x:c r="L22" s="32" t="str">
        <x:v>BY-REL-P1-003-声音来源真实性;BY-SND-P0-001-舱内生命保障与设备底噪;BY-SND-P1-003-发动机舱内结构振动</x:v>
      </x:c>
      <x:c r="M22" s="32" t="str"/>
      <x:c r="N22" s="32" t="str">
        <x:v>阶段1映射完成｜阶段2B按镜头状态调用</x:v>
      </x:c>
      <x:c r="O22" s="32" t="str">
        <x:v>不虚构未公开舱压和预呼吸参数。</x:v>
      </x:c>
    </x:row>
    <x:row r="23" ht="62" customHeight="1">
      <x:c r="A23" s="110" t="n">
        <x:v>22</x:v>
      </x:c>
      <x:c r="B23" s="110" t="n">
        <x:v>3</x:v>
      </x:c>
      <x:c r="C23" s="110" t="str">
        <x:v>人员转移与直播一结束</x:v>
      </x:c>
      <x:c r="D23" s="110" t="str">
        <x:v>00:02:53–00:03:00</x:v>
      </x:c>
      <x:c r="E23" s="110" t="n">
        <x:v>7</x:v>
      </x:c>
      <x:c r="F23" s="32" t="str">
        <x:v>媒体区收束</x:v>
      </x:c>
      <x:c r="G23" s="32" t="str">
        <x:v>林知夏转向镜头，身后画面停在组合体环月飞行。</x:v>
      </x:c>
      <x:c r="H23" s="32" t="str">
        <x:v>常规任务状态</x:v>
      </x:c>
      <x:c r="I23" s="110" t="str">
        <x:v>B｜地面直播／测控任务机位</x:v>
      </x:c>
      <x:c r="J23" s="32" t="str">
        <x:v>BY-CHR-P1-002-林知夏;BY-CST-P1-004-林知夏记者服装;BY-LGT-P1-004-环月轨道太阳光;BY-LGT-P1-008-飞控媒体区直播光;BY-REL-P1-007-摄影来源证据层级;BY-REL-P1-008-三段直播结构链;BY-REL-P1-010-地月视觉尺度连续性;BY-SCN-P1-003-飞控中心媒体区;BY-SCN-P1-006-环月轨道外部环境</x:v>
      </x:c>
      <x:c r="K23" s="32" t="str">
        <x:v>BY-VOI-P1-002-林知夏声音</x:v>
      </x:c>
      <x:c r="L23" s="32" t="str">
        <x:v>BY-REL-P1-003-声音来源真实性;BY-SND-P1-003-发动机舱内结构振动;BY-SND-P1-009-媒体区直播现场声</x:v>
      </x:c>
      <x:c r="M23" s="32" t="str">
        <x:v>BY-SYM-P1-007-直播进口出口与倒计时</x:v>
      </x:c>
      <x:c r="N23" s="32" t="str">
        <x:v>阶段1映射完成｜阶段2B按镜头状态调用</x:v>
      </x:c>
      <x:c r="O23" s="32" t="str">
        <x:v>形成明确直播出口。</x:v>
      </x:c>
    </x:row>
    <x:row r="24" ht="62" customHeight="1">
      <x:c r="A24" s="110" t="n">
        <x:v>23</x:v>
      </x:c>
      <x:c r="B24" s="110" t="n">
        <x:v>4</x:v>
      </x:c>
      <x:c r="C24" s="110" t="str">
        <x:v>时间跨越</x:v>
      </x:c>
      <x:c r="D24" s="110" t="str">
        <x:v>00:03:00–00:03:12</x:v>
      </x:c>
      <x:c r="E24" s="110" t="n">
        <x:v>12</x:v>
      </x:c>
      <x:c r="F24" s="32" t="str">
        <x:v>月轨组合体远景／后期字幕</x:v>
      </x:c>
      <x:c r="G24" s="32" t="str">
        <x:v>梦舟—揽月组合体从月球明暗交界上方掠过。字幕：2029年4月8日；对接后48小时；揽月下降准备完成。</x:v>
      </x:c>
      <x:c r="H24" s="32" t="str">
        <x:v>常规任务状态</x:v>
      </x:c>
      <x:c r="I24" s="110" t="str">
        <x:v>C｜显式遥测视觉重建</x:v>
      </x:c>
      <x:c r="J24" s="32" t="str">
        <x:v>BY-LGT-P0-004-月面艺术化任务日光;BY-LGT-P1-004-环月轨道太阳光;BY-PRP-P1-005-两器舱门与对接锁止结果件;BY-REL-P0-005-揽月构型状态链;BY-REL-P0-010-梦舟轴向转移顺序;BY-REL-P0-012-月面艺术化光照与声明;BY-REL-P1-001-月面空间总图;BY-REL-P1-002-两侧舱门顺序;BY-REL-P1-007-摄影来源证据层级;BY-REL-P1-010-地月视觉尺度连续性;BY-SCN-P0-002-梦舟对接通道与舱门区;BY-SCN-P0-004-月面着陆与作业区;BY-SCN-P1-006-环月轨道外部环境;BY-VEH-P0-001-梦舟载人飞船;BY-VEH-P0-002-揽月完整构型;BY-VEH-P0-003-揽月登月舱;BY-VFX-P1-002-环月轨道交会与对接;BY-VFX-P1-008-遥测视觉重建合成</x:v>
      </x:c>
      <x:c r="K24" s="32" t="str"/>
      <x:c r="L24" s="32" t="str">
        <x:v>BY-REL-P1-003-声音来源真实性;BY-SND-P1-001-舱门对接机构结构传导;BY-SND-P1-003-发动机舱内结构振动</x:v>
      </x:c>
      <x:c r="M24" s="32" t="str">
        <x:v>BY-SYM-P1-003-任务阶段与时间跳跃标牌;BY-SYM-P1-006-视觉重建来源标识</x:v>
      </x:c>
      <x:c r="N24" s="32" t="str">
        <x:v>阶段1映射完成｜阶段2B按镜头状态调用</x:v>
      </x:c>
      <x:c r="O24" s="32" t="str">
        <x:v>明确时间跨越，不标注现场直播；外景属于视觉重建。</x:v>
      </x:c>
    </x:row>
    <x:row r="25" ht="62" customHeight="1">
      <x:c r="A25" s="110" t="n">
        <x:v>24</x:v>
      </x:c>
      <x:c r="B25" s="110" t="n">
        <x:v>5</x:v>
      </x:c>
      <x:c r="C25" s="110" t="str">
        <x:v>直播二开场：揽月脱离</x:v>
      </x:c>
      <x:c r="D25" s="110" t="str">
        <x:v>00:03:12–00:03:20</x:v>
      </x:c>
      <x:c r="E25" s="110" t="n">
        <x:v>8</x:v>
      </x:c>
      <x:c r="F25" s="32" t="str">
        <x:v>揽月舱内双人中景</x:v>
      </x:c>
      <x:c r="G25" s="32" t="str">
        <x:v>杨凛和陈砚穿舱内压力服固定，关闭下降前最后几项清单。</x:v>
      </x:c>
      <x:c r="H25" s="32" t="str">
        <x:v>常规任务状态</x:v>
      </x:c>
      <x:c r="I25" s="110" t="str">
        <x:v>A｜航天器／宇航服／月面真实任务机位推演</x:v>
      </x:c>
      <x:c r="J25" s="32" t="str">
        <x:v>BY-ANM-P0-002-揽月下降出舱起飞链;BY-CHR-P0-001-杨凛;BY-CHR-P0-002-陈砚;BY-CST-P0-001-杨凛舱内飞行服;BY-CST-P0-002-陈砚舱内飞行服;BY-LGT-P0-002-揽月下降任务光;BY-LGT-P0-004-月面艺术化任务日光;BY-PRP-P1-006-舱内操作界面与任务屏;BY-REL-P0-005-揽月构型状态链;BY-REL-P0-012-月面艺术化光照与声明;BY-REL-P1-001-月面空间总图;BY-REL-P1-007-摄影来源证据层级;BY-SCN-P0-003-揽月登月舱舱内;BY-SCN-P0-004-月面着陆与作业区;BY-VEH-P0-002-揽月完整构型;BY-VEH-P0-003-揽月登月舱</x:v>
      </x:c>
      <x:c r="K25" s="32" t="str">
        <x:v>BY-VOI-P0-001-杨凛声音;BY-VOI-P0-002-陈砚声音</x:v>
      </x:c>
      <x:c r="L25" s="32" t="str">
        <x:v>BY-REL-P1-003-声音来源真实性;BY-SND-P0-001-舱内生命保障与设备底噪;BY-SND-P1-003-发动机舱内结构振动</x:v>
      </x:c>
      <x:c r="M25" s="32" t="str"/>
      <x:c r="N25" s="32" t="str">
        <x:v>阶段1映射完成｜阶段2B按镜头状态调用</x:v>
      </x:c>
      <x:c r="O25" s="32" t="str">
        <x:v>舱内不出现宽阔走动空间。</x:v>
      </x:c>
    </x:row>
    <x:row r="26" ht="62" customHeight="1">
      <x:c r="A26" s="110" t="n">
        <x:v>25</x:v>
      </x:c>
      <x:c r="B26" s="110" t="n">
        <x:v>5</x:v>
      </x:c>
      <x:c r="C26" s="110" t="str">
        <x:v>直播二开场：揽月脱离</x:v>
      </x:c>
      <x:c r="D26" s="110" t="str">
        <x:v>00:03:20–00:03:27</x:v>
      </x:c>
      <x:c r="E26" s="110" t="n">
        <x:v>7</x:v>
      </x:c>
      <x:c r="F26" s="32" t="str">
        <x:v>梦舟工作位</x:v>
      </x:c>
      <x:c r="G26" s="32" t="str">
        <x:v>刘定槎独自在中央工作位，左右两张空座椅保持锁定；他交叉核对揽月遥测和梦舟待机轨道。</x:v>
      </x:c>
      <x:c r="H26" s="32" t="str">
        <x:v>梦舟B｜刘定槎值守／两座空置锁定</x:v>
      </x:c>
      <x:c r="I26" s="110" t="str">
        <x:v>A｜航天器／宇航服／月面真实任务机位推演</x:v>
      </x:c>
      <x:c r="J26" s="32" t="str">
        <x:v>BY-ANM-P0-001-梦舟四种乘员状态;BY-CHR-P0-003-刘定槎;BY-CST-P0-003-刘定槎舱内飞行服;BY-LGT-P0-001-梦舟舱内任务光;BY-PRP-P0-001-梦舟三座椅与束缚系统;BY-PRP-P1-006-舱内操作界面与任务屏;BY-REL-P0-005-揽月构型状态链;BY-REL-P0-009-梦舟三座返航承载与环月工作位;BY-REL-P1-007-摄影来源证据层级;BY-SCN-P0-001-梦舟舱内三座布局;BY-SCN-P0-005-梦舟环月工作位;BY-VEH-P0-001-梦舟载人飞船;BY-VEH-P0-002-揽月完整构型;BY-VEH-P0-003-揽月登月舱</x:v>
      </x:c>
      <x:c r="K26" s="32" t="str">
        <x:v>BY-VOI-P0-003-刘定槎声音</x:v>
      </x:c>
      <x:c r="L26" s="32" t="str">
        <x:v>BY-REL-P1-003-声音来源真实性;BY-SND-P0-001-舱内生命保障与设备底噪</x:v>
      </x:c>
      <x:c r="M26" s="32" t="str"/>
      <x:c r="N26" s="32" t="str">
        <x:v>阶段1映射完成｜阶段2B按镜头状态调用</x:v>
      </x:c>
      <x:c r="O26" s="32" t="str">
        <x:v>延续两张空座母题。</x:v>
      </x:c>
    </x:row>
    <x:row r="27" ht="62" customHeight="1">
      <x:c r="A27" s="110" t="n">
        <x:v>26</x:v>
      </x:c>
      <x:c r="B27" s="110" t="n">
        <x:v>5</x:v>
      </x:c>
      <x:c r="C27" s="110" t="str">
        <x:v>直播二开场：揽月脱离</x:v>
      </x:c>
      <x:c r="D27" s="110" t="str">
        <x:v>00:03:27–00:03:35</x:v>
      </x:c>
      <x:c r="E27" s="110" t="n">
        <x:v>8</x:v>
      </x:c>
      <x:c r="F27" s="32" t="str">
        <x:v>飞控大厅多席位</x:v>
      </x:c>
      <x:c r="G27" s="32" t="str">
        <x:v>飞行主任依次接收轨道、揽月系统、通信、航天员系统和应急返回状态。</x:v>
      </x:c>
      <x:c r="H27" s="32" t="str">
        <x:v>常规任务状态</x:v>
      </x:c>
      <x:c r="I27" s="110" t="str">
        <x:v>B｜地面直播／测控任务机位</x:v>
      </x:c>
      <x:c r="J27" s="32" t="str">
        <x:v>BY-CRO-P1-001-北京飞控任务团队;BY-LGT-P1-003-飞控大厅任务光;BY-REL-P0-005-揽月构型状态链;BY-REL-P1-007-摄影来源证据层级;BY-SCN-P0-006-北京飞控大厅与任务主屏;BY-VEH-P0-002-揽月完整构型;BY-VEH-P0-003-揽月登月舱</x:v>
      </x:c>
      <x:c r="K27" s="32" t="str">
        <x:v>BY-VOI-P1-004-北京飞控主调度声音</x:v>
      </x:c>
      <x:c r="L27" s="32" t="str">
        <x:v>BY-REL-P1-003-声音来源真实性;BY-SND-P1-008-飞控与测控大厅底噪</x:v>
      </x:c>
      <x:c r="M27" s="32" t="str"/>
      <x:c r="N27" s="32" t="str">
        <x:v>阶段1映射完成｜阶段2B按镜头状态调用</x:v>
      </x:c>
      <x:c r="O27" s="32" t="str">
        <x:v>重复确认压缩为一次关键闭合。</x:v>
      </x:c>
    </x:row>
    <x:row r="28" ht="62" customHeight="1">
      <x:c r="A28" s="110" t="n">
        <x:v>27</x:v>
      </x:c>
      <x:c r="B28" s="110" t="n">
        <x:v>5</x:v>
      </x:c>
      <x:c r="C28" s="110" t="str">
        <x:v>直播二开场：揽月脱离</x:v>
      </x:c>
      <x:c r="D28" s="110" t="str">
        <x:v>00:03:35–00:03:47</x:v>
      </x:c>
      <x:c r="E28" s="110" t="n">
        <x:v>12</x:v>
      </x:c>
      <x:c r="F28" s="32" t="str">
        <x:v>媒体区直播中景</x:v>
      </x:c>
      <x:c r="G28" s="32" t="str">
        <x:v>林知夏面向镜头，身后大屏显示双器组合体与下降轨迹。</x:v>
      </x:c>
      <x:c r="H28" s="32" t="str">
        <x:v>常规任务状态</x:v>
      </x:c>
      <x:c r="I28" s="110" t="str">
        <x:v>B｜地面直播／测控任务机位</x:v>
      </x:c>
      <x:c r="J28" s="32" t="str">
        <x:v>BY-CHR-P1-002-林知夏;BY-CST-P1-004-林知夏记者服装;BY-LGT-P0-004-月面艺术化任务日光;BY-LGT-P1-008-飞控媒体区直播光;BY-REL-P0-012-月面艺术化光照与声明;BY-REL-P1-001-月面空间总图;BY-REL-P1-007-摄影来源证据层级;BY-REL-P1-008-三段直播结构链;BY-SCN-P0-004-月面着陆与作业区;BY-SCN-P1-003-飞控中心媒体区</x:v>
      </x:c>
      <x:c r="K28" s="32" t="str">
        <x:v>BY-VOI-P1-002-林知夏声音</x:v>
      </x:c>
      <x:c r="L28" s="32" t="str">
        <x:v>BY-REL-P1-003-声音来源真实性;BY-SND-P1-003-发动机舱内结构振动;BY-SND-P1-009-媒体区直播现场声</x:v>
      </x:c>
      <x:c r="M28" s="32" t="str">
        <x:v>BY-SYM-P1-004-任务轨迹与相位图模板;BY-SYM-P1-007-直播进口出口与倒计时</x:v>
      </x:c>
      <x:c r="N28" s="32" t="str">
        <x:v>阶段1映射完成｜阶段2B按镜头状态调用</x:v>
      </x:c>
      <x:c r="O28" s="32" t="str">
        <x:v>台词以自然播报速度完成；记者只做事件前解释。</x:v>
      </x:c>
    </x:row>
    <x:row r="29" ht="62" customHeight="1">
      <x:c r="A29" s="110" t="n">
        <x:v>28</x:v>
      </x:c>
      <x:c r="B29" s="110" t="n">
        <x:v>5</x:v>
      </x:c>
      <x:c r="C29" s="110" t="str">
        <x:v>直播二开场：揽月脱离</x:v>
      </x:c>
      <x:c r="D29" s="110" t="str">
        <x:v>00:03:47–00:03:54</x:v>
      </x:c>
      <x:c r="E29" s="110" t="n">
        <x:v>7</x:v>
      </x:c>
      <x:c r="F29" s="32" t="str">
        <x:v>对接口监视相机</x:v>
      </x:c>
      <x:c r="G29" s="32" t="str">
        <x:v>锁紧解除，视场中的对接目标沿安全轴线缓慢退出。</x:v>
      </x:c>
      <x:c r="H29" s="32" t="str">
        <x:v>常规任务状态</x:v>
      </x:c>
      <x:c r="I29" s="110" t="str">
        <x:v>A｜航天器／宇航服／月面真实任务机位推演</x:v>
      </x:c>
      <x:c r="J29" s="32" t="str">
        <x:v>BY-PRP-P1-005-两器舱门与对接锁止结果件;BY-PRP-P1-015-航天器任务相机组;BY-REL-P1-007-摄影来源证据层级;BY-VFX-P1-002-环月轨道交会与对接</x:v>
      </x:c>
      <x:c r="K29" s="32" t="str">
        <x:v>BY-VOI-P0-001-杨凛声音;BY-VOI-P0-003-刘定槎声音</x:v>
      </x:c>
      <x:c r="L29" s="32" t="str">
        <x:v>BY-REL-P1-003-声音来源真实性;BY-SND-P1-001-舱门对接机构结构传导</x:v>
      </x:c>
      <x:c r="M29" s="32" t="str"/>
      <x:c r="N29" s="32" t="str">
        <x:v>阶段1映射完成｜阶段2B按镜头状态调用</x:v>
      </x:c>
      <x:c r="O29" s="32" t="str">
        <x:v>任务证据视角。</x:v>
      </x:c>
    </x:row>
    <x:row r="30" ht="62" customHeight="1">
      <x:c r="A30" s="110" t="n">
        <x:v>29</x:v>
      </x:c>
      <x:c r="B30" s="110" t="n">
        <x:v>5</x:v>
      </x:c>
      <x:c r="C30" s="110" t="str">
        <x:v>直播二开场：揽月脱离</x:v>
      </x:c>
      <x:c r="D30" s="110" t="str">
        <x:v>00:03:54–00:04:04</x:v>
      </x:c>
      <x:c r="E30" s="110" t="n">
        <x:v>10</x:v>
      </x:c>
      <x:c r="F30" s="32" t="str">
        <x:v>月轨双器全景／视觉重建</x:v>
      </x:c>
      <x:c r="G30" s="32" t="str">
        <x:v>揽月与梦舟拉开距离，画面角落标注：基于实时遥测的视觉重建。</x:v>
      </x:c>
      <x:c r="H30" s="32" t="str">
        <x:v>遥测视觉重建｜角标常驻</x:v>
      </x:c>
      <x:c r="I30" s="110" t="str">
        <x:v>C｜显式遥测视觉重建</x:v>
      </x:c>
      <x:c r="J30" s="32" t="str">
        <x:v>BY-LGT-P1-004-环月轨道太阳光;BY-REL-P0-005-揽月构型状态链;BY-REL-P1-007-摄影来源证据层级;BY-REL-P1-010-地月视觉尺度连续性;BY-SCN-P1-006-环月轨道外部环境;BY-VEH-P0-001-梦舟载人飞船;BY-VEH-P0-002-揽月完整构型;BY-VEH-P0-003-揽月登月舱;BY-VFX-P1-008-遥测视觉重建合成</x:v>
      </x:c>
      <x:c r="K30" s="32" t="str"/>
      <x:c r="L30" s="32" t="str">
        <x:v>BY-REL-P1-003-声音来源真实性</x:v>
      </x:c>
      <x:c r="M30" s="32" t="str">
        <x:v>BY-SYM-P1-006-视觉重建来源标识</x:v>
      </x:c>
      <x:c r="N30" s="32" t="str">
        <x:v>阶段1映射完成｜阶段2B按镜头状态调用</x:v>
      </x:c>
      <x:c r="O30" s="32" t="str">
        <x:v>本片第一次以第三视角明确展示两器分离的空间尺度。</x:v>
      </x:c>
    </x:row>
    <x:row r="31" ht="62" customHeight="1">
      <x:c r="A31" s="110" t="n">
        <x:v>30</x:v>
      </x:c>
      <x:c r="B31" s="110" t="n">
        <x:v>5</x:v>
      </x:c>
      <x:c r="C31" s="110" t="str">
        <x:v>直播二开场：揽月脱离</x:v>
      </x:c>
      <x:c r="D31" s="110" t="str">
        <x:v>00:04:04–00:04:09</x:v>
      </x:c>
      <x:c r="E31" s="110" t="n">
        <x:v>5</x:v>
      </x:c>
      <x:c r="F31" s="32" t="str">
        <x:v>梦舟与揽月舱内交叉</x:v>
      </x:c>
      <x:c r="G31" s="32" t="str">
        <x:v>刘定槎确认安全距离；杨凛和陈砚确认下降序列已接通。</x:v>
      </x:c>
      <x:c r="H31" s="32" t="str">
        <x:v>常规任务状态</x:v>
      </x:c>
      <x:c r="I31" s="110" t="str">
        <x:v>A｜航天器／宇航服／月面真实任务机位推演</x:v>
      </x:c>
      <x:c r="J31" s="32" t="str">
        <x:v>BY-ANM-P0-002-揽月下降出舱起飞链;BY-CHR-P0-001-杨凛;BY-CHR-P0-002-陈砚;BY-CHR-P0-003-刘定槎;BY-CST-P0-001-杨凛舱内飞行服;BY-CST-P0-002-陈砚舱内飞行服;BY-CST-P0-003-刘定槎舱内飞行服;BY-LGT-P0-002-揽月下降任务光;BY-LGT-P0-004-月面艺术化任务日光;BY-PRP-P1-006-舱内操作界面与任务屏;BY-REL-P0-005-揽月构型状态链;BY-REL-P0-012-月面艺术化光照与声明;BY-REL-P1-001-月面空间总图;BY-REL-P1-007-摄影来源证据层级;BY-SCN-P0-003-揽月登月舱舱内;BY-SCN-P0-004-月面着陆与作业区;BY-VEH-P0-001-梦舟载人飞船;BY-VEH-P0-002-揽月完整构型;BY-VEH-P0-003-揽月登月舱</x:v>
      </x:c>
      <x:c r="K31" s="32" t="str">
        <x:v>BY-VOI-P0-001-杨凛声音;BY-VOI-P1-004-北京飞控主调度声音</x:v>
      </x:c>
      <x:c r="L31" s="32" t="str">
        <x:v>BY-REL-P1-003-声音来源真实性;BY-SND-P0-001-舱内生命保障与设备底噪;BY-SND-P1-003-发动机舱内结构振动</x:v>
      </x:c>
      <x:c r="M31" s="32" t="str"/>
      <x:c r="N31" s="32" t="str">
        <x:v>阶段1映射完成｜阶段2B按镜头状态调用</x:v>
      </x:c>
      <x:c r="O31" s="32" t="str">
        <x:v>保留双器状态闭合。</x:v>
      </x:c>
    </x:row>
    <x:row r="32" ht="62" customHeight="1">
      <x:c r="A32" s="110" t="n">
        <x:v>31</x:v>
      </x:c>
      <x:c r="B32" s="110" t="n">
        <x:v>5</x:v>
      </x:c>
      <x:c r="C32" s="110" t="str">
        <x:v>直播二开场：揽月脱离</x:v>
      </x:c>
      <x:c r="D32" s="110" t="str">
        <x:v>00:04:09–00:04:14</x:v>
      </x:c>
      <x:c r="E32" s="110" t="n">
        <x:v>5</x:v>
      </x:c>
      <x:c r="F32" s="32" t="str">
        <x:v>月轨远景／视觉重建</x:v>
      </x:c>
      <x:c r="G32" s="32" t="str">
        <x:v>揽月进入下降轨道，梦舟转入环月待机；地球仍是可分辨的蓝白色圆盘。</x:v>
      </x:c>
      <x:c r="H32" s="32" t="str">
        <x:v>遥测视觉重建｜角标常驻</x:v>
      </x:c>
      <x:c r="I32" s="110" t="str">
        <x:v>C｜显式遥测视觉重建</x:v>
      </x:c>
      <x:c r="J32" s="32" t="str">
        <x:v>BY-LGT-P0-004-月面艺术化任务日光;BY-LGT-P1-004-环月轨道太阳光;BY-REL-P0-005-揽月构型状态链;BY-REL-P0-012-月面艺术化光照与声明;BY-REL-P1-001-月面空间总图;BY-REL-P1-007-摄影来源证据层级;BY-REL-P1-010-地月视觉尺度连续性;BY-SCN-P0-004-月面着陆与作业区;BY-SCN-P1-006-环月轨道外部环境;BY-VEH-P0-001-梦舟载人飞船;BY-VEH-P0-002-揽月完整构型;BY-VEH-P0-003-揽月登月舱;BY-VFX-P1-008-遥测视觉重建合成</x:v>
      </x:c>
      <x:c r="K32" s="32" t="str"/>
      <x:c r="L32" s="32" t="str">
        <x:v>BY-REL-P1-003-声音来源真实性;BY-SND-P1-003-发动机舱内结构振动</x:v>
      </x:c>
      <x:c r="M32" s="32" t="str">
        <x:v>BY-SYM-P1-006-视觉重建来源标识</x:v>
      </x:c>
      <x:c r="N32" s="32" t="str">
        <x:v>阶段1映射完成｜阶段2B按镜头状态调用</x:v>
      </x:c>
      <x:c r="O32" s="32" t="str">
        <x:v>不出现鹊桥或天链作为主链路。</x:v>
      </x:c>
    </x:row>
    <x:row r="33" ht="62" customHeight="1">
      <x:c r="A33" s="110" t="n">
        <x:v>32</x:v>
      </x:c>
      <x:c r="B33" s="110" t="n">
        <x:v>6</x:v>
      </x:c>
      <x:c r="C33" s="110" t="str">
        <x:v>动力下降</x:v>
      </x:c>
      <x:c r="D33" s="110" t="str">
        <x:v>00:04:14–00:04:22</x:v>
      </x:c>
      <x:c r="E33" s="110" t="n">
        <x:v>8</x:v>
      </x:c>
      <x:c r="F33" s="32" t="str">
        <x:v>揽月外部固定机位</x:v>
      </x:c>
      <x:c r="G33" s="32" t="str">
        <x:v>月面地形在画面下方缓慢移动，推进舱完成主要制动并按推演方案分离，揽月调整为动力下降姿态。</x:v>
      </x:c>
      <x:c r="H33" s="32" t="str">
        <x:v>月面相机部署前｜不得使用便携相机第三视角</x:v>
      </x:c>
      <x:c r="I33" s="110" t="str">
        <x:v>A｜航天器／宇航服／月面真实任务机位推演</x:v>
      </x:c>
      <x:c r="J33" s="32" t="str">
        <x:v>BY-LGT-P0-004-月面艺术化任务日光;BY-PRP-P1-015-航天器任务相机组;BY-REL-P0-005-揽月构型状态链;BY-REL-P0-012-月面艺术化光照与声明;BY-REL-P1-001-月面空间总图;BY-REL-P1-007-摄影来源证据层级;BY-SCN-P0-004-月面着陆与作业区;BY-VEH-P0-002-揽月完整构型;BY-VEH-P0-003-揽月登月舱;BY-VEH-P1-003-揽月推进舱分离状态</x:v>
      </x:c>
      <x:c r="K33" s="32" t="str">
        <x:v>BY-VOI-P0-001-杨凛声音</x:v>
      </x:c>
      <x:c r="L33" s="32" t="str">
        <x:v>BY-REL-P1-003-声音来源真实性;BY-SND-P1-003-发动机舱内结构振动</x:v>
      </x:c>
      <x:c r="M33" s="32" t="str"/>
      <x:c r="N33" s="32" t="str">
        <x:v>阶段1映射完成｜阶段2B按镜头状态调用</x:v>
      </x:c>
      <x:c r="O33" s="32" t="str">
        <x:v>任务证据视角；具体分离时机属于艺术推演。</x:v>
      </x:c>
    </x:row>
    <x:row r="34" ht="62" customHeight="1">
      <x:c r="A34" s="110" t="n">
        <x:v>33</x:v>
      </x:c>
      <x:c r="B34" s="110" t="n">
        <x:v>6</x:v>
      </x:c>
      <x:c r="C34" s="110" t="str">
        <x:v>动力下降</x:v>
      </x:c>
      <x:c r="D34" s="110" t="str">
        <x:v>00:04:22–00:04:31</x:v>
      </x:c>
      <x:c r="E34" s="110" t="n">
        <x:v>9</x:v>
      </x:c>
      <x:c r="F34" s="32" t="str">
        <x:v>高空侧后全景／视觉重建</x:v>
      </x:c>
      <x:c r="G34" s="32" t="str">
        <x:v>揽月以发动机轴线指向月面的姿态下降，月面曲率与长阴影建立高度；标注：基于实时遥测的视觉重建。</x:v>
      </x:c>
      <x:c r="H34" s="32" t="str">
        <x:v>遥测视觉重建｜角标常驻</x:v>
      </x:c>
      <x:c r="I34" s="110" t="str">
        <x:v>C｜显式遥测视觉重建</x:v>
      </x:c>
      <x:c r="J34" s="32" t="str">
        <x:v>BY-LGT-P0-004-月面艺术化任务日光;BY-REL-P0-005-揽月构型状态链;BY-REL-P0-012-月面艺术化光照与声明;BY-REL-P1-001-月面空间总图;BY-REL-P1-007-摄影来源证据层级;BY-SCN-P0-004-月面着陆与作业区;BY-VEH-P0-003-揽月登月舱;BY-VFX-P1-008-遥测视觉重建合成</x:v>
      </x:c>
      <x:c r="K34" s="32" t="str"/>
      <x:c r="L34" s="32" t="str">
        <x:v>BY-REL-P1-003-声音来源真实性;BY-SND-P1-003-发动机舱内结构振动</x:v>
      </x:c>
      <x:c r="M34" s="32" t="str">
        <x:v>BY-SYM-P1-006-视觉重建来源标识</x:v>
      </x:c>
      <x:c r="N34" s="32" t="str">
        <x:v>阶段1映射完成｜阶段2B按镜头状态调用</x:v>
      </x:c>
      <x:c r="O34" s="32" t="str">
        <x:v>不使用追逐飞船的虚构摄影机运动。</x:v>
      </x:c>
    </x:row>
    <x:row r="35" ht="62" customHeight="1">
      <x:c r="A35" s="110" t="n">
        <x:v>34</x:v>
      </x:c>
      <x:c r="B35" s="110" t="n">
        <x:v>6</x:v>
      </x:c>
      <x:c r="C35" s="110" t="str">
        <x:v>动力下降</x:v>
      </x:c>
      <x:c r="D35" s="110" t="str">
        <x:v>00:04:31–00:04:39</x:v>
      </x:c>
      <x:c r="E35" s="110" t="n">
        <x:v>8</x:v>
      </x:c>
      <x:c r="F35" s="32" t="str">
        <x:v>飞控轨迹屏</x:v>
      </x:c>
      <x:c r="G35" s="32" t="str">
        <x:v>高度、速度、剩余推进剂、落区边界和通信窗口同步变化。</x:v>
      </x:c>
      <x:c r="H35" s="32" t="str">
        <x:v>常规任务状态</x:v>
      </x:c>
      <x:c r="I35" s="110" t="str">
        <x:v>B｜地面直播／测控任务机位</x:v>
      </x:c>
      <x:c r="J35" s="32" t="str">
        <x:v>BY-CRO-P1-001-北京飞控任务团队;BY-LGT-P1-003-飞控大厅任务光;BY-REL-P1-007-摄影来源证据层级;BY-SCN-P0-006-北京飞控大厅与任务主屏</x:v>
      </x:c>
      <x:c r="K35" s="32" t="str">
        <x:v>BY-VOI-P1-004-北京飞控主调度声音;BY-VOI-P1-005-林海深空测控声音</x:v>
      </x:c>
      <x:c r="L35" s="32" t="str">
        <x:v>BY-REL-P1-003-声音来源真实性;BY-SND-P1-008-飞控与测控大厅底噪</x:v>
      </x:c>
      <x:c r="M35" s="32" t="str">
        <x:v>BY-SYM-P1-004-任务轨迹与相位图模板</x:v>
      </x:c>
      <x:c r="N35" s="32" t="str">
        <x:v>阶段1映射完成｜阶段2B按镜头状态调用</x:v>
      </x:c>
      <x:c r="O35" s="32" t="str">
        <x:v>近月链路以深空地面站接力直达为主。</x:v>
      </x:c>
    </x:row>
    <x:row r="36" ht="62" customHeight="1">
      <x:c r="A36" s="110" t="n">
        <x:v>35</x:v>
      </x:c>
      <x:c r="B36" s="110" t="n">
        <x:v>6</x:v>
      </x:c>
      <x:c r="C36" s="110" t="str">
        <x:v>动力下降</x:v>
      </x:c>
      <x:c r="D36" s="110" t="str">
        <x:v>00:04:39–00:04:54</x:v>
      </x:c>
      <x:c r="E36" s="110" t="n">
        <x:v>15</x:v>
      </x:c>
      <x:c r="F36" s="32" t="str">
        <x:v>媒体区专家双人／轨迹示意</x:v>
      </x:c>
      <x:c r="G36" s="32" t="str">
        <x:v>林知夏与孙亦川站在实时轨迹示意屏前；孙亦川先面向记者，再转向轨迹图。</x:v>
      </x:c>
      <x:c r="H36" s="32" t="str">
        <x:v>常规任务状态</x:v>
      </x:c>
      <x:c r="I36" s="110" t="str">
        <x:v>B｜地面直播／测控任务机位</x:v>
      </x:c>
      <x:c r="J36" s="32" t="str">
        <x:v>BY-CHR-P1-002-林知夏;BY-CHR-P1-005-孙亦川;BY-CST-P1-004-林知夏记者服装;BY-CST-P1-007-孙亦川专家服装;BY-LGT-P1-008-飞控媒体区直播光;BY-REL-P1-007-摄影来源证据层级;BY-REL-P1-008-三段直播结构链;BY-SCN-P1-003-飞控中心媒体区</x:v>
      </x:c>
      <x:c r="K36" s="32" t="str">
        <x:v>BY-VOI-P1-013-孙亦川声音</x:v>
      </x:c>
      <x:c r="L36" s="32" t="str">
        <x:v>BY-REL-P1-003-声音来源真实性;BY-SND-P1-003-发动机舱内结构振动;BY-SND-P1-009-媒体区直播现场声</x:v>
      </x:c>
      <x:c r="M36" s="32" t="str">
        <x:v>BY-SYM-P1-004-任务轨迹与相位图模板;BY-SYM-P1-007-直播进口出口与倒计时</x:v>
      </x:c>
      <x:c r="N36" s="32" t="str">
        <x:v>阶段1映射完成｜阶段2B按镜头状态调用</x:v>
      </x:c>
      <x:c r="O36" s="32" t="str">
        <x:v>专家解释只位于下降早段；允许停顿并把后半句跨接到轨迹图。</x:v>
      </x:c>
    </x:row>
    <x:row r="37" ht="62" customHeight="1">
      <x:c r="A37" s="110" t="n">
        <x:v>36</x:v>
      </x:c>
      <x:c r="B37" s="110" t="n">
        <x:v>6</x:v>
      </x:c>
      <x:c r="C37" s="110" t="str">
        <x:v>动力下降</x:v>
      </x:c>
      <x:c r="D37" s="110" t="str">
        <x:v>00:04:54–00:05:02</x:v>
      </x:c>
      <x:c r="E37" s="110" t="n">
        <x:v>8</x:v>
      </x:c>
      <x:c r="F37" s="32" t="str">
        <x:v>着陆器下视相机</x:v>
      </x:c>
      <x:c r="G37" s="32" t="str">
        <x:v>视场由斜向地形转为近垂直，撞击坑、坡地和岩块区被分区标记。</x:v>
      </x:c>
      <x:c r="H37" s="32" t="str">
        <x:v>常规任务状态</x:v>
      </x:c>
      <x:c r="I37" s="110" t="str">
        <x:v>A｜航天器／宇航服／月面真实任务机位推演</x:v>
      </x:c>
      <x:c r="J37" s="32" t="str">
        <x:v>BY-PRP-P1-015-航天器任务相机组;BY-REL-P1-007-摄影来源证据层级</x:v>
      </x:c>
      <x:c r="K37" s="32" t="str">
        <x:v>BY-VOI-P1-009-小天任务智能体声音</x:v>
      </x:c>
      <x:c r="L37" s="32" t="str">
        <x:v>BY-REL-P1-003-声音来源真实性;BY-SND-P1-003-发动机舱内结构振动</x:v>
      </x:c>
      <x:c r="M37" s="32" t="str"/>
      <x:c r="N37" s="32" t="str">
        <x:v>阶段1映射完成｜阶段2B按镜头状态调用</x:v>
      </x:c>
      <x:c r="O37" s="32" t="str">
        <x:v>AI只提供候选区排序。</x:v>
      </x:c>
    </x:row>
    <x:row r="38" ht="62" customHeight="1">
      <x:c r="A38" s="110" t="n">
        <x:v>37</x:v>
      </x:c>
      <x:c r="B38" s="110" t="n">
        <x:v>6</x:v>
      </x:c>
      <x:c r="C38" s="110" t="str">
        <x:v>动力下降</x:v>
      </x:c>
      <x:c r="D38" s="110" t="str">
        <x:v>00:05:02–00:05:10</x:v>
      </x:c>
      <x:c r="E38" s="110" t="n">
        <x:v>8</x:v>
      </x:c>
      <x:c r="F38" s="32" t="str">
        <x:v>揽月舱内双人近景</x:v>
      </x:c>
      <x:c r="G38" s="32" t="str">
        <x:v>杨凛核对B区，陈砚监控敏感器和着陆后系统。</x:v>
      </x:c>
      <x:c r="H38" s="32" t="str">
        <x:v>常规任务状态</x:v>
      </x:c>
      <x:c r="I38" s="110" t="str">
        <x:v>A｜航天器／宇航服／月面真实任务机位推演</x:v>
      </x:c>
      <x:c r="J38" s="32" t="str">
        <x:v>BY-ANM-P0-002-揽月下降出舱起飞链;BY-CHR-P0-001-杨凛;BY-CHR-P0-002-陈砚;BY-CST-P0-001-杨凛舱内飞行服;BY-CST-P0-002-陈砚舱内飞行服;BY-LGT-P0-002-揽月下降任务光;BY-PRP-P1-006-舱内操作界面与任务屏;BY-REL-P0-005-揽月构型状态链;BY-REL-P1-007-摄影来源证据层级;BY-SCN-P0-003-揽月登月舱舱内;BY-VEH-P0-003-揽月登月舱</x:v>
      </x:c>
      <x:c r="K38" s="32" t="str">
        <x:v>BY-VOI-P0-001-杨凛声音;BY-VOI-P0-002-陈砚声音</x:v>
      </x:c>
      <x:c r="L38" s="32" t="str">
        <x:v>BY-REL-P1-003-声音来源真实性;BY-SND-P0-001-舱内生命保障与设备底噪;BY-SND-P1-003-发动机舱内结构振动</x:v>
      </x:c>
      <x:c r="M38" s="32" t="str"/>
      <x:c r="N38" s="32" t="str">
        <x:v>阶段1映射完成｜阶段2B按镜头状态调用</x:v>
      </x:c>
      <x:c r="O38" s="32" t="str">
        <x:v>最终选择归乘组指令长。</x:v>
      </x:c>
    </x:row>
    <x:row r="39" ht="62" customHeight="1">
      <x:c r="A39" s="110" t="n">
        <x:v>38</x:v>
      </x:c>
      <x:c r="B39" s="110" t="n">
        <x:v>6</x:v>
      </x:c>
      <x:c r="C39" s="110" t="str">
        <x:v>动力下降</x:v>
      </x:c>
      <x:c r="D39" s="110" t="str">
        <x:v>00:05:10–00:05:17</x:v>
      </x:c>
      <x:c r="E39" s="110" t="n">
        <x:v>7</x:v>
      </x:c>
      <x:c r="F39" s="32" t="str">
        <x:v>中高度三分之四侧视／视觉重建</x:v>
      </x:c>
      <x:c r="G39" s="32" t="str">
        <x:v>揽月沿短距离横向走廊避开岩块区，机体姿态变化小而明确；角落保留视觉重建标识。</x:v>
      </x:c>
      <x:c r="H39" s="32" t="str">
        <x:v>遥测视觉重建｜角标常驻</x:v>
      </x:c>
      <x:c r="I39" s="110" t="str">
        <x:v>C｜显式遥测视觉重建</x:v>
      </x:c>
      <x:c r="J39" s="32" t="str">
        <x:v>BY-REL-P0-005-揽月构型状态链;BY-REL-P1-007-摄影来源证据层级;BY-VEH-P0-003-揽月登月舱;BY-VFX-P1-008-遥测视觉重建合成</x:v>
      </x:c>
      <x:c r="K39" s="32" t="str"/>
      <x:c r="L39" s="32" t="str">
        <x:v>BY-REL-P1-003-声音来源真实性</x:v>
      </x:c>
      <x:c r="M39" s="32" t="str">
        <x:v>BY-SYM-P1-004-任务轨迹与相位图模板;BY-SYM-P1-006-视觉重建来源标识</x:v>
      </x:c>
      <x:c r="N39" s="32" t="str">
        <x:v>阶段1映射完成｜阶段2B按镜头状态调用</x:v>
      </x:c>
      <x:c r="O39" s="32" t="str">
        <x:v>第三视角用于解释横移，不承担落地证明。</x:v>
      </x:c>
    </x:row>
    <x:row r="40" ht="62" customHeight="1">
      <x:c r="A40" s="110" t="n">
        <x:v>39</x:v>
      </x:c>
      <x:c r="B40" s="110" t="n">
        <x:v>6</x:v>
      </x:c>
      <x:c r="C40" s="110" t="str">
        <x:v>动力下降</x:v>
      </x:c>
      <x:c r="D40" s="110" t="str">
        <x:v>00:05:17–00:05:24</x:v>
      </x:c>
      <x:c r="E40" s="110" t="n">
        <x:v>7</x:v>
      </x:c>
      <x:c r="F40" s="32" t="str">
        <x:v>着陆器下视相机</x:v>
      </x:c>
      <x:c r="G40" s="32" t="str">
        <x:v>选择区逐渐居中，细避障框缩小到平坦区域；尘埃尚未明显扬起。</x:v>
      </x:c>
      <x:c r="H40" s="32" t="str">
        <x:v>常规任务状态</x:v>
      </x:c>
      <x:c r="I40" s="110" t="str">
        <x:v>A｜航天器／宇航服／月面真实任务机位推演</x:v>
      </x:c>
      <x:c r="J40" s="32" t="str">
        <x:v>BY-PRP-P1-015-航天器任务相机组;BY-REL-P1-007-摄影来源证据层级;BY-VFX-P0-001-月面下降羽流与贴地月尘</x:v>
      </x:c>
      <x:c r="K40" s="32" t="str">
        <x:v>BY-VOI-P0-001-杨凛声音;BY-VOI-P1-009-小天任务智能体声音</x:v>
      </x:c>
      <x:c r="L40" s="32" t="str">
        <x:v>BY-REL-P1-003-声音来源真实性;BY-SND-P1-003-发动机舱内结构振动</x:v>
      </x:c>
      <x:c r="M40" s="32" t="str"/>
      <x:c r="N40" s="32" t="str">
        <x:v>阶段1映射完成｜阶段2B按镜头状态调用</x:v>
      </x:c>
      <x:c r="O40" s="32" t="str">
        <x:v>从此处停止记者和专家插话。</x:v>
      </x:c>
    </x:row>
    <x:row r="41" ht="62" customHeight="1">
      <x:c r="A41" s="110" t="n">
        <x:v>40</x:v>
      </x:c>
      <x:c r="B41" s="110" t="n">
        <x:v>6</x:v>
      </x:c>
      <x:c r="C41" s="110" t="str">
        <x:v>动力下降</x:v>
      </x:c>
      <x:c r="D41" s="110" t="str">
        <x:v>00:05:24–00:05:30</x:v>
      </x:c>
      <x:c r="E41" s="110" t="n">
        <x:v>6</x:v>
      </x:c>
      <x:c r="F41" s="32" t="str">
        <x:v>北京飞控大厅</x:v>
      </x:c>
      <x:c r="G41" s="32" t="str">
        <x:v>各席位凝视参数，飞行主任保持手势等待；大厅没有庆祝动作。</x:v>
      </x:c>
      <x:c r="H41" s="32" t="str">
        <x:v>常规任务状态</x:v>
      </x:c>
      <x:c r="I41" s="110" t="str">
        <x:v>B｜地面直播／测控任务机位</x:v>
      </x:c>
      <x:c r="J41" s="32" t="str">
        <x:v>BY-CRO-P1-001-北京飞控任务团队;BY-LGT-P1-003-飞控大厅任务光;BY-REL-P1-007-摄影来源证据层级;BY-SCN-P0-006-北京飞控大厅与任务主屏</x:v>
      </x:c>
      <x:c r="K41" s="32" t="str">
        <x:v>BY-VOI-P1-004-北京飞控主调度声音</x:v>
      </x:c>
      <x:c r="L41" s="32" t="str">
        <x:v>BY-REL-P1-003-声音来源真实性;BY-SND-P1-003-发动机舱内结构振动;BY-SND-P1-008-飞控与测控大厅底噪</x:v>
      </x:c>
      <x:c r="M41" s="32" t="str"/>
      <x:c r="N41" s="32" t="str">
        <x:v>阶段1映射完成｜阶段2B按镜头状态调用</x:v>
      </x:c>
      <x:c r="O41" s="32" t="str">
        <x:v>以沉默和设备声建立压力。</x:v>
      </x:c>
    </x:row>
    <x:row r="42" ht="62" customHeight="1">
      <x:c r="A42" s="110" t="n">
        <x:v>41</x:v>
      </x:c>
      <x:c r="B42" s="110" t="n">
        <x:v>6</x:v>
      </x:c>
      <x:c r="C42" s="110" t="str">
        <x:v>动力下降</x:v>
      </x:c>
      <x:c r="D42" s="110" t="str">
        <x:v>00:05:30–00:05:37</x:v>
      </x:c>
      <x:c r="E42" s="110" t="n">
        <x:v>7</x:v>
      </x:c>
      <x:c r="F42" s="32" t="str">
        <x:v>低空远景／视觉重建</x:v>
      </x:c>
      <x:c r="G42" s="32" t="str">
        <x:v>揽月距月面数十米，喷流扩散区和机体尺度清楚；画面稳定克制，标注视觉重建。</x:v>
      </x:c>
      <x:c r="H42" s="32" t="str">
        <x:v>遥测视觉重建｜角标常驻</x:v>
      </x:c>
      <x:c r="I42" s="110" t="str">
        <x:v>C｜显式遥测视觉重建</x:v>
      </x:c>
      <x:c r="J42" s="32" t="str">
        <x:v>BY-LGT-P0-004-月面艺术化任务日光;BY-REL-P0-005-揽月构型状态链;BY-REL-P0-012-月面艺术化光照与声明;BY-REL-P1-001-月面空间总图;BY-REL-P1-007-摄影来源证据层级;BY-SCN-P0-004-月面着陆与作业区;BY-VEH-P0-003-揽月登月舱;BY-VFX-P0-001-月面下降羽流与贴地月尘;BY-VFX-P1-008-遥测视觉重建合成</x:v>
      </x:c>
      <x:c r="K42" s="32" t="str"/>
      <x:c r="L42" s="32" t="str">
        <x:v>BY-REL-P1-003-声音来源真实性</x:v>
      </x:c>
      <x:c r="M42" s="32" t="str">
        <x:v>BY-SYM-P1-006-视觉重建来源标识</x:v>
      </x:c>
      <x:c r="N42" s="32" t="str">
        <x:v>阶段1映射完成｜阶段2B按镜头状态调用</x:v>
      </x:c>
      <x:c r="O42" s="32" t="str">
        <x:v>最后一次重建镜头，随后回到证据视角。</x:v>
      </x:c>
    </x:row>
    <x:row r="43" ht="62" customHeight="1">
      <x:c r="A43" s="110" t="n">
        <x:v>42</x:v>
      </x:c>
      <x:c r="B43" s="110" t="n">
        <x:v>6</x:v>
      </x:c>
      <x:c r="C43" s="110" t="str">
        <x:v>动力下降</x:v>
      </x:c>
      <x:c r="D43" s="110" t="str">
        <x:v>00:05:37–00:05:44</x:v>
      </x:c>
      <x:c r="E43" s="110" t="n">
        <x:v>7</x:v>
      </x:c>
      <x:c r="F43" s="32" t="str">
        <x:v>着陆器下视与着陆腿相机</x:v>
      </x:c>
      <x:c r="G43" s="32" t="str">
        <x:v>尘埃向外扩散，落点纹理快速放大，着陆腿接近月面。</x:v>
      </x:c>
      <x:c r="H43" s="32" t="str">
        <x:v>月面相机部署前｜不得使用便携相机第三视角</x:v>
      </x:c>
      <x:c r="I43" s="110" t="str">
        <x:v>A｜航天器／宇航服／月面真实任务机位推演</x:v>
      </x:c>
      <x:c r="J43" s="32" t="str">
        <x:v>BY-LGT-P0-004-月面艺术化任务日光;BY-PRP-P1-015-航天器任务相机组;BY-REL-P0-012-月面艺术化光照与声明;BY-REL-P1-001-月面空间总图;BY-REL-P1-007-摄影来源证据层级;BY-SCN-P0-004-月面着陆与作业区;BY-VFX-P0-001-月面下降羽流与贴地月尘</x:v>
      </x:c>
      <x:c r="K43" s="32" t="str">
        <x:v>BY-VOI-P0-001-杨凛声音;BY-VOI-P0-002-陈砚声音</x:v>
      </x:c>
      <x:c r="L43" s="32" t="str">
        <x:v>BY-REL-P1-003-声音来源真实性;BY-SND-P1-003-发动机舱内结构振动</x:v>
      </x:c>
      <x:c r="M43" s="32" t="str"/>
      <x:c r="N43" s="32" t="str">
        <x:v>阶段1映射完成｜阶段2B按镜头状态调用</x:v>
      </x:c>
      <x:c r="O43" s="32" t="str">
        <x:v>不可逆节点以任务相机收束。</x:v>
      </x:c>
    </x:row>
    <x:row r="44" ht="62" customHeight="1">
      <x:c r="A44" s="110" t="n">
        <x:v>43</x:v>
      </x:c>
      <x:c r="B44" s="110" t="n">
        <x:v>7</x:v>
      </x:c>
      <x:c r="C44" s="110" t="str">
        <x:v>着陆确认与六小时出舱准备</x:v>
      </x:c>
      <x:c r="D44" s="110" t="str">
        <x:v>00:05:44–00:05:53</x:v>
      </x:c>
      <x:c r="E44" s="110" t="n">
        <x:v>9</x:v>
      </x:c>
      <x:c r="F44" s="32" t="str">
        <x:v>着陆腿相机／舱内交叉</x:v>
      </x:c>
      <x:c r="G44" s="32" t="str">
        <x:v>一条着陆腿接触月面，舱内减速度和接触灯同步出现，画面轻微振动后稳定。</x:v>
      </x:c>
      <x:c r="H44" s="32" t="str">
        <x:v>月面相机部署前｜不得使用便携相机第三视角</x:v>
      </x:c>
      <x:c r="I44" s="110" t="str">
        <x:v>A｜航天器／宇航服／月面真实任务机位推演</x:v>
      </x:c>
      <x:c r="J44" s="32" t="str">
        <x:v>BY-LGT-P0-004-月面艺术化任务日光;BY-PRP-P1-015-航天器任务相机组;BY-REL-P0-012-月面艺术化光照与声明;BY-REL-P1-001-月面空间总图;BY-REL-P1-007-摄影来源证据层级;BY-SCN-P0-004-月面着陆与作业区;BY-VFX-P0-002-触月关机与月尘回落</x:v>
      </x:c>
      <x:c r="K44" s="32" t="str">
        <x:v>BY-VOI-P0-001-杨凛声音;BY-VOI-P0-002-陈砚声音</x:v>
      </x:c>
      <x:c r="L44" s="32" t="str">
        <x:v>BY-REL-P1-003-声音来源真实性;BY-SND-P1-003-发动机舱内结构振动</x:v>
      </x:c>
      <x:c r="M44" s="32" t="str"/>
      <x:c r="N44" s="32" t="str">
        <x:v>阶段1映射完成｜阶段2B按镜头状态调用</x:v>
      </x:c>
      <x:c r="O44" s="32" t="str">
        <x:v>落地以任务证据视角完成。</x:v>
      </x:c>
    </x:row>
    <x:row r="45" ht="62" customHeight="1">
      <x:c r="A45" s="110" t="n">
        <x:v>44</x:v>
      </x:c>
      <x:c r="B45" s="110" t="n">
        <x:v>7</x:v>
      </x:c>
      <x:c r="C45" s="110" t="str">
        <x:v>着陆确认与六小时出舱准备</x:v>
      </x:c>
      <x:c r="D45" s="110" t="str">
        <x:v>00:05:53–00:06:01</x:v>
      </x:c>
      <x:c r="E45" s="110" t="n">
        <x:v>8</x:v>
      </x:c>
      <x:c r="F45" s="32" t="str">
        <x:v>揽月舱内双人中景</x:v>
      </x:c>
      <x:c r="G45" s="32" t="str">
        <x:v>两名航天员保持约束，依次核对姿态、舱压、电源、通信和着陆器结构状态。</x:v>
      </x:c>
      <x:c r="H45" s="32" t="str">
        <x:v>常规任务状态</x:v>
      </x:c>
      <x:c r="I45" s="110" t="str">
        <x:v>A｜航天器／宇航服／月面真实任务机位推演</x:v>
      </x:c>
      <x:c r="J45" s="32" t="str">
        <x:v>BY-ANM-P0-002-揽月下降出舱起飞链;BY-CHR-P0-001-杨凛;BY-CHR-P0-002-陈砚;BY-LGT-P0-002-揽月下降任务光;BY-PRP-P1-006-舱内操作界面与任务屏;BY-REL-P0-005-揽月构型状态链;BY-REL-P1-007-摄影来源证据层级;BY-SCN-P0-003-揽月登月舱舱内;BY-VEH-P0-003-揽月登月舱</x:v>
      </x:c>
      <x:c r="K45" s="32" t="str">
        <x:v>BY-VOI-P0-001-杨凛声音</x:v>
      </x:c>
      <x:c r="L45" s="32" t="str">
        <x:v>BY-REL-P1-003-声音来源真实性;BY-SND-P0-001-舱内生命保障与设备底噪;BY-SND-P1-003-发动机舱内结构振动</x:v>
      </x:c>
      <x:c r="M45" s="32" t="str"/>
      <x:c r="N45" s="32" t="str">
        <x:v>阶段1映射完成｜阶段2B按镜头状态调用</x:v>
      </x:c>
      <x:c r="O45" s="32" t="str">
        <x:v>落地后先检查，不立即解开约束。</x:v>
      </x:c>
    </x:row>
    <x:row r="46" ht="62" customHeight="1">
      <x:c r="A46" s="110" t="n">
        <x:v>45</x:v>
      </x:c>
      <x:c r="B46" s="110" t="n">
        <x:v>7</x:v>
      </x:c>
      <x:c r="C46" s="110" t="str">
        <x:v>着陆确认与六小时出舱准备</x:v>
      </x:c>
      <x:c r="D46" s="110" t="str">
        <x:v>00:06:01–00:06:09</x:v>
      </x:c>
      <x:c r="E46" s="110" t="n">
        <x:v>8</x:v>
      </x:c>
      <x:c r="F46" s="32" t="str">
        <x:v>北京飞控广角</x:v>
      </x:c>
      <x:c r="G46" s="32" t="str">
        <x:v>飞行主任收到系统闭合后宣布结果，大厅鼓掌；少数席位继续工作。</x:v>
      </x:c>
      <x:c r="H46" s="32" t="str">
        <x:v>常规任务状态</x:v>
      </x:c>
      <x:c r="I46" s="110" t="str">
        <x:v>B｜地面直播／测控任务机位</x:v>
      </x:c>
      <x:c r="J46" s="32" t="str">
        <x:v>BY-CRO-P1-001-北京飞控任务团队;BY-LGT-P1-003-飞控大厅任务光;BY-REL-P1-007-摄影来源证据层级;BY-SCN-P0-006-北京飞控大厅与任务主屏</x:v>
      </x:c>
      <x:c r="K46" s="32" t="str">
        <x:v>BY-VOI-P1-004-北京飞控主调度声音</x:v>
      </x:c>
      <x:c r="L46" s="32" t="str">
        <x:v>BY-REL-P1-003-声音来源真实性;BY-SND-P1-003-发动机舱内结构振动;BY-SND-P1-008-飞控与测控大厅底噪</x:v>
      </x:c>
      <x:c r="M46" s="32" t="str"/>
      <x:c r="N46" s="32" t="str">
        <x:v>阶段1映射完成｜阶段2B按镜头状态调用</x:v>
      </x:c>
      <x:c r="O46" s="32" t="str">
        <x:v>掌声只在北京飞控内部成立。</x:v>
      </x:c>
    </x:row>
    <x:row r="47" ht="62" customHeight="1">
      <x:c r="A47" s="110" t="n">
        <x:v>46</x:v>
      </x:c>
      <x:c r="B47" s="110" t="n">
        <x:v>7</x:v>
      </x:c>
      <x:c r="C47" s="110" t="str">
        <x:v>着陆确认与六小时出舱准备</x:v>
      </x:c>
      <x:c r="D47" s="110" t="str">
        <x:v>00:06:09–00:06:17</x:v>
      </x:c>
      <x:c r="E47" s="110" t="n">
        <x:v>8</x:v>
      </x:c>
      <x:c r="F47" s="32" t="str">
        <x:v>着陆区完整全景／视觉重建</x:v>
      </x:c>
      <x:c r="G47" s="32" t="str">
        <x:v>尘埃沉降后，完整揽月立于月面，地形坡度、足垫和长阴影清晰；标注：基于实时遥测的视觉重建。</x:v>
      </x:c>
      <x:c r="H47" s="32" t="str">
        <x:v>遥测视觉重建｜角标常驻</x:v>
      </x:c>
      <x:c r="I47" s="110" t="str">
        <x:v>C｜显式遥测视觉重建</x:v>
      </x:c>
      <x:c r="J47" s="32" t="str">
        <x:v>BY-LGT-P0-004-月面艺术化任务日光;BY-REL-P0-005-揽月构型状态链;BY-REL-P0-012-月面艺术化光照与声明;BY-REL-P1-001-月面空间总图;BY-REL-P1-007-摄影来源证据层级;BY-SCN-P0-004-月面着陆与作业区;BY-VEH-P0-003-揽月登月舱;BY-VFX-P0-001-月面下降羽流与贴地月尘;BY-VFX-P0-002-触月关机与月尘回落;BY-VFX-P1-008-遥测视觉重建合成</x:v>
      </x:c>
      <x:c r="K47" s="32" t="str"/>
      <x:c r="L47" s="32" t="str">
        <x:v>BY-REL-P1-003-声音来源真实性;BY-SND-P1-003-发动机舱内结构振动</x:v>
      </x:c>
      <x:c r="M47" s="32" t="str">
        <x:v>BY-SYM-P1-006-视觉重建来源标识</x:v>
      </x:c>
      <x:c r="N47" s="32" t="str">
        <x:v>阶段1映射完成｜阶段2B按镜头状态调用</x:v>
      </x:c>
      <x:c r="O47" s="32" t="str">
        <x:v>用于交代地形与尺度，不伪装成已部署月面相机。</x:v>
      </x:c>
    </x:row>
    <x:row r="48" ht="62" customHeight="1">
      <x:c r="A48" s="110" t="n">
        <x:v>47</x:v>
      </x:c>
      <x:c r="B48" s="110" t="n">
        <x:v>7</x:v>
      </x:c>
      <x:c r="C48" s="110" t="str">
        <x:v>着陆确认与六小时出舱准备</x:v>
      </x:c>
      <x:c r="D48" s="110" t="str">
        <x:v>00:06:17–00:06:27</x:v>
      </x:c>
      <x:c r="E48" s="110" t="n">
        <x:v>10</x:v>
      </x:c>
      <x:c r="F48" s="32" t="str">
        <x:v>媒体区直播中景</x:v>
      </x:c>
      <x:c r="G48" s="32" t="str">
        <x:v>林知夏面对镜头，身后大屏定格揽月着陆状态。</x:v>
      </x:c>
      <x:c r="H48" s="32" t="str">
        <x:v>常规任务状态</x:v>
      </x:c>
      <x:c r="I48" s="110" t="str">
        <x:v>B｜地面直播／测控任务机位</x:v>
      </x:c>
      <x:c r="J48" s="32" t="str">
        <x:v>BY-CHR-P1-002-林知夏;BY-CST-P1-004-林知夏记者服装;BY-LGT-P1-008-飞控媒体区直播光;BY-REL-P0-005-揽月构型状态链;BY-REL-P1-007-摄影来源证据层级;BY-REL-P1-008-三段直播结构链;BY-SCN-P1-003-飞控中心媒体区;BY-VEH-P0-003-揽月登月舱</x:v>
      </x:c>
      <x:c r="K48" s="32" t="str">
        <x:v>BY-VOI-P1-002-林知夏声音</x:v>
      </x:c>
      <x:c r="L48" s="32" t="str">
        <x:v>BY-REL-P1-003-声音来源真实性;BY-SND-P1-003-发动机舱内结构振动;BY-SND-P1-009-媒体区直播现场声</x:v>
      </x:c>
      <x:c r="M48" s="32" t="str">
        <x:v>BY-SYM-P1-007-直播进口出口与倒计时</x:v>
      </x:c>
      <x:c r="N48" s="32" t="str">
        <x:v>阶段1映射完成｜阶段2B按镜头状态调用</x:v>
      </x:c>
      <x:c r="O48" s="32" t="str">
        <x:v>记者只在落地确认后进入。</x:v>
      </x:c>
    </x:row>
    <x:row r="49" ht="62" customHeight="1">
      <x:c r="A49" s="110" t="n">
        <x:v>48</x:v>
      </x:c>
      <x:c r="B49" s="110" t="n">
        <x:v>7</x:v>
      </x:c>
      <x:c r="C49" s="110" t="str">
        <x:v>着陆确认与六小时出舱准备</x:v>
      </x:c>
      <x:c r="D49" s="110" t="str">
        <x:v>00:06:27–00:06:39</x:v>
      </x:c>
      <x:c r="E49" s="110" t="n">
        <x:v>12</x:v>
      </x:c>
      <x:c r="F49" s="32" t="str">
        <x:v>媒体区专家双人</x:v>
      </x:c>
      <x:c r="G49" s="32" t="str">
        <x:v>何文澜在一张阿波罗11号任务时间轴旁解释，林知夏倾听。</x:v>
      </x:c>
      <x:c r="H49" s="32" t="str">
        <x:v>常规任务状态</x:v>
      </x:c>
      <x:c r="I49" s="110" t="str">
        <x:v>B｜地面直播／测控任务机位</x:v>
      </x:c>
      <x:c r="J49" s="32" t="str">
        <x:v>BY-CHR-P1-002-林知夏;BY-CHR-P1-004-何文澜;BY-CST-P1-004-林知夏记者服装;BY-CST-P1-006-何文澜专家服装;BY-LGT-P1-008-飞控媒体区直播光;BY-REL-P1-007-摄影来源证据层级;BY-REL-P1-008-三段直播结构链;BY-SCN-P1-003-飞控中心媒体区</x:v>
      </x:c>
      <x:c r="K49" s="32" t="str">
        <x:v>BY-VOI-P1-012-何文澜声音</x:v>
      </x:c>
      <x:c r="L49" s="32" t="str">
        <x:v>BY-REL-P1-003-声音来源真实性;BY-SND-P1-003-发动机舱内结构振动;BY-SND-P1-009-媒体区直播现场声</x:v>
      </x:c>
      <x:c r="M49" s="32" t="str">
        <x:v>BY-SYM-P1-007-直播进口出口与倒计时</x:v>
      </x:c>
      <x:c r="N49" s="32" t="str">
        <x:v>阶段1映射完成｜阶段2B按镜头状态调用</x:v>
      </x:c>
      <x:c r="O49" s="32" t="str">
        <x:v>历史时间用约数，避免把艺术流程说成唯一标准。</x:v>
      </x:c>
    </x:row>
    <x:row r="50" ht="62" customHeight="1">
      <x:c r="A50" s="110" t="n">
        <x:v>49</x:v>
      </x:c>
      <x:c r="B50" s="110" t="n">
        <x:v>7</x:v>
      </x:c>
      <x:c r="C50" s="110" t="str">
        <x:v>着陆确认与六小时出舱准备</x:v>
      </x:c>
      <x:c r="D50" s="110" t="str">
        <x:v>00:06:39–00:06:44</x:v>
      </x:c>
      <x:c r="E50" s="110" t="n">
        <x:v>5</x:v>
      </x:c>
      <x:c r="F50" s="32" t="str">
        <x:v>揽月舱内准备蒙太奇一</x:v>
      </x:c>
      <x:c r="G50" s="32" t="str">
        <x:v>两人解除约束、进食补水、完成身体状态自检，并检查舱内生命保障和通信。</x:v>
      </x:c>
      <x:c r="H50" s="32" t="str">
        <x:v>常规任务状态</x:v>
      </x:c>
      <x:c r="I50" s="110" t="str">
        <x:v>A｜航天器／宇航服／月面真实任务机位推演</x:v>
      </x:c>
      <x:c r="J50" s="32" t="str">
        <x:v>BY-ANM-P0-002-揽月下降出舱起飞链;BY-CHR-P0-001-杨凛;BY-CHR-P0-002-陈砚;BY-LGT-P0-002-揽月下降任务光;BY-PRP-P1-006-舱内操作界面与任务屏;BY-REL-P0-005-揽月构型状态链;BY-REL-P1-007-摄影来源证据层级;BY-SCN-P0-003-揽月登月舱舱内;BY-VEH-P0-003-揽月登月舱</x:v>
      </x:c>
      <x:c r="K50" s="32" t="str">
        <x:v>BY-VOI-P1-012-何文澜声音</x:v>
      </x:c>
      <x:c r="L50" s="32" t="str">
        <x:v>BY-REL-P1-003-声音来源真实性;BY-SND-P0-001-舱内生命保障与设备底噪</x:v>
      </x:c>
      <x:c r="M50" s="32" t="str"/>
      <x:c r="N50" s="32" t="str">
        <x:v>阶段1映射完成｜阶段2B按镜头状态调用</x:v>
      </x:c>
      <x:c r="O50" s="32" t="str">
        <x:v>不是把无人探测器简化为“只需落地自检”。</x:v>
      </x:c>
    </x:row>
    <x:row r="51" ht="62" customHeight="1">
      <x:c r="A51" s="110" t="n">
        <x:v>50</x:v>
      </x:c>
      <x:c r="B51" s="110" t="n">
        <x:v>7</x:v>
      </x:c>
      <x:c r="C51" s="110" t="str">
        <x:v>着陆确认与六小时出舱准备</x:v>
      </x:c>
      <x:c r="D51" s="110" t="str">
        <x:v>00:06:44–00:06:49</x:v>
      </x:c>
      <x:c r="E51" s="110" t="n">
        <x:v>5</x:v>
      </x:c>
      <x:c r="F51" s="32" t="str">
        <x:v>揽月舱内准备蒙太奇二／字幕</x:v>
      </x:c>
      <x:c r="G51" s="32" t="str">
        <x:v>两人检查登月服接口、应急工具、舱门和舱外程序。字幕：着陆 T+06:00；出舱准备完成。</x:v>
      </x:c>
      <x:c r="H51" s="32" t="str">
        <x:v>常规任务状态</x:v>
      </x:c>
      <x:c r="I51" s="110" t="str">
        <x:v>A｜航天器／宇航服／月面真实任务机位推演</x:v>
      </x:c>
      <x:c r="J51" s="32" t="str">
        <x:v>BY-ANM-P0-002-揽月下降出舱起飞链;BY-CHR-P0-001-杨凛;BY-CHR-P0-002-陈砚;BY-LGT-P0-002-揽月下降任务光;BY-LGT-P0-004-月面艺术化任务日光;BY-PRP-P1-006-舱内操作界面与任务屏;BY-REL-P0-005-揽月构型状态链;BY-REL-P0-012-月面艺术化光照与声明;BY-REL-P1-001-月面空间总图;BY-REL-P1-007-摄影来源证据层级;BY-SCN-P0-003-揽月登月舱舱内;BY-SCN-P0-004-月面着陆与作业区;BY-VEH-P0-003-揽月登月舱</x:v>
      </x:c>
      <x:c r="K51" s="32" t="str">
        <x:v>BY-VOI-P1-012-何文澜声音</x:v>
      </x:c>
      <x:c r="L51" s="32" t="str">
        <x:v>BY-REL-P1-003-声音来源真实性;BY-SND-P0-001-舱内生命保障与设备底噪;BY-SND-P1-003-发动机舱内结构振动</x:v>
      </x:c>
      <x:c r="M51" s="32" t="str">
        <x:v>BY-SYM-P1-003-任务阶段与时间跳跃标牌</x:v>
      </x:c>
      <x:c r="N51" s="32" t="str">
        <x:v>阶段1映射完成｜阶段2B按镜头状态调用</x:v>
      </x:c>
      <x:c r="O51" s="32" t="str">
        <x:v>时间码从着陆瞬间起算。</x:v>
      </x:c>
    </x:row>
    <x:row r="52" ht="62" customHeight="1">
      <x:c r="A52" s="110" t="n">
        <x:v>51</x:v>
      </x:c>
      <x:c r="B52" s="110" t="n">
        <x:v>8</x:v>
      </x:c>
      <x:c r="C52" s="110" t="str">
        <x:v>出舱与中国航天员首次踏上月面</x:v>
      </x:c>
      <x:c r="D52" s="110" t="str">
        <x:v>00:06:49–00:06:59</x:v>
      </x:c>
      <x:c r="E52" s="110" t="n">
        <x:v>10</x:v>
      </x:c>
      <x:c r="F52" s="32" t="str">
        <x:v>媒体区直播近景</x:v>
      </x:c>
      <x:c r="G52" s="32" t="str">
        <x:v>林知夏身后大屏显示揽月舱门状态和五分钟倒计时，媒体区工作人员安静等待。</x:v>
      </x:c>
      <x:c r="H52" s="32" t="str">
        <x:v>常规任务状态</x:v>
      </x:c>
      <x:c r="I52" s="110" t="str">
        <x:v>B｜地面直播／测控任务机位</x:v>
      </x:c>
      <x:c r="J52" s="32" t="str">
        <x:v>BY-CHR-P1-002-林知夏;BY-CST-P1-004-林知夏记者服装;BY-LGT-P1-008-飞控媒体区直播光;BY-REL-P0-005-揽月构型状态链;BY-REL-P1-007-摄影来源证据层级;BY-REL-P1-008-三段直播结构链;BY-SCN-P1-003-飞控中心媒体区;BY-VEH-P0-003-揽月登月舱</x:v>
      </x:c>
      <x:c r="K52" s="32" t="str">
        <x:v>BY-VOI-P1-002-林知夏声音</x:v>
      </x:c>
      <x:c r="L52" s="32" t="str">
        <x:v>BY-REL-P1-003-声音来源真实性;BY-SND-P1-009-媒体区直播现场声</x:v>
      </x:c>
      <x:c r="M52" s="32" t="str">
        <x:v>BY-SYM-P1-003-任务阶段与时间跳跃标牌;BY-SYM-P1-007-直播进口出口与倒计时</x:v>
      </x:c>
      <x:c r="N52" s="32" t="str">
        <x:v>阶段1映射完成｜阶段2B按镜头状态调用</x:v>
      </x:c>
      <x:c r="O52" s="32" t="str">
        <x:v>情绪克制但明确；说完后退出关键动作。</x:v>
      </x:c>
    </x:row>
    <x:row r="53" ht="62" customHeight="1">
      <x:c r="A53" s="110" t="n">
        <x:v>52</x:v>
      </x:c>
      <x:c r="B53" s="110" t="n">
        <x:v>8</x:v>
      </x:c>
      <x:c r="C53" s="110" t="str">
        <x:v>出舱与中国航天员首次踏上月面</x:v>
      </x:c>
      <x:c r="D53" s="110" t="str">
        <x:v>00:06:59–00:07:07</x:v>
      </x:c>
      <x:c r="E53" s="110" t="n">
        <x:v>8</x:v>
      </x:c>
      <x:c r="F53" s="32" t="str">
        <x:v>飞控／梦舟／揽月三方交叉</x:v>
      </x:c>
      <x:c r="G53" s="32" t="str">
        <x:v>北京席位、梦舟刘定槎和揽月两人依次确认通信、生命保障与舱外任务状态。</x:v>
      </x:c>
      <x:c r="H53" s="32" t="str">
        <x:v>常规任务状态</x:v>
      </x:c>
      <x:c r="I53" s="110" t="str">
        <x:v>B｜地面直播／测控任务机位</x:v>
      </x:c>
      <x:c r="J53" s="32" t="str">
        <x:v>BY-CHR-P0-001-杨凛;BY-CHR-P0-002-陈砚;BY-CHR-P0-003-刘定槎;BY-CRO-P1-001-北京飞控任务团队;BY-CST-P0-003-刘定槎舱内飞行服;BY-LGT-P0-004-月面艺术化任务日光;BY-LGT-P1-003-飞控大厅任务光;BY-REL-P0-005-揽月构型状态链;BY-REL-P0-012-月面艺术化光照与声明;BY-REL-P1-001-月面空间总图;BY-REL-P1-007-摄影来源证据层级;BY-SCN-P0-004-月面着陆与作业区;BY-SCN-P0-006-北京飞控大厅与任务主屏;BY-VEH-P0-001-梦舟载人飞船;BY-VEH-P0-003-揽月登月舱</x:v>
      </x:c>
      <x:c r="K53" s="32" t="str">
        <x:v>BY-VOI-P0-001-杨凛声音;BY-VOI-P0-003-刘定槎声音;BY-VOI-P1-004-北京飞控主调度声音</x:v>
      </x:c>
      <x:c r="L53" s="32" t="str">
        <x:v>BY-REL-P1-003-声音来源真实性;BY-SND-P1-008-飞控与测控大厅底噪</x:v>
      </x:c>
      <x:c r="M53" s="32" t="str"/>
      <x:c r="N53" s="32" t="str">
        <x:v>阶段1映射完成｜阶段2B按镜头状态调用</x:v>
      </x:c>
      <x:c r="O53" s="32" t="str">
        <x:v>重复确认压缩为三方一次状态闭合。</x:v>
      </x:c>
    </x:row>
    <x:row r="54" ht="62" customHeight="1">
      <x:c r="A54" s="110" t="n">
        <x:v>53</x:v>
      </x:c>
      <x:c r="B54" s="110" t="n">
        <x:v>8</x:v>
      </x:c>
      <x:c r="C54" s="110" t="str">
        <x:v>出舱与中国航天员首次踏上月面</x:v>
      </x:c>
      <x:c r="D54" s="110" t="str">
        <x:v>00:07:07–00:07:15</x:v>
      </x:c>
      <x:c r="E54" s="110" t="n">
        <x:v>8</x:v>
      </x:c>
      <x:c r="F54" s="32" t="str">
        <x:v>揽月舱内固定机位</x:v>
      </x:c>
      <x:c r="G54" s="32" t="str">
        <x:v>杨凛完成泄压与舱门操作，舱口开启到单人通行宽度；陈砚留在舱内保障位置。</x:v>
      </x:c>
      <x:c r="H54" s="32" t="str">
        <x:v>常规任务状态</x:v>
      </x:c>
      <x:c r="I54" s="110" t="str">
        <x:v>A｜航天器／宇航服／月面真实任务机位推演</x:v>
      </x:c>
      <x:c r="J54" s="32" t="str">
        <x:v>BY-ANM-P0-002-揽月下降出舱起飞链;BY-CHR-P0-001-杨凛;BY-CHR-P0-002-陈砚;BY-CST-P0-001-杨凛舱内飞行服;BY-CST-P0-002-陈砚舱内飞行服;BY-CST-P0-004-杨凛望宇登月服;BY-CST-P0-005-陈砚望宇登月服;BY-LGT-P0-002-揽月下降任务光;BY-PRP-P1-006-舱内操作界面与任务屏;BY-REL-P0-005-揽月构型状态链;BY-REL-P1-007-摄影来源证据层级;BY-SCN-P0-003-揽月登月舱舱内;BY-VEH-P0-003-揽月登月舱</x:v>
      </x:c>
      <x:c r="K54" s="32" t="str"/>
      <x:c r="L54" s="32" t="str">
        <x:v>BY-REL-P1-003-声音来源真实性;BY-SND-P0-001-舱内生命保障与设备底噪;BY-SND-P1-002-登月服内部呼吸与结构声</x:v>
      </x:c>
      <x:c r="M54" s="32" t="str"/>
      <x:c r="N54" s="32" t="str">
        <x:v>阶段1映射完成｜阶段2B按镜头状态调用</x:v>
      </x:c>
      <x:c r="O54" s="32" t="str">
        <x:v>舱口不能同时容纳两人。</x:v>
      </x:c>
    </x:row>
    <x:row r="55" ht="62" customHeight="1">
      <x:c r="A55" s="110" t="n">
        <x:v>54</x:v>
      </x:c>
      <x:c r="B55" s="110" t="n">
        <x:v>8</x:v>
      </x:c>
      <x:c r="C55" s="110" t="str">
        <x:v>出舱与中国航天员首次踏上月面</x:v>
      </x:c>
      <x:c r="D55" s="110" t="str">
        <x:v>00:07:15–00:07:24</x:v>
      </x:c>
      <x:c r="E55" s="110" t="n">
        <x:v>9</x:v>
      </x:c>
      <x:c r="F55" s="32" t="str">
        <x:v>揽月外部固定相机</x:v>
      </x:c>
      <x:c r="G55" s="32" t="str">
        <x:v>杨凛背向外部相机缓慢探出舱口，确认扶手、脚踏和安全绳后转移到扶梯。</x:v>
      </x:c>
      <x:c r="H55" s="32" t="str">
        <x:v>常规任务状态</x:v>
      </x:c>
      <x:c r="I55" s="110" t="str">
        <x:v>A｜航天器／宇航服／月面真实任务机位推演</x:v>
      </x:c>
      <x:c r="J55" s="32" t="str">
        <x:v>BY-CHR-P0-001-杨凛;BY-CHR-P0-002-陈砚;BY-CST-P0-001-杨凛舱内飞行服;BY-CST-P0-004-杨凛望宇登月服;BY-CST-P0-005-陈砚望宇登月服;BY-LGT-P0-004-月面艺术化任务日光;BY-PRP-P0-002-揽月舷梯与扶手系统;BY-PRP-P1-004-月面工具包与载荷固定系统;BY-PRP-P1-015-航天器任务相机组;BY-REL-P0-005-揽月构型状态链;BY-REL-P0-012-月面艺术化光照与声明;BY-REL-P1-001-月面空间总图;BY-REL-P1-007-摄影来源证据层级;BY-SCN-P0-004-月面着陆与作业区;BY-VEH-P0-003-揽月登月舱</x:v>
      </x:c>
      <x:c r="K55" s="32" t="str">
        <x:v>BY-VOI-P0-001-杨凛声音</x:v>
      </x:c>
      <x:c r="L55" s="32" t="str">
        <x:v>BY-REL-P1-003-声音来源真实性;BY-SND-P1-002-登月服内部呼吸与结构声</x:v>
      </x:c>
      <x:c r="M55" s="32" t="str"/>
      <x:c r="N55" s="32" t="str">
        <x:v>阶段1映射完成｜阶段2B按镜头状态调用</x:v>
      </x:c>
      <x:c r="O55" s="32" t="str">
        <x:v>第一名航天员全程由任务相机证明。</x:v>
      </x:c>
    </x:row>
    <x:row r="56" ht="62" customHeight="1">
      <x:c r="A56" s="110" t="n">
        <x:v>55</x:v>
      </x:c>
      <x:c r="B56" s="110" t="n">
        <x:v>8</x:v>
      </x:c>
      <x:c r="C56" s="110" t="str">
        <x:v>出舱与中国航天员首次踏上月面</x:v>
      </x:c>
      <x:c r="D56" s="110" t="str">
        <x:v>00:07:24–00:07:32</x:v>
      </x:c>
      <x:c r="E56" s="110" t="n">
        <x:v>8</x:v>
      </x:c>
      <x:c r="F56" s="32" t="str">
        <x:v>宇航服相机／扶梯</x:v>
      </x:c>
      <x:c r="G56" s="32" t="str">
        <x:v>杨凛向下移动，在最后一级停顿，低头确认足下地形。</x:v>
      </x:c>
      <x:c r="H56" s="32" t="str">
        <x:v>常规任务状态</x:v>
      </x:c>
      <x:c r="I56" s="110" t="str">
        <x:v>A｜航天器／宇航服／月面真实任务机位推演</x:v>
      </x:c>
      <x:c r="J56" s="32" t="str">
        <x:v>BY-CHR-P0-001-杨凛;BY-CHR-P0-002-陈砚;BY-CST-P0-001-杨凛舱内飞行服;BY-CST-P0-004-杨凛望宇登月服;BY-CST-P0-005-陈砚望宇登月服;BY-LGT-P0-004-月面艺术化任务日光;BY-PRP-P0-002-揽月舷梯与扶手系统;BY-PRP-P1-014-宇航服任务相机;BY-REL-P0-012-月面艺术化光照与声明;BY-REL-P1-001-月面空间总图;BY-REL-P1-007-摄影来源证据层级;BY-SCN-P0-004-月面着陆与作业区</x:v>
      </x:c>
      <x:c r="K56" s="32" t="str">
        <x:v>BY-VOI-P0-001-杨凛声音</x:v>
      </x:c>
      <x:c r="L56" s="32" t="str">
        <x:v>BY-REL-P1-003-声音来源真实性;BY-SND-P1-002-登月服内部呼吸与结构声</x:v>
      </x:c>
      <x:c r="M56" s="32" t="str"/>
      <x:c r="N56" s="32" t="str">
        <x:v>阶段1映射完成｜阶段2B按镜头状态调用</x:v>
      </x:c>
      <x:c r="O56" s="32" t="str">
        <x:v>月面外部没有脚步声。</x:v>
      </x:c>
    </x:row>
    <x:row r="57" ht="62" customHeight="1">
      <x:c r="A57" s="110" t="n">
        <x:v>56</x:v>
      </x:c>
      <x:c r="B57" s="110" t="n">
        <x:v>8</x:v>
      </x:c>
      <x:c r="C57" s="110" t="str">
        <x:v>出舱与中国航天员首次踏上月面</x:v>
      </x:c>
      <x:c r="D57" s="110" t="str">
        <x:v>00:07:32–00:07:42</x:v>
      </x:c>
      <x:c r="E57" s="110" t="n">
        <x:v>10</x:v>
      </x:c>
      <x:c r="F57" s="32" t="str">
        <x:v>揽月外部固定相机／近全景</x:v>
      </x:c>
      <x:c r="G57" s="32" t="str">
        <x:v>杨凛一只脚接触月面，重心缓慢转移，站稳后停顿并抬头。</x:v>
      </x:c>
      <x:c r="H57" s="32" t="str">
        <x:v>月面相机部署前｜不得使用便携相机第三视角</x:v>
      </x:c>
      <x:c r="I57" s="110" t="str">
        <x:v>A｜航天器／宇航服／月面真实任务机位推演</x:v>
      </x:c>
      <x:c r="J57" s="32" t="str">
        <x:v>BY-CHR-P0-001-杨凛;BY-CHR-P0-002-陈砚;BY-CST-P0-001-杨凛舱内飞行服;BY-CST-P0-004-杨凛望宇登月服;BY-CST-P0-005-陈砚望宇登月服;BY-LGT-P0-004-月面艺术化任务日光;BY-PRP-P1-015-航天器任务相机组;BY-REL-P0-005-揽月构型状态链;BY-REL-P0-012-月面艺术化光照与声明;BY-REL-P1-001-月面空间总图;BY-REL-P1-007-摄影来源证据层级;BY-SCN-P0-004-月面着陆与作业区;BY-VEH-P0-003-揽月登月舱;BY-VFX-P0-002-触月关机与月尘回落;BY-VFX-P0-003-第一足印月壤形变</x:v>
      </x:c>
      <x:c r="K57" s="32" t="str">
        <x:v>BY-VOI-P0-001-杨凛声音;BY-VOI-P1-004-北京飞控主调度声音</x:v>
      </x:c>
      <x:c r="L57" s="32" t="str">
        <x:v>BY-REL-P1-003-声音来源真实性;BY-SND-P1-002-登月服内部呼吸与结构声;BY-SND-P1-003-发动机舱内结构振动</x:v>
      </x:c>
      <x:c r="M57" s="32" t="str"/>
      <x:c r="N57" s="32" t="str">
        <x:v>阶段1映射完成｜阶段2B按镜头状态调用</x:v>
      </x:c>
      <x:c r="O57" s="32" t="str">
        <x:v>不虚构口号；给身体动作和通信延迟留出完整时间。</x:v>
      </x:c>
    </x:row>
    <x:row r="58" ht="62" customHeight="1">
      <x:c r="A58" s="110" t="n">
        <x:v>57</x:v>
      </x:c>
      <x:c r="B58" s="110" t="n">
        <x:v>8</x:v>
      </x:c>
      <x:c r="C58" s="110" t="str">
        <x:v>出舱与中国航天员首次踏上月面</x:v>
      </x:c>
      <x:c r="D58" s="110" t="str">
        <x:v>00:07:42–00:07:50</x:v>
      </x:c>
      <x:c r="E58" s="110" t="n">
        <x:v>8</x:v>
      </x:c>
      <x:c r="F58" s="32" t="str">
        <x:v>宇航服相机／月面小范围</x:v>
      </x:c>
      <x:c r="G58" s="32" t="str">
        <x:v>杨凛检查足下承载、转身幅度和安全绳活动范围，随后移至舱梯侧方安全位置。</x:v>
      </x:c>
      <x:c r="H58" s="32" t="str">
        <x:v>常规任务状态</x:v>
      </x:c>
      <x:c r="I58" s="110" t="str">
        <x:v>A｜航天器／宇航服／月面真实任务机位推演</x:v>
      </x:c>
      <x:c r="J58" s="32" t="str">
        <x:v>BY-CHR-P0-001-杨凛;BY-CHR-P0-002-陈砚;BY-CST-P0-001-杨凛舱内飞行服;BY-CST-P0-004-杨凛望宇登月服;BY-CST-P0-005-陈砚望宇登月服;BY-LGT-P0-004-月面艺术化任务日光;BY-PRP-P1-004-月面工具包与载荷固定系统;BY-PRP-P1-014-宇航服任务相机;BY-REL-P0-012-月面艺术化光照与声明;BY-REL-P1-001-月面空间总图;BY-REL-P1-007-摄影来源证据层级;BY-SCN-P0-004-月面着陆与作业区</x:v>
      </x:c>
      <x:c r="K58" s="32" t="str">
        <x:v>BY-VOI-P0-001-杨凛声音</x:v>
      </x:c>
      <x:c r="L58" s="32" t="str">
        <x:v>BY-REL-P1-003-声音来源真实性;BY-SND-P1-002-登月服内部呼吸与结构声</x:v>
      </x:c>
      <x:c r="M58" s="32" t="str"/>
      <x:c r="N58" s="32" t="str">
        <x:v>阶段1映射完成｜阶段2B按镜头状态调用</x:v>
      </x:c>
      <x:c r="O58" s="32" t="str">
        <x:v>专业上先完成安全检查，再允许第二人下梯。</x:v>
      </x:c>
    </x:row>
    <x:row r="59" ht="62" customHeight="1">
      <x:c r="A59" s="110" t="n">
        <x:v>58</x:v>
      </x:c>
      <x:c r="B59" s="110" t="n">
        <x:v>8</x:v>
      </x:c>
      <x:c r="C59" s="110" t="str">
        <x:v>出舱与中国航天员首次踏上月面</x:v>
      </x:c>
      <x:c r="D59" s="110" t="str">
        <x:v>00:07:50–00:07:58</x:v>
      </x:c>
      <x:c r="E59" s="110" t="n">
        <x:v>8</x:v>
      </x:c>
      <x:c r="F59" s="32" t="str">
        <x:v>揽月外部固定相机</x:v>
      </x:c>
      <x:c r="G59" s="32" t="str">
        <x:v>陈砚按同一路径单人出舱并下梯；杨凛在安全距离监护。</x:v>
      </x:c>
      <x:c r="H59" s="32" t="str">
        <x:v>常规任务状态</x:v>
      </x:c>
      <x:c r="I59" s="110" t="str">
        <x:v>A｜航天器／宇航服／月面真实任务机位推演</x:v>
      </x:c>
      <x:c r="J59" s="32" t="str">
        <x:v>BY-CHR-P0-001-杨凛;BY-CHR-P0-002-陈砚;BY-CST-P0-001-杨凛舱内飞行服;BY-CST-P0-002-陈砚舱内飞行服;BY-CST-P0-004-杨凛望宇登月服;BY-CST-P0-005-陈砚望宇登月服;BY-PRP-P1-015-航天器任务相机组;BY-REL-P0-005-揽月构型状态链;BY-REL-P1-007-摄影来源证据层级;BY-VEH-P0-003-揽月登月舱</x:v>
      </x:c>
      <x:c r="K59" s="32" t="str">
        <x:v>BY-VOI-P0-002-陈砚声音</x:v>
      </x:c>
      <x:c r="L59" s="32" t="str">
        <x:v>BY-REL-P1-003-声音来源真实性;BY-SND-P1-002-登月服内部呼吸与结构声</x:v>
      </x:c>
      <x:c r="M59" s="32" t="str"/>
      <x:c r="N59" s="32" t="str">
        <x:v>阶段1映射完成｜阶段2B按镜头状态调用</x:v>
      </x:c>
      <x:c r="O59" s="32" t="str">
        <x:v>不让两人同时挤在舱口或扶梯。</x:v>
      </x:c>
    </x:row>
    <x:row r="60" ht="62" customHeight="1">
      <x:c r="A60" s="110" t="n">
        <x:v>59</x:v>
      </x:c>
      <x:c r="B60" s="110" t="n">
        <x:v>8</x:v>
      </x:c>
      <x:c r="C60" s="110" t="str">
        <x:v>出舱与中国航天员首次踏上月面</x:v>
      </x:c>
      <x:c r="D60" s="110" t="str">
        <x:v>00:07:58–00:08:04</x:v>
      </x:c>
      <x:c r="E60" s="110" t="n">
        <x:v>6</x:v>
      </x:c>
      <x:c r="F60" s="32" t="str">
        <x:v>揽月外部固定相机</x:v>
      </x:c>
      <x:c r="G60" s="32" t="str">
        <x:v>两人在落脚区相互检查生命保障外观，随后面向相机短暂挥手。</x:v>
      </x:c>
      <x:c r="H60" s="32" t="str">
        <x:v>常规任务状态</x:v>
      </x:c>
      <x:c r="I60" s="110" t="str">
        <x:v>A｜航天器／宇航服／月面真实任务机位推演</x:v>
      </x:c>
      <x:c r="J60" s="32" t="str">
        <x:v>BY-CHR-P0-001-杨凛;BY-CHR-P0-002-陈砚;BY-CST-P0-004-杨凛望宇登月服;BY-CST-P0-005-陈砚望宇登月服;BY-PRP-P1-015-航天器任务相机组;BY-REL-P0-005-揽月构型状态链;BY-REL-P1-007-摄影来源证据层级;BY-VEH-P0-003-揽月登月舱</x:v>
      </x:c>
      <x:c r="K60" s="32" t="str">
        <x:v>BY-VOI-P0-001-杨凛声音;BY-VOI-P1-004-北京飞控主调度声音</x:v>
      </x:c>
      <x:c r="L60" s="32" t="str">
        <x:v>BY-REL-P1-003-声音来源真实性;BY-SND-P1-002-登月服内部呼吸与结构声</x:v>
      </x:c>
      <x:c r="M60" s="32" t="str"/>
      <x:c r="N60" s="32" t="str">
        <x:v>阶段1映射完成｜阶段2B按镜头状态调用</x:v>
      </x:c>
      <x:c r="O60" s="32" t="str">
        <x:v>挥手发生在安全检查之后。</x:v>
      </x:c>
    </x:row>
    <x:row r="61" ht="62" customHeight="1">
      <x:c r="A61" s="110" t="n">
        <x:v>60</x:v>
      </x:c>
      <x:c r="B61" s="110" t="n">
        <x:v>8</x:v>
      </x:c>
      <x:c r="C61" s="110" t="str">
        <x:v>出舱与中国航天员首次踏上月面</x:v>
      </x:c>
      <x:c r="D61" s="110" t="str">
        <x:v>00:08:04–00:08:11</x:v>
      </x:c>
      <x:c r="E61" s="110" t="n">
        <x:v>7</x:v>
      </x:c>
      <x:c r="F61" s="32" t="str">
        <x:v>宇航服相机／低机位</x:v>
      </x:c>
      <x:c r="G61" s="32" t="str">
        <x:v>两人从揽月外部取出折叠三脚架和便携月面相机，在着陆器侧前方安全距离固定并对准揽月与工作区。</x:v>
      </x:c>
      <x:c r="H61" s="32" t="str">
        <x:v>常规任务状态</x:v>
      </x:c>
      <x:c r="I61" s="110" t="str">
        <x:v>A｜航天器／宇航服／月面真实任务机位推演</x:v>
      </x:c>
      <x:c r="J61" s="32" t="str">
        <x:v>BY-CHR-P0-001-杨凛;BY-CHR-P0-002-陈砚;BY-CST-P0-004-杨凛望宇登月服;BY-CST-P0-005-陈砚望宇登月服;BY-LGT-P0-004-月面艺术化任务日光;BY-PRP-P0-003-便携式月面摄像机;BY-PRP-P1-014-宇航服任务相机;BY-REL-P0-005-揽月构型状态链;BY-REL-P0-006-月面摄像机摄影来源;BY-REL-P0-012-月面艺术化光照与声明;BY-REL-P1-001-月面空间总图;BY-REL-P1-007-摄影来源证据层级;BY-SCN-P0-004-月面着陆与作业区;BY-VEH-P0-003-揽月登月舱</x:v>
      </x:c>
      <x:c r="K61" s="32" t="str">
        <x:v>BY-VOI-P0-001-杨凛声音;BY-VOI-P0-002-陈砚声音</x:v>
      </x:c>
      <x:c r="L61" s="32" t="str">
        <x:v>BY-REL-P1-003-声音来源真实性;BY-SND-P1-002-登月服内部呼吸与结构声;BY-SND-P1-003-发动机舱内结构振动</x:v>
      </x:c>
      <x:c r="M61" s="32" t="str"/>
      <x:c r="N61" s="32" t="str">
        <x:v>阶段1映射完成｜阶段2B按镜头状态调用</x:v>
      </x:c>
      <x:c r="O61" s="32" t="str">
        <x:v>从下一场起，第三视角可由这台真实任务相机提供。</x:v>
      </x:c>
    </x:row>
    <x:row r="62" ht="62" customHeight="1">
      <x:c r="A62" s="110" t="n">
        <x:v>61</x:v>
      </x:c>
      <x:c r="B62" s="110" t="n">
        <x:v>9</x:v>
      </x:c>
      <x:c r="C62" s="110" t="str">
        <x:v>国旗展示与科学任务说明</x:v>
      </x:c>
      <x:c r="D62" s="110" t="str">
        <x:v>00:08:11–00:08:17</x:v>
      </x:c>
      <x:c r="E62" s="110" t="n">
        <x:v>6</x:v>
      </x:c>
      <x:c r="F62" s="32" t="str">
        <x:v>便携月面相机固定全景</x:v>
      </x:c>
      <x:c r="G62" s="32" t="str">
        <x:v>两名航天员、完整揽月和工作区同时入画；陈砚在相机前做链路手势，杨凛转向着陆腿。</x:v>
      </x:c>
      <x:c r="H62" s="32" t="str">
        <x:v>同一便携月面相机｜机位连续</x:v>
      </x:c>
      <x:c r="I62" s="110" t="str">
        <x:v>A｜航天器／宇航服／月面真实任务机位推演</x:v>
      </x:c>
      <x:c r="J62" s="32" t="str">
        <x:v>BY-ANM-P1-001-月面科研时间压缩;BY-CHR-P0-001-杨凛;BY-CHR-P0-002-陈砚;BY-CST-P0-001-杨凛舱内飞行服;BY-CST-P0-002-陈砚舱内飞行服;BY-CST-P0-004-杨凛望宇登月服;BY-CST-P0-005-陈砚望宇登月服;BY-LGT-P0-004-月面艺术化任务日光;BY-PRP-P0-003-便携式月面摄像机;BY-REL-P0-005-揽月构型状态链;BY-REL-P0-006-月面摄像机摄影来源;BY-REL-P0-012-月面艺术化光照与声明;BY-REL-P1-001-月面空间总图;BY-REL-P1-007-摄影来源证据层级;BY-SCN-P0-004-月面着陆与作业区;BY-VEH-P0-003-揽月登月舱</x:v>
      </x:c>
      <x:c r="K62" s="32" t="str">
        <x:v>BY-VOI-P1-004-北京飞控主调度声音</x:v>
      </x:c>
      <x:c r="L62" s="32" t="str">
        <x:v>BY-REL-P1-003-声音来源真实性;BY-SND-P1-002-登月服内部呼吸与结构声;BY-SND-P1-003-发动机舱内结构振动</x:v>
      </x:c>
      <x:c r="M62" s="32" t="str"/>
      <x:c r="N62" s="32" t="str">
        <x:v>阶段1映射完成｜阶段2B按镜头状态调用</x:v>
      </x:c>
      <x:c r="O62" s="32" t="str">
        <x:v>第一次使用真实部署的第三视角。</x:v>
      </x:c>
    </x:row>
    <x:row r="63" ht="62" customHeight="1">
      <x:c r="A63" s="110" t="n">
        <x:v>62</x:v>
      </x:c>
      <x:c r="B63" s="110" t="n">
        <x:v>9</x:v>
      </x:c>
      <x:c r="C63" s="110" t="str">
        <x:v>国旗展示与科学任务说明</x:v>
      </x:c>
      <x:c r="D63" s="110" t="str">
        <x:v>00:08:17–00:08:24</x:v>
      </x:c>
      <x:c r="E63" s="110" t="n">
        <x:v>7</x:v>
      </x:c>
      <x:c r="F63" s="32" t="str">
        <x:v>宇航服相机／着陆腿侧</x:v>
      </x:c>
      <x:c r="G63" s="32" t="str">
        <x:v>杨凛巡视着陆腿、喷流影响区和舱体外观；陈砚用样品袋完成近舱紧急样品采集。</x:v>
      </x:c>
      <x:c r="H63" s="32" t="str">
        <x:v>常规任务状态</x:v>
      </x:c>
      <x:c r="I63" s="110" t="str">
        <x:v>A｜航天器／宇航服／月面真实任务机位推演</x:v>
      </x:c>
      <x:c r="J63" s="32" t="str">
        <x:v>BY-ANM-P1-001-月面科研时间压缩;BY-CHR-P0-001-杨凛;BY-CHR-P0-002-陈砚;BY-CST-P0-001-杨凛舱内飞行服;BY-CST-P0-002-陈砚舱内飞行服;BY-CST-P0-004-杨凛望宇登月服;BY-CST-P0-005-陈砚望宇登月服;BY-CST-P1-001-杨凛登月服轻度月尘状态;BY-CST-P1-002-陈砚登月服轻度月尘状态;BY-PRP-P1-002-月壤样品容器;BY-PRP-P1-014-宇航服任务相机;BY-REL-P1-006-月面科学路线与样品链;BY-REL-P1-007-摄影来源证据层级;BY-SCN-P1-005-月面后段科考区</x:v>
      </x:c>
      <x:c r="K63" s="32" t="str"/>
      <x:c r="L63" s="32" t="str">
        <x:v>BY-REL-P1-003-声音来源真实性;BY-SND-P1-002-登月服内部呼吸与结构声;BY-SND-P1-003-发动机舱内结构振动</x:v>
      </x:c>
      <x:c r="M63" s="32" t="str"/>
      <x:c r="N63" s="32" t="str">
        <x:v>阶段1映射完成｜阶段2B按镜头状态调用</x:v>
      </x:c>
      <x:c r="O63" s="32" t="str">
        <x:v>先保证安全与最低限度样品，再展开后续任务。</x:v>
      </x:c>
    </x:row>
    <x:row r="64" ht="62" customHeight="1">
      <x:c r="A64" s="110" t="n">
        <x:v>63</x:v>
      </x:c>
      <x:c r="B64" s="110" t="n">
        <x:v>9</x:v>
      </x:c>
      <x:c r="C64" s="110" t="str">
        <x:v>国旗展示与科学任务说明</x:v>
      </x:c>
      <x:c r="D64" s="110" t="str">
        <x:v>00:08:24–00:08:31</x:v>
      </x:c>
      <x:c r="E64" s="110" t="n">
        <x:v>7</x:v>
      </x:c>
      <x:c r="F64" s="32" t="str">
        <x:v>便携月面相机中远景</x:v>
      </x:c>
      <x:c r="G64" s="32" t="str">
        <x:v>两人从揽月外部释放月球车与采样箱，随后展开折叠式国旗展示装置。</x:v>
      </x:c>
      <x:c r="H64" s="32" t="str">
        <x:v>同一便携月面相机｜机位连续</x:v>
      </x:c>
      <x:c r="I64" s="110" t="str">
        <x:v>A｜航天器／宇航服／月面真实任务机位推演</x:v>
      </x:c>
      <x:c r="J64" s="32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0-003-便携式月面摄像机;BY-PRP-P0-004-工程化国旗展示装置;BY-PRP-P1-012-月球车任务相机组;BY-REL-P0-005-揽月构型状态链;BY-REL-P0-006-月面摄像机摄影来源;BY-REL-P0-007-国旗装置部署链;BY-REL-P0-012-月面艺术化光照与声明;BY-REL-P1-001-月面空间总图;BY-REL-P1-006-月面科学路线与样品链;BY-REL-P1-007-摄影来源证据层级;BY-SCN-P0-004-月面着陆与作业区;BY-SCN-P1-005-月面后段科考区;BY-SYM-P0-001-中华人民共和国国旗图形;BY-VEH-P0-003-揽月登月舱;BY-VEH-P0-004-探索载人月球车;BY-VFX-P1-007-月球车轮迹与低重力扬尘</x:v>
      </x:c>
      <x:c r="K64" s="32" t="str"/>
      <x:c r="L64" s="32" t="str">
        <x:v>BY-REL-P1-003-声音来源真实性;BY-SND-P1-002-登月服内部呼吸与结构声;BY-SND-P1-007-月球车设备链路结构声</x:v>
      </x:c>
      <x:c r="M64" s="32" t="str"/>
      <x:c r="N64" s="32" t="str">
        <x:v>阶段1映射完成｜阶段2B按镜头状态调用</x:v>
      </x:c>
      <x:c r="O64" s="32" t="str">
        <x:v>国旗装置保持工程化和可操作尺度。</x:v>
      </x:c>
    </x:row>
    <x:row r="65" ht="62" customHeight="1">
      <x:c r="A65" s="110" t="n">
        <x:v>64</x:v>
      </x:c>
      <x:c r="B65" s="110" t="n">
        <x:v>9</x:v>
      </x:c>
      <x:c r="C65" s="110" t="str">
        <x:v>国旗展示与科学任务说明</x:v>
      </x:c>
      <x:c r="D65" s="110" t="str">
        <x:v>00:08:31–00:08:40</x:v>
      </x:c>
      <x:c r="E65" s="110" t="n">
        <x:v>9</x:v>
      </x:c>
      <x:c r="F65" s="32" t="str">
        <x:v>便携月面相机固定全景</x:v>
      </x:c>
      <x:c r="G65" s="32" t="str">
        <x:v>五星红旗在横杆支撑下完整展开，两名航天员分立两侧，揽月位于后方。</x:v>
      </x:c>
      <x:c r="H65" s="32" t="str">
        <x:v>同一便携月面相机｜机位连续</x:v>
      </x:c>
      <x:c r="I65" s="110" t="str">
        <x:v>A｜航天器／宇航服／月面真实任务机位推演</x:v>
      </x:c>
      <x:c r="J65" s="32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0-003-便携式月面摄像机;BY-REL-P0-005-揽月构型状态链;BY-REL-P0-006-月面摄像机摄影来源;BY-REL-P0-012-月面艺术化光照与声明;BY-REL-P1-001-月面空间总图;BY-REL-P1-007-摄影来源证据层级;BY-SCN-P0-004-月面着陆与作业区;BY-VEH-P0-003-揽月登月舱</x:v>
      </x:c>
      <x:c r="K65" s="32" t="str">
        <x:v>BY-VOI-P0-001-杨凛声音</x:v>
      </x:c>
      <x:c r="L65" s="32" t="str">
        <x:v>BY-REL-P1-003-声音来源真实性;BY-SND-P1-002-登月服内部呼吸与结构声</x:v>
      </x:c>
      <x:c r="M65" s="32" t="str"/>
      <x:c r="N65" s="32" t="str">
        <x:v>阶段1映射完成｜阶段2B按镜头状态调用</x:v>
      </x:c>
      <x:c r="O65" s="32" t="str">
        <x:v>月面无风，旗面不自行飘动。</x:v>
      </x:c>
    </x:row>
    <x:row r="66" ht="62" customHeight="1">
      <x:c r="A66" s="110" t="n">
        <x:v>65</x:v>
      </x:c>
      <x:c r="B66" s="110" t="n">
        <x:v>9</x:v>
      </x:c>
      <x:c r="C66" s="110" t="str">
        <x:v>国旗展示与科学任务说明</x:v>
      </x:c>
      <x:c r="D66" s="110" t="str">
        <x:v>00:08:40–00:08:51</x:v>
      </x:c>
      <x:c r="E66" s="110" t="n">
        <x:v>11</x:v>
      </x:c>
      <x:c r="F66" s="32" t="str">
        <x:v>媒体区记者近景</x:v>
      </x:c>
      <x:c r="G66" s="32" t="str">
        <x:v>林知夏身后大屏是国旗、航天员和揽月同框画面。</x:v>
      </x:c>
      <x:c r="H66" s="32" t="str">
        <x:v>常规任务状态</x:v>
      </x:c>
      <x:c r="I66" s="110" t="str">
        <x:v>B｜地面直播／测控任务机位</x:v>
      </x:c>
      <x:c r="J66" s="32" t="str">
        <x:v>BY-ANM-P1-001-月面科研时间压缩;BY-CHR-P0-001-杨凛;BY-CHR-P0-002-陈砚;BY-CHR-P1-002-林知夏;BY-CST-P0-004-杨凛望宇登月服;BY-CST-P0-005-陈砚望宇登月服;BY-CST-P1-001-杨凛登月服轻度月尘状态;BY-CST-P1-002-陈砚登月服轻度月尘状态;BY-CST-P1-004-林知夏记者服装;BY-LGT-P0-004-月面艺术化任务日光;BY-LGT-P1-008-飞控媒体区直播光;BY-PRP-P0-004-工程化国旗展示装置;BY-REL-P0-005-揽月构型状态链;BY-REL-P0-007-国旗装置部署链;BY-REL-P0-012-月面艺术化光照与声明;BY-REL-P1-001-月面空间总图;BY-REL-P1-007-摄影来源证据层级;BY-REL-P1-008-三段直播结构链;BY-SCN-P0-004-月面着陆与作业区;BY-SCN-P1-003-飞控中心媒体区;BY-SYM-P0-001-中华人民共和国国旗图形;BY-VEH-P0-003-揽月登月舱</x:v>
      </x:c>
      <x:c r="K66" s="32" t="str">
        <x:v>BY-VOI-P1-002-林知夏声音</x:v>
      </x:c>
      <x:c r="L66" s="32" t="str">
        <x:v>BY-REL-P1-003-声音来源真实性;BY-SND-P1-002-登月服内部呼吸与结构声;BY-SND-P1-009-媒体区直播现场声</x:v>
      </x:c>
      <x:c r="M66" s="32" t="str">
        <x:v>BY-SYM-P1-007-直播进口出口与倒计时</x:v>
      </x:c>
      <x:c r="N66" s="32" t="str">
        <x:v>阶段1映射完成｜阶段2B按镜头状态调用</x:v>
      </x:c>
      <x:c r="O66" s="32" t="str">
        <x:v>载人登月国旗的具体实现仍属于艺术推演；不写成官方已公布方案。</x:v>
      </x:c>
    </x:row>
    <x:row r="67" ht="62" customHeight="1">
      <x:c r="A67" s="110" t="n">
        <x:v>66</x:v>
      </x:c>
      <x:c r="B67" s="110" t="n">
        <x:v>9</x:v>
      </x:c>
      <x:c r="C67" s="110" t="str">
        <x:v>国旗展示与科学任务说明</x:v>
      </x:c>
      <x:c r="D67" s="110" t="str">
        <x:v>00:08:51–00:09:05</x:v>
      </x:c>
      <x:c r="E67" s="110" t="n">
        <x:v>14</x:v>
      </x:c>
      <x:c r="F67" s="32" t="str">
        <x:v>媒体区专家双人</x:v>
      </x:c>
      <x:c r="G67" s="32" t="str">
        <x:v>顾青岚指向着陆区地质图，图上显示附近不同颜色的地质单元和短程活动范围。</x:v>
      </x:c>
      <x:c r="H67" s="32" t="str">
        <x:v>常规任务状态</x:v>
      </x:c>
      <x:c r="I67" s="110" t="str">
        <x:v>B｜地面直播／测控任务机位</x:v>
      </x:c>
      <x:c r="J67" s="32" t="str">
        <x:v>BY-ANM-P1-001-月面科研时间压缩;BY-CHR-P1-002-林知夏;BY-CHR-P1-006-顾青岚;BY-CST-P1-001-杨凛登月服轻度月尘状态;BY-CST-P1-002-陈砚登月服轻度月尘状态;BY-CST-P1-004-林知夏记者服装;BY-CST-P1-008-顾青岚专家服装;BY-LGT-P0-004-月面艺术化任务日光;BY-LGT-P1-008-飞控媒体区直播光;BY-REL-P0-012-月面艺术化光照与声明;BY-REL-P1-001-月面空间总图;BY-REL-P1-006-月面科学路线与样品链;BY-REL-P1-007-摄影来源证据层级;BY-REL-P1-008-三段直播结构链;BY-SCN-P0-004-月面着陆与作业区;BY-SCN-P1-003-飞控中心媒体区;BY-SCN-P1-005-月面后段科考区</x:v>
      </x:c>
      <x:c r="K67" s="32" t="str">
        <x:v>BY-VOI-P1-014-顾青岚声音</x:v>
      </x:c>
      <x:c r="L67" s="32" t="str">
        <x:v>BY-REL-P1-003-声音来源真实性;BY-SND-P1-002-登月服内部呼吸与结构声;BY-SND-P1-003-发动机舱内结构振动;BY-SND-P1-009-媒体区直播现场声</x:v>
      </x:c>
      <x:c r="M67" s="32" t="str">
        <x:v>BY-SYM-P1-007-直播进口出口与倒计时</x:v>
      </x:c>
      <x:c r="N67" s="32" t="str">
        <x:v>阶段1映射完成｜阶段2B按镜头状态调用</x:v>
      </x:c>
      <x:c r="O67" s="32" t="str">
        <x:v>项目坐标是艺术锁定点，不说成官方着陆点。</x:v>
      </x:c>
    </x:row>
    <x:row r="68" ht="62" customHeight="1">
      <x:c r="A68" s="110" t="n">
        <x:v>67</x:v>
      </x:c>
      <x:c r="B68" s="110" t="n">
        <x:v>9</x:v>
      </x:c>
      <x:c r="C68" s="110" t="str">
        <x:v>国旗展示与科学任务说明</x:v>
      </x:c>
      <x:c r="D68" s="110" t="str">
        <x:v>00:09:05–00:09:11</x:v>
      </x:c>
      <x:c r="E68" s="110" t="n">
        <x:v>6</x:v>
      </x:c>
      <x:c r="F68" s="32" t="str">
        <x:v>地质图卡／任务路线</x:v>
      </x:c>
      <x:c r="G68" s="32" t="str">
        <x:v>路线依次标出表取样、岩芯钻取和科学载荷部署点。</x:v>
      </x:c>
      <x:c r="H68" s="32" t="str">
        <x:v>常规任务状态</x:v>
      </x:c>
      <x:c r="I68" s="110" t="str">
        <x:v>D｜后期字幕／解释图卡</x:v>
      </x:c>
      <x:c r="J68" s="32" t="str">
        <x:v>BY-ANM-P1-001-月面科研时间压缩;BY-CST-P1-001-杨凛登月服轻度月尘状态;BY-CST-P1-002-陈砚登月服轻度月尘状态;BY-PRP-P1-002-月壤样品容器;BY-PRP-P1-003-月面科学观测设备;BY-REL-P1-006-月面科学路线与样品链;BY-REL-P1-007-摄影来源证据层级;BY-SCN-P1-005-月面后段科考区</x:v>
      </x:c>
      <x:c r="K68" s="32" t="str">
        <x:v>BY-VOI-P1-014-顾青岚声音</x:v>
      </x:c>
      <x:c r="L68" s="32" t="str">
        <x:v>BY-REL-P1-003-声音来源真实性;BY-SND-P1-002-登月服内部呼吸与结构声</x:v>
      </x:c>
      <x:c r="M68" s="32" t="str"/>
      <x:c r="N68" s="32" t="str">
        <x:v>阶段1映射完成｜阶段2B按镜头状态调用</x:v>
      </x:c>
      <x:c r="O68" s="32" t="str">
        <x:v>图卡文字由后期制作。</x:v>
      </x:c>
    </x:row>
    <x:row r="69" ht="62" customHeight="1">
      <x:c r="A69" s="110" t="n">
        <x:v>68</x:v>
      </x:c>
      <x:c r="B69" s="110" t="n">
        <x:v>9</x:v>
      </x:c>
      <x:c r="C69" s="110" t="str">
        <x:v>国旗展示与科学任务说明</x:v>
      </x:c>
      <x:c r="D69" s="110" t="str">
        <x:v>00:09:11–00:09:16</x:v>
      </x:c>
      <x:c r="E69" s="110" t="n">
        <x:v>5</x:v>
      </x:c>
      <x:c r="F69" s="32" t="str">
        <x:v>月球车侧向固定相机</x:v>
      </x:c>
      <x:c r="G69" s="32" t="str">
        <x:v>两名航天员将采样箱固定到月球车，沿预定路线离开着陆器近区。</x:v>
      </x:c>
      <x:c r="H69" s="32" t="str">
        <x:v>常规任务状态</x:v>
      </x:c>
      <x:c r="I69" s="110" t="str">
        <x:v>A｜航天器／宇航服／月面真实任务机位推演</x:v>
      </x:c>
      <x:c r="J69" s="32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1-012-月球车任务相机组;BY-REL-P0-012-月面艺术化光照与声明;BY-REL-P1-001-月面空间总图;BY-REL-P1-006-月面科学路线与样品链;BY-REL-P1-007-摄影来源证据层级;BY-SCN-P0-004-月面着陆与作业区;BY-SCN-P1-005-月面后段科考区;BY-VEH-P0-004-探索载人月球车;BY-VFX-P1-007-月球车轮迹与低重力扬尘</x:v>
      </x:c>
      <x:c r="K69" s="32" t="str">
        <x:v>BY-VOI-P0-001-杨凛声音</x:v>
      </x:c>
      <x:c r="L69" s="32" t="str">
        <x:v>BY-REL-P1-003-声音来源真实性;BY-SND-P1-002-登月服内部呼吸与结构声;BY-SND-P1-003-发动机舱内结构振动;BY-SND-P1-007-月球车设备链路结构声</x:v>
      </x:c>
      <x:c r="M69" s="32" t="str"/>
      <x:c r="N69" s="32" t="str">
        <x:v>阶段1映射完成｜阶段2B按镜头状态调用</x:v>
      </x:c>
      <x:c r="O69" s="32" t="str">
        <x:v>进入约7小时40分的主舱外活动。</x:v>
      </x:c>
    </x:row>
    <x:row r="70" ht="62" customHeight="1">
      <x:c r="A70" s="110" t="n">
        <x:v>69</x:v>
      </x:c>
      <x:c r="B70" s="110" t="n">
        <x:v>10</x:v>
      </x:c>
      <x:c r="C70" s="110" t="str">
        <x:v>月面科研时间压缩</x:v>
      </x:c>
      <x:c r="D70" s="110" t="str">
        <x:v>00:09:16–00:09:24</x:v>
      </x:c>
      <x:c r="E70" s="110" t="n">
        <x:v>8</x:v>
      </x:c>
      <x:c r="F70" s="32" t="str">
        <x:v>便携月面相机固定延时／后期时间码</x:v>
      </x:c>
      <x:c r="G70" s="32" t="str">
        <x:v>画面保留揽月、国旗和工作区；两名航天员与月球车多次进出画面。时间码由T+06:20推进到T+08:20。</x:v>
      </x:c>
      <x:c r="H70" s="32" t="str">
        <x:v>同一便携月面相机｜机位连续</x:v>
      </x:c>
      <x:c r="I70" s="110" t="str">
        <x:v>A｜航天器／宇航服／月面真实任务机位推演</x:v>
      </x:c>
      <x:c r="J70" s="32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0-003-便携式月面摄像机;BY-PRP-P0-004-工程化国旗展示装置;BY-PRP-P1-012-月球车任务相机组;BY-REL-P0-005-揽月构型状态链;BY-REL-P0-006-月面摄像机摄影来源;BY-REL-P0-007-国旗装置部署链;BY-REL-P0-012-月面艺术化光照与声明;BY-REL-P1-001-月面空间总图;BY-REL-P1-007-摄影来源证据层级;BY-SCN-P0-004-月面着陆与作业区;BY-SYM-P0-001-中华人民共和国国旗图形;BY-VEH-P0-003-揽月登月舱;BY-VEH-P0-004-探索载人月球车;BY-VFX-P1-007-月球车轮迹与低重力扬尘</x:v>
      </x:c>
      <x:c r="K70" s="32" t="str"/>
      <x:c r="L70" s="32" t="str">
        <x:v>BY-REL-P1-003-声音来源真实性;BY-SND-P1-002-登月服内部呼吸与结构声;BY-SND-P1-007-月球车设备链路结构声</x:v>
      </x:c>
      <x:c r="M70" s="32" t="str">
        <x:v>BY-SYM-P1-003-任务阶段与时间跳跃标牌</x:v>
      </x:c>
      <x:c r="N70" s="32" t="str">
        <x:v>阶段1映射完成｜阶段2B按镜头状态调用</x:v>
      </x:c>
      <x:c r="O70" s="32" t="str">
        <x:v>时间压缩由后期完成，不把月面外部动作声带入。</x:v>
      </x:c>
    </x:row>
    <x:row r="71" ht="62" customHeight="1">
      <x:c r="A71" s="110" t="n">
        <x:v>70</x:v>
      </x:c>
      <x:c r="B71" s="110" t="n">
        <x:v>10</x:v>
      </x:c>
      <x:c r="C71" s="110" t="str">
        <x:v>月面科研时间压缩</x:v>
      </x:c>
      <x:c r="D71" s="110" t="str">
        <x:v>00:09:24–00:09:32</x:v>
      </x:c>
      <x:c r="E71" s="110" t="n">
        <x:v>8</x:v>
      </x:c>
      <x:c r="F71" s="32" t="str">
        <x:v>月球车前向相机</x:v>
      </x:c>
      <x:c r="G71" s="32" t="str">
        <x:v>月球车以低速驶过浅坑与细碎岩块，远处揽月和国旗逐渐缩小。</x:v>
      </x:c>
      <x:c r="H71" s="32" t="str">
        <x:v>月面T+时间线连续</x:v>
      </x:c>
      <x:c r="I71" s="110" t="str">
        <x:v>A｜航天器／宇航服／月面真实任务机位推演</x:v>
      </x:c>
      <x:c r="J71" s="32" t="str">
        <x:v>BY-ANM-P1-001-月面科研时间压缩;BY-CST-P1-001-杨凛登月服轻度月尘状态;BY-CST-P1-002-陈砚登月服轻度月尘状态;BY-LGT-P0-004-月面艺术化任务日光;BY-PRP-P0-004-工程化国旗展示装置;BY-PRP-P1-012-月球车任务相机组;BY-REL-P0-005-揽月构型状态链;BY-REL-P0-007-国旗装置部署链;BY-REL-P0-012-月面艺术化光照与声明;BY-REL-P1-001-月面空间总图;BY-REL-P1-007-摄影来源证据层级;BY-SCN-P0-004-月面着陆与作业区;BY-SYM-P0-001-中华人民共和国国旗图形;BY-VEH-P0-003-揽月登月舱;BY-VEH-P0-004-探索载人月球车;BY-VFX-P1-007-月球车轮迹与低重力扬尘</x:v>
      </x:c>
      <x:c r="K71" s="32" t="str"/>
      <x:c r="L71" s="32" t="str">
        <x:v>BY-REL-P1-003-声音来源真实性;BY-SND-P1-002-登月服内部呼吸与结构声;BY-SND-P1-007-月球车设备链路结构声</x:v>
      </x:c>
      <x:c r="M71" s="32" t="str"/>
      <x:c r="N71" s="32" t="str">
        <x:v>阶段1映射完成｜阶段2B按镜头状态调用</x:v>
      </x:c>
      <x:c r="O71" s="32" t="str">
        <x:v>车辆运动无外部轰鸣和轮胎声。</x:v>
      </x:c>
    </x:row>
    <x:row r="72" ht="62" customHeight="1">
      <x:c r="A72" s="110" t="n">
        <x:v>71</x:v>
      </x:c>
      <x:c r="B72" s="110" t="n">
        <x:v>10</x:v>
      </x:c>
      <x:c r="C72" s="110" t="str">
        <x:v>月面科研时间压缩</x:v>
      </x:c>
      <x:c r="D72" s="110" t="str">
        <x:v>00:09:32–00:09:40</x:v>
      </x:c>
      <x:c r="E72" s="110" t="n">
        <x:v>8</x:v>
      </x:c>
      <x:c r="F72" s="32" t="str">
        <x:v>宇航服相机／第一工作点</x:v>
      </x:c>
      <x:c r="G72" s="32" t="str">
        <x:v>陈砚夹取表层样品，杨凛拍摄样品原位、方向标和附近地形。</x:v>
      </x:c>
      <x:c r="H72" s="32" t="str">
        <x:v>月面T+时间线连续</x:v>
      </x:c>
      <x:c r="I72" s="110" t="str">
        <x:v>A｜航天器／宇航服／月面真实任务机位推演</x:v>
      </x:c>
      <x:c r="J72" s="32" t="str">
        <x:v>BY-ANM-P1-001-月面科研时间压缩;BY-CHR-P0-001-杨凛;BY-CHR-P0-002-陈砚;BY-CST-P0-001-杨凛舱内飞行服;BY-CST-P0-002-陈砚舱内飞行服;BY-CST-P0-004-杨凛望宇登月服;BY-CST-P0-005-陈砚望宇登月服;BY-CST-P1-001-杨凛登月服轻度月尘状态;BY-CST-P1-002-陈砚登月服轻度月尘状态;BY-PRP-P1-001-月面采样工具;BY-PRP-P1-014-宇航服任务相机;BY-REL-P1-006-月面科学路线与样品链;BY-REL-P1-007-摄影来源证据层级;BY-SCN-P1-005-月面后段科考区</x:v>
      </x:c>
      <x:c r="K72" s="32" t="str">
        <x:v>BY-VOI-P0-002-陈砚声音</x:v>
      </x:c>
      <x:c r="L72" s="32" t="str">
        <x:v>BY-REL-P1-003-声音来源真实性;BY-SND-P1-002-登月服内部呼吸与结构声</x:v>
      </x:c>
      <x:c r="M72" s="32" t="str"/>
      <x:c r="N72" s="32" t="str">
        <x:v>阶段1映射完成｜阶段2B按镜头状态调用</x:v>
      </x:c>
      <x:c r="O72" s="32" t="str">
        <x:v>采样前先记录原位信息。</x:v>
      </x:c>
    </x:row>
    <x:row r="73" ht="62" customHeight="1">
      <x:c r="A73" s="110" t="n">
        <x:v>72</x:v>
      </x:c>
      <x:c r="B73" s="110" t="n">
        <x:v>10</x:v>
      </x:c>
      <x:c r="C73" s="110" t="str">
        <x:v>月面科研时间压缩</x:v>
      </x:c>
      <x:c r="D73" s="110" t="str">
        <x:v>00:09:40–00:09:48</x:v>
      </x:c>
      <x:c r="E73" s="110" t="n">
        <x:v>8</x:v>
      </x:c>
      <x:c r="F73" s="32" t="str">
        <x:v>月球车侧后固定相机</x:v>
      </x:c>
      <x:c r="G73" s="32" t="str">
        <x:v>两人在不同地貌交界处展开工具，背景中车轮轨迹和近坡地层次清楚。</x:v>
      </x:c>
      <x:c r="H73" s="32" t="str">
        <x:v>月面T+时间线连续</x:v>
      </x:c>
      <x:c r="I73" s="110" t="str">
        <x:v>A｜航天器／宇航服／月面真实任务机位推演</x:v>
      </x:c>
      <x:c r="J73" s="32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1-012-月球车任务相机组;BY-REL-P0-012-月面艺术化光照与声明;BY-REL-P1-001-月面空间总图;BY-REL-P1-007-摄影来源证据层级;BY-SCN-P0-004-月面着陆与作业区;BY-VEH-P0-004-探索载人月球车;BY-VFX-P1-007-月球车轮迹与低重力扬尘</x:v>
      </x:c>
      <x:c r="K73" s="32" t="str">
        <x:v>BY-VOI-P1-014-顾青岚声音</x:v>
      </x:c>
      <x:c r="L73" s="32" t="str">
        <x:v>BY-REL-P1-003-声音来源真实性;BY-SND-P1-002-登月服内部呼吸与结构声;BY-SND-P1-007-月球车设备链路结构声</x:v>
      </x:c>
      <x:c r="M73" s="32" t="str">
        <x:v>BY-SYM-P1-004-任务轨迹与相位图模板</x:v>
      </x:c>
      <x:c r="N73" s="32" t="str">
        <x:v>阶段1映射完成｜阶段2B按镜头状态调用</x:v>
      </x:c>
      <x:c r="O73" s="32" t="str">
        <x:v>第三视角来自月球车固定相机。</x:v>
      </x:c>
    </x:row>
    <x:row r="74" ht="62" customHeight="1">
      <x:c r="A74" s="110" t="n">
        <x:v>73</x:v>
      </x:c>
      <x:c r="B74" s="110" t="n">
        <x:v>10</x:v>
      </x:c>
      <x:c r="C74" s="110" t="str">
        <x:v>月面科研时间压缩</x:v>
      </x:c>
      <x:c r="D74" s="110" t="str">
        <x:v>00:09:48–00:09:57</x:v>
      </x:c>
      <x:c r="E74" s="110" t="n">
        <x:v>9</x:v>
      </x:c>
      <x:c r="F74" s="32" t="str">
        <x:v>宇航服相机／岩芯钻取</x:v>
      </x:c>
      <x:c r="G74" s="32" t="str">
        <x:v>杨凛稳定钻机，陈砚监看深度标记并接收岩芯套管。</x:v>
      </x:c>
      <x:c r="H74" s="32" t="str">
        <x:v>月面T+时间线连续</x:v>
      </x:c>
      <x:c r="I74" s="110" t="str">
        <x:v>A｜航天器／宇航服／月面真实任务机位推演</x:v>
      </x:c>
      <x:c r="J74" s="32" t="str">
        <x:v>BY-ANM-P1-001-月面科研时间压缩;BY-CHR-P0-001-杨凛;BY-CHR-P0-002-陈砚;BY-CST-P0-001-杨凛舱内飞行服;BY-CST-P0-002-陈砚舱内飞行服;BY-CST-P0-004-杨凛望宇登月服;BY-CST-P0-005-陈砚望宇登月服;BY-CST-P1-001-杨凛登月服轻度月尘状态;BY-CST-P1-002-陈砚登月服轻度月尘状态;BY-PRP-P1-002-月壤样品容器;BY-PRP-P1-014-宇航服任务相机;BY-REL-P1-006-月面科学路线与样品链;BY-REL-P1-007-摄影来源证据层级;BY-SCN-P1-005-月面后段科考区</x:v>
      </x:c>
      <x:c r="K74" s="32" t="str">
        <x:v>BY-VOI-P0-002-陈砚声音</x:v>
      </x:c>
      <x:c r="L74" s="32" t="str">
        <x:v>BY-REL-P1-003-声音来源真实性;BY-SND-P1-002-登月服内部呼吸与结构声</x:v>
      </x:c>
      <x:c r="M74" s="32" t="str"/>
      <x:c r="N74" s="32" t="str">
        <x:v>阶段1映射完成｜阶段2B按镜头状态调用</x:v>
      </x:c>
      <x:c r="O74" s="32" t="str">
        <x:v>钻具声只通过服体结构传导和通信拾音体现。</x:v>
      </x:c>
    </x:row>
    <x:row r="75" ht="62" customHeight="1">
      <x:c r="A75" s="110" t="n">
        <x:v>74</x:v>
      </x:c>
      <x:c r="B75" s="110" t="n">
        <x:v>10</x:v>
      </x:c>
      <x:c r="C75" s="110" t="str">
        <x:v>月面科研时间压缩</x:v>
      </x:c>
      <x:c r="D75" s="110" t="str">
        <x:v>00:09:57–00:10:06</x:v>
      </x:c>
      <x:c r="E75" s="110" t="n">
        <x:v>9</x:v>
      </x:c>
      <x:c r="F75" s="32" t="str">
        <x:v>宇航服与月球车相机交叉</x:v>
      </x:c>
      <x:c r="G75" s="32" t="str">
        <x:v>两人展开一组科学载荷，调平、连接和自检指示依次完成。</x:v>
      </x:c>
      <x:c r="H75" s="32" t="str">
        <x:v>月面T+时间线连续</x:v>
      </x:c>
      <x:c r="I75" s="110" t="str">
        <x:v>A｜航天器／宇航服／月面真实任务机位推演</x:v>
      </x:c>
      <x:c r="J75" s="32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1-003-月面科学观测设备;BY-PRP-P1-012-月球车任务相机组;BY-REL-P0-012-月面艺术化光照与声明;BY-REL-P1-001-月面空间总图;BY-REL-P1-006-月面科学路线与样品链;BY-REL-P1-007-摄影来源证据层级;BY-SCN-P0-004-月面着陆与作业区;BY-SCN-P1-005-月面后段科考区;BY-VEH-P0-004-探索载人月球车;BY-VFX-P1-007-月球车轮迹与低重力扬尘</x:v>
      </x:c>
      <x:c r="K75" s="32" t="str">
        <x:v>BY-VOI-P0-001-杨凛声音;BY-VOI-P1-004-北京飞控主调度声音</x:v>
      </x:c>
      <x:c r="L75" s="32" t="str">
        <x:v>BY-REL-P1-003-声音来源真实性;BY-SND-P1-002-登月服内部呼吸与结构声;BY-SND-P1-007-月球车设备链路结构声</x:v>
      </x:c>
      <x:c r="M75" s="32" t="str"/>
      <x:c r="N75" s="32" t="str">
        <x:v>阶段1映射完成｜阶段2B按镜头状态调用</x:v>
      </x:c>
      <x:c r="O75" s="32" t="str">
        <x:v>不虚构具体未公开载荷型号。</x:v>
      </x:c>
    </x:row>
    <x:row r="76" ht="62" customHeight="1">
      <x:c r="A76" s="110" t="n">
        <x:v>75</x:v>
      </x:c>
      <x:c r="B76" s="110" t="n">
        <x:v>10</x:v>
      </x:c>
      <x:c r="C76" s="110" t="str">
        <x:v>月面科研时间压缩</x:v>
      </x:c>
      <x:c r="D76" s="110" t="str">
        <x:v>00:10:06–00:10:16</x:v>
      </x:c>
      <x:c r="E76" s="110" t="n">
        <x:v>10</x:v>
      </x:c>
      <x:c r="F76" s="32" t="str">
        <x:v>任务相机蒙太奇／后期时间码</x:v>
      </x:c>
      <x:c r="G76" s="32" t="str">
        <x:v>表取样、岩芯封装、载荷检查和月球车返程交叉出现。时间码由T+10:40推进到T+12:50。</x:v>
      </x:c>
      <x:c r="H76" s="32" t="str">
        <x:v>月面T+时间线连续</x:v>
      </x:c>
      <x:c r="I76" s="110" t="str">
        <x:v>A｜航天器／宇航服／月面真实任务机位推演</x:v>
      </x:c>
      <x:c r="J76" s="32" t="str">
        <x:v>BY-ANM-P1-001-月面科研时间压缩;BY-CST-P1-001-杨凛登月服轻度月尘状态;BY-CST-P1-002-陈砚登月服轻度月尘状态;BY-LGT-P0-004-月面艺术化任务日光;BY-PRP-P1-002-月壤样品容器;BY-PRP-P1-012-月球车任务相机组;BY-REL-P0-012-月面艺术化光照与声明;BY-REL-P1-001-月面空间总图;BY-REL-P1-006-月面科学路线与样品链;BY-REL-P1-007-摄影来源证据层级;BY-SCN-P0-004-月面着陆与作业区;BY-SCN-P1-005-月面后段科考区;BY-VEH-P0-004-探索载人月球车;BY-VFX-P1-007-月球车轮迹与低重力扬尘</x:v>
      </x:c>
      <x:c r="K76" s="32" t="str"/>
      <x:c r="L76" s="32" t="str">
        <x:v>BY-REL-P1-003-声音来源真实性;BY-SND-P1-002-登月服内部呼吸与结构声;BY-SND-P1-007-月球车设备链路结构声</x:v>
      </x:c>
      <x:c r="M76" s="32" t="str">
        <x:v>BY-SYM-P1-003-任务阶段与时间跳跃标牌</x:v>
      </x:c>
      <x:c r="N76" s="32" t="str">
        <x:v>阶段1映射完成｜阶段2B按镜头状态调用</x:v>
      </x:c>
      <x:c r="O76" s="32" t="str">
        <x:v>只保留可识别的关键动作链。</x:v>
      </x:c>
    </x:row>
    <x:row r="77" ht="62" customHeight="1">
      <x:c r="A77" s="110" t="n">
        <x:v>76</x:v>
      </x:c>
      <x:c r="B77" s="110" t="n">
        <x:v>10</x:v>
      </x:c>
      <x:c r="C77" s="110" t="str">
        <x:v>月面科研时间压缩</x:v>
      </x:c>
      <x:c r="D77" s="110" t="str">
        <x:v>00:10:16–00:10:26</x:v>
      </x:c>
      <x:c r="E77" s="110" t="n">
        <x:v>10</x:v>
      </x:c>
      <x:c r="F77" s="32" t="str">
        <x:v>便携月面相机固定全景／后期时间码</x:v>
      </x:c>
      <x:c r="G77" s="32" t="str">
        <x:v>两人和月球车返回揽月近区，样品箱转移到舱梯旁；最后一次舱外巡视结束。字幕：T+13:40，主舱外活动结束。</x:v>
      </x:c>
      <x:c r="H77" s="32" t="str">
        <x:v>同一便携月面相机｜机位连续</x:v>
      </x:c>
      <x:c r="I77" s="110" t="str">
        <x:v>A｜航天器／宇航服／月面真实任务机位推演</x:v>
      </x:c>
      <x:c r="J77" s="32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0-003-便携式月面摄像机;BY-PRP-P0-005-密封样品转移容器;BY-PRP-P1-008-主样品容器编号与固定座;BY-PRP-P1-012-月球车任务相机组;BY-REL-P0-005-揽月构型状态链;BY-REL-P0-006-月面摄像机摄影来源;BY-REL-P0-008-样品转移链;BY-REL-P0-012-月面艺术化光照与声明;BY-REL-P1-001-月面空间总图;BY-REL-P1-006-月面科学路线与样品链;BY-REL-P1-007-摄影来源证据层级;BY-SCN-P0-004-月面着陆与作业区;BY-SCN-P1-005-月面后段科考区;BY-VEH-P0-003-揽月登月舱;BY-VEH-P0-004-探索载人月球车;BY-VFX-P1-007-月球车轮迹与低重力扬尘</x:v>
      </x:c>
      <x:c r="K77" s="32" t="str">
        <x:v>BY-VOI-P0-001-杨凛声音;BY-VOI-P1-004-北京飞控主调度声音</x:v>
      </x:c>
      <x:c r="L77" s="32" t="str">
        <x:v>BY-REL-P1-003-声音来源真实性;BY-SND-P1-002-登月服内部呼吸与结构声;BY-SND-P1-007-月球车设备链路结构声</x:v>
      </x:c>
      <x:c r="M77" s="32" t="str">
        <x:v>BY-SYM-P1-003-任务阶段与时间跳跃标牌;BY-SYM-P1-005-样品编号与封签模板</x:v>
      </x:c>
      <x:c r="N77" s="32" t="str">
        <x:v>阶段1映射完成｜阶段2B按镜头状态调用</x:v>
      </x:c>
      <x:c r="O77" s="32" t="str">
        <x:v>明确关闭约7小时40分主舱外活动时间线。</x:v>
      </x:c>
    </x:row>
    <x:row r="78" ht="62" customHeight="1">
      <x:c r="A78" s="110" t="n">
        <x:v>77</x:v>
      </x:c>
      <x:c r="B78" s="110" t="n">
        <x:v>11</x:v>
      </x:c>
      <x:c r="C78" s="110" t="str">
        <x:v>回舱、月面起飞与再对接</x:v>
      </x:c>
      <x:c r="D78" s="110" t="str">
        <x:v>00:10:26–00:10:34</x:v>
      </x:c>
      <x:c r="E78" s="110" t="n">
        <x:v>8</x:v>
      </x:c>
      <x:c r="F78" s="32" t="str">
        <x:v>揽月外部固定相机</x:v>
      </x:c>
      <x:c r="G78" s="32" t="str">
        <x:v>样品箱和工具包沿回收索先进入舱内，陈砚随后单人上梯，杨凛在月面完成最后检查。</x:v>
      </x:c>
      <x:c r="H78" s="32" t="str">
        <x:v>月面T+时间线连续</x:v>
      </x:c>
      <x:c r="I78" s="110" t="str">
        <x:v>A｜航天器／宇航服／月面真实任务机位推演</x:v>
      </x:c>
      <x:c r="J78" s="32" t="str">
        <x:v>BY-CHR-P0-001-杨凛;BY-CHR-P0-002-陈砚;BY-CST-P0-001-杨凛舱内飞行服;BY-CST-P0-002-陈砚舱内飞行服;BY-CST-P0-004-杨凛望宇登月服;BY-CST-P0-005-陈砚望宇登月服;BY-CST-P1-001-杨凛登月服轻度月尘状态;BY-CST-P1-002-陈砚登月服轻度月尘状态;BY-LGT-P0-004-月面艺术化任务日光;BY-PRP-P0-005-密封样品转移容器;BY-PRP-P1-004-月面工具包与载荷固定系统;BY-PRP-P1-008-主样品容器编号与固定座;BY-PRP-P1-015-航天器任务相机组;BY-REL-P0-005-揽月构型状态链;BY-REL-P0-008-样品转移链;BY-REL-P0-012-月面艺术化光照与声明;BY-REL-P1-001-月面空间总图;BY-REL-P1-006-月面科学路线与样品链;BY-REL-P1-007-摄影来源证据层级;BY-SCN-P0-004-月面着陆与作业区;BY-SCN-P1-005-月面后段科考区;BY-VEH-P0-003-揽月登月舱</x:v>
      </x:c>
      <x:c r="K78" s="32" t="str">
        <x:v>BY-VOI-P0-002-陈砚声音</x:v>
      </x:c>
      <x:c r="L78" s="32" t="str">
        <x:v>BY-REL-P1-003-声音来源真实性;BY-SND-P1-002-登月服内部呼吸与结构声</x:v>
      </x:c>
      <x:c r="M78" s="32" t="str">
        <x:v>BY-SYM-P1-005-样品编号与封签模板</x:v>
      </x:c>
      <x:c r="N78" s="32" t="str">
        <x:v>阶段1映射完成｜阶段2B按镜头状态调用</x:v>
      </x:c>
      <x:c r="O78" s="32" t="str">
        <x:v>先样品与工具、后人员。</x:v>
      </x:c>
    </x:row>
    <x:row r="79" ht="62" customHeight="1">
      <x:c r="A79" s="110" t="n">
        <x:v>78</x:v>
      </x:c>
      <x:c r="B79" s="110" t="n">
        <x:v>11</x:v>
      </x:c>
      <x:c r="C79" s="110" t="str">
        <x:v>回舱、月面起飞与再对接</x:v>
      </x:c>
      <x:c r="D79" s="110" t="str">
        <x:v>00:10:34–00:10:42</x:v>
      </x:c>
      <x:c r="E79" s="110" t="n">
        <x:v>8</x:v>
      </x:c>
      <x:c r="F79" s="32" t="str">
        <x:v>舱口与舱内固定机位</x:v>
      </x:c>
      <x:c r="G79" s="32" t="str">
        <x:v>杨凛最后进入舱内，舱门关闭；两人完成增压、舱外服清洁隔离和样品固定。</x:v>
      </x:c>
      <x:c r="H79" s="32" t="str">
        <x:v>月面T+时间线连续</x:v>
      </x:c>
      <x:c r="I79" s="110" t="str">
        <x:v>A｜航天器／宇航服／月面真实任务机位推演</x:v>
      </x:c>
      <x:c r="J79" s="32" t="str">
        <x:v>BY-CHR-P0-001-杨凛;BY-CHR-P0-002-陈砚;BY-CST-P0-001-杨凛舱内飞行服;BY-CST-P0-004-杨凛望宇登月服;BY-CST-P0-005-陈砚望宇登月服;BY-CST-P1-001-杨凛登月服轻度月尘状态;BY-CST-P1-002-陈砚登月服轻度月尘状态;BY-LGT-P0-004-月面艺术化任务日光;BY-PRP-P0-005-密封样品转移容器;BY-PRP-P1-008-主样品容器编号与固定座;BY-PRP-P1-009-污染控制用品;BY-REL-P0-008-样品转移链;BY-REL-P0-012-月面艺术化光照与声明;BY-REL-P1-001-月面空间总图;BY-REL-P1-006-月面科学路线与样品链;BY-REL-P1-007-摄影来源证据层级;BY-SCN-P0-004-月面着陆与作业区;BY-SCN-P1-005-月面后段科考区</x:v>
      </x:c>
      <x:c r="K79" s="32" t="str">
        <x:v>BY-VOI-P0-001-杨凛声音;BY-VOI-P0-002-陈砚声音</x:v>
      </x:c>
      <x:c r="L79" s="32" t="str">
        <x:v>BY-REL-P1-003-声音来源真实性;BY-SND-P1-002-登月服内部呼吸与结构声</x:v>
      </x:c>
      <x:c r="M79" s="32" t="str">
        <x:v>BY-SYM-P1-005-样品编号与封签模板</x:v>
      </x:c>
      <x:c r="N79" s="32" t="str">
        <x:v>阶段1映射完成｜阶段2B按镜头状态调用</x:v>
      </x:c>
      <x:c r="O79" s="32" t="str">
        <x:v>月尘处置只保留公开可解释的最低流程。</x:v>
      </x:c>
    </x:row>
    <x:row r="80" ht="62" customHeight="1">
      <x:c r="A80" s="110" t="n">
        <x:v>79</x:v>
      </x:c>
      <x:c r="B80" s="110" t="n">
        <x:v>11</x:v>
      </x:c>
      <x:c r="C80" s="110" t="str">
        <x:v>回舱、月面起飞与再对接</x:v>
      </x:c>
      <x:c r="D80" s="110" t="str">
        <x:v>00:10:42–00:10:52</x:v>
      </x:c>
      <x:c r="E80" s="110" t="n">
        <x:v>10</x:v>
      </x:c>
      <x:c r="F80" s="32" t="str">
        <x:v>揽月舱内时间压缩／后期字幕</x:v>
      </x:c>
      <x:c r="G80" s="32" t="str">
        <x:v>两人补水进食、医学自检、整理样品、轮换休息并复核起飞程序。字幕由T+14:00推进到T+27:30。</x:v>
      </x:c>
      <x:c r="H80" s="32" t="str">
        <x:v>月面T+时间线连续</x:v>
      </x:c>
      <x:c r="I80" s="110" t="str">
        <x:v>D｜后期字幕／解释图卡</x:v>
      </x:c>
      <x:c r="J80" s="32" t="str">
        <x:v>BY-ANM-P0-002-揽月下降出舱起飞链;BY-CHR-P0-001-杨凛;BY-CHR-P0-002-陈砚;BY-LGT-P0-002-揽月下降任务光;BY-PRP-P0-006-东风医监转移设备;BY-PRP-P1-006-舱内操作界面与任务屏;BY-REL-P0-005-揽月构型状态链;BY-REL-P1-006-月面科学路线与样品链;BY-REL-P1-007-摄影来源证据层级;BY-SCN-P0-003-揽月登月舱舱内;BY-SCN-P1-005-月面后段科考区;BY-VEH-P0-003-揽月登月舱</x:v>
      </x:c>
      <x:c r="K80" s="32" t="str">
        <x:v>BY-VOI-P1-012-何文澜声音</x:v>
      </x:c>
      <x:c r="L80" s="32" t="str">
        <x:v>BY-REL-P1-003-声音来源真实性;BY-SND-P0-001-舱内生命保障与设备底噪;BY-SND-P1-003-发动机舱内结构振动</x:v>
      </x:c>
      <x:c r="M80" s="32" t="str">
        <x:v>BY-SYM-P1-003-任务阶段与时间跳跃标牌</x:v>
      </x:c>
      <x:c r="N80" s="32" t="str">
        <x:v>阶段1映射完成｜阶段2B按镜头状态调用</x:v>
      </x:c>
      <x:c r="O80" s="32" t="str">
        <x:v>把总驻留时间闭合到约28小时。</x:v>
      </x:c>
    </x:row>
    <x:row r="81" ht="62" customHeight="1">
      <x:c r="A81" s="110" t="n">
        <x:v>80</x:v>
      </x:c>
      <x:c r="B81" s="110" t="n">
        <x:v>11</x:v>
      </x:c>
      <x:c r="C81" s="110" t="str">
        <x:v>回舱、月面起飞与再对接</x:v>
      </x:c>
      <x:c r="D81" s="110" t="str">
        <x:v>00:10:52–00:11:00</x:v>
      </x:c>
      <x:c r="E81" s="110" t="n">
        <x:v>8</x:v>
      </x:c>
      <x:c r="F81" s="32" t="str">
        <x:v>揽月舱内双人中景</x:v>
      </x:c>
      <x:c r="G81" s="32" t="str">
        <x:v>两人穿舱内压力服固定，起飞和再交会页面完成最后检查。</x:v>
      </x:c>
      <x:c r="H81" s="32" t="str">
        <x:v>月面T+时间线连续</x:v>
      </x:c>
      <x:c r="I81" s="110" t="str">
        <x:v>A｜航天器／宇航服／月面真实任务机位推演</x:v>
      </x:c>
      <x:c r="J81" s="32" t="str">
        <x:v>BY-ANM-P0-002-揽月下降出舱起飞链;BY-CHR-P0-001-杨凛;BY-CHR-P0-002-陈砚;BY-LGT-P0-002-揽月下降任务光;BY-PRP-P1-005-两器舱门与对接锁止结果件;BY-PRP-P1-006-舱内操作界面与任务屏;BY-REL-P0-005-揽月构型状态链;BY-REL-P1-007-摄影来源证据层级;BY-SCN-P0-003-揽月登月舱舱内;BY-VEH-P0-003-揽月登月舱;BY-VFX-P1-002-环月轨道交会与对接</x:v>
      </x:c>
      <x:c r="K81" s="32" t="str">
        <x:v>BY-VOI-P0-001-杨凛声音;BY-VOI-P0-002-陈砚声音</x:v>
      </x:c>
      <x:c r="L81" s="32" t="str">
        <x:v>BY-REL-P1-003-声音来源真实性;BY-SND-P0-001-舱内生命保障与设备底噪;BY-SND-P1-001-舱门对接机构结构传导;BY-SND-P1-003-发动机舱内结构振动</x:v>
      </x:c>
      <x:c r="M81" s="32" t="str"/>
      <x:c r="N81" s="32" t="str">
        <x:v>阶段1映射完成｜阶段2B按镜头状态调用</x:v>
      </x:c>
      <x:c r="O81" s="32" t="str">
        <x:v>关键动作开始后停止专家解释。</x:v>
      </x:c>
    </x:row>
    <x:row r="82" ht="62" customHeight="1">
      <x:c r="A82" s="110" t="n">
        <x:v>81</x:v>
      </x:c>
      <x:c r="B82" s="110" t="n">
        <x:v>11</x:v>
      </x:c>
      <x:c r="C82" s="110" t="str">
        <x:v>回舱、月面起飞与再对接</x:v>
      </x:c>
      <x:c r="D82" s="110" t="str">
        <x:v>00:11:00–00:11:10</x:v>
      </x:c>
      <x:c r="E82" s="110" t="n">
        <x:v>10</x:v>
      </x:c>
      <x:c r="F82" s="32" t="str">
        <x:v>便携月面相机固定全景</x:v>
      </x:c>
      <x:c r="G82" s="32" t="str">
        <x:v>字幕：着陆T+28:00。揽月上升级点火离开月面，迅速升出画面；相机继续停留，国旗、脚印、车辙和留置设备在黑色天空下保持不动。</x:v>
      </x:c>
      <x:c r="H82" s="32" t="str">
        <x:v>同一便携月面相机｜机位连续</x:v>
      </x:c>
      <x:c r="I82" s="110" t="str">
        <x:v>A｜航天器／宇航服／月面真实任务机位推演</x:v>
      </x:c>
      <x:c r="J82" s="32" t="str">
        <x:v>BY-LGT-P0-004-月面艺术化任务日光;BY-PRP-P0-003-便携式月面摄像机;BY-PRP-P0-004-工程化国旗展示装置;BY-REL-P0-005-揽月构型状态链;BY-REL-P0-006-月面摄像机摄影来源;BY-REL-P0-007-国旗装置部署链;BY-REL-P0-012-月面艺术化光照与声明;BY-REL-P1-001-月面空间总图;BY-REL-P1-007-摄影来源证据层级;BY-SCN-P0-004-月面着陆与作业区;BY-SYM-P0-001-中华人民共和国国旗图形;BY-VEH-P0-003-揽月登月舱;BY-VEH-P1-004-揽月月面起飞状态;BY-VFX-P0-003-第一足印月壤形变;BY-VFX-P0-004-月面起飞羽流与留场余景</x:v>
      </x:c>
      <x:c r="K82" s="32" t="str"/>
      <x:c r="L82" s="32" t="str">
        <x:v>BY-REL-P1-003-声音来源真实性;BY-SND-P1-003-发动机舱内结构振动</x:v>
      </x:c>
      <x:c r="M82" s="32" t="str">
        <x:v>BY-SYM-P1-003-任务阶段与时间跳跃标牌</x:v>
      </x:c>
      <x:c r="N82" s="32" t="str">
        <x:v>阶段1映射完成｜阶段2B按镜头状态调用</x:v>
      </x:c>
      <x:c r="O82" s="32" t="str">
        <x:v>同一台已部署相机完成视觉回报；离画后保留2—3秒空镜。</x:v>
      </x:c>
    </x:row>
    <x:row r="83" ht="62" customHeight="1">
      <x:c r="A83" s="110" t="n">
        <x:v>82</x:v>
      </x:c>
      <x:c r="B83" s="110" t="n">
        <x:v>11</x:v>
      </x:c>
      <x:c r="C83" s="110" t="str">
        <x:v>回舱、月面起飞与再对接</x:v>
      </x:c>
      <x:c r="D83" s="110" t="str">
        <x:v>00:11:10–00:11:18</x:v>
      </x:c>
      <x:c r="E83" s="110" t="n">
        <x:v>8</x:v>
      </x:c>
      <x:c r="F83" s="32" t="str">
        <x:v>北京飞控／佳木斯／梦舟交叉</x:v>
      </x:c>
      <x:c r="G83" s="32" t="str">
        <x:v>飞控轨迹由月面上升转为环月交会；佳木斯链路连续；刘定槎在两张空座之间监看目标。</x:v>
      </x:c>
      <x:c r="H83" s="32" t="str">
        <x:v>梦舟B｜刘定槎值守／两座空置锁定</x:v>
      </x:c>
      <x:c r="I83" s="110" t="str">
        <x:v>B｜地面直播／测控任务机位</x:v>
      </x:c>
      <x:c r="J83" s="32" t="str">
        <x:v>BY-ANM-P0-001-梦舟四种乘员状态;BY-CHR-P0-003-刘定槎;BY-CRO-P1-001-北京飞控任务团队;BY-CRO-P1-002-深空测控值班团队;BY-CST-P0-003-刘定槎舱内飞行服;BY-LGT-P0-001-梦舟舱内任务光;BY-LGT-P0-004-月面艺术化任务日光;BY-LGT-P1-003-飞控大厅任务光;BY-LGT-P1-004-环月轨道太阳光;BY-LGT-P1-006-深空测控站任务光;BY-PRP-P0-001-梦舟三座椅与束缚系统;BY-PRP-P1-005-两器舱门与对接锁止结果件;BY-PRP-P1-006-舱内操作界面与任务屏;BY-REL-P0-009-梦舟三座返航承载与环月工作位;BY-REL-P0-012-月面艺术化光照与声明;BY-REL-P1-001-月面空间总图;BY-REL-P1-004-地面测控接力链;BY-REL-P1-007-摄影来源证据层级;BY-REL-P1-010-地月视觉尺度连续性;BY-SCN-P0-001-梦舟舱内三座布局;BY-SCN-P0-004-月面着陆与作业区;BY-SCN-P0-005-梦舟环月工作位;BY-SCN-P0-006-北京飞控大厅与任务主屏;BY-SCN-P1-006-环月轨道外部环境;BY-SCN-P1-007-佳木斯66米深空测控站;BY-VEH-P0-001-梦舟载人飞船;BY-VFX-P1-002-环月轨道交会与对接</x:v>
      </x:c>
      <x:c r="K83" s="32" t="str">
        <x:v>BY-VOI-P0-003-刘定槎声音;BY-VOI-P1-004-北京飞控主调度声音;BY-VOI-P1-005-林海深空测控声音</x:v>
      </x:c>
      <x:c r="L83" s="32" t="str">
        <x:v>BY-REL-P1-003-声音来源真实性;BY-SND-P0-001-舱内生命保障与设备底噪;BY-SND-P1-001-舱门对接机构结构传导;BY-SND-P1-008-飞控与测控大厅底噪</x:v>
      </x:c>
      <x:c r="M83" s="32" t="str">
        <x:v>BY-SYM-P1-004-任务轨迹与相位图模板</x:v>
      </x:c>
      <x:c r="N83" s="32" t="str">
        <x:v>阶段1映射完成｜阶段2B按镜头状态调用</x:v>
      </x:c>
      <x:c r="O83" s="32" t="str">
        <x:v>深空地面站和梦舟共同建立再交会状态。</x:v>
      </x:c>
    </x:row>
    <x:row r="84" ht="62" customHeight="1">
      <x:c r="A84" s="110" t="n">
        <x:v>83</x:v>
      </x:c>
      <x:c r="B84" s="110" t="n">
        <x:v>11</x:v>
      </x:c>
      <x:c r="C84" s="110" t="str">
        <x:v>回舱、月面起飞与再对接</x:v>
      </x:c>
      <x:c r="D84" s="110" t="str">
        <x:v>00:11:18–00:11:25</x:v>
      </x:c>
      <x:c r="E84" s="110" t="n">
        <x:v>7</x:v>
      </x:c>
      <x:c r="F84" s="32" t="str">
        <x:v>月轨上升侧视／视觉重建</x:v>
      </x:c>
      <x:c r="G84" s="32" t="str">
        <x:v>揽月上升级越过月球弧面进入交会轨道，梦舟在远处沿同向飞行；标注：基于实时遥测的视觉重建。</x:v>
      </x:c>
      <x:c r="H84" s="32" t="str">
        <x:v>遥测视觉重建｜角标常驻</x:v>
      </x:c>
      <x:c r="I84" s="110" t="str">
        <x:v>C｜显式遥测视觉重建</x:v>
      </x:c>
      <x:c r="J84" s="32" t="str">
        <x:v>BY-LGT-P1-004-环月轨道太阳光;BY-PRP-P1-005-两器舱门与对接锁止结果件;BY-REL-P0-005-揽月构型状态链;BY-REL-P1-007-摄影来源证据层级;BY-REL-P1-010-地月视觉尺度连续性;BY-SCN-P1-006-环月轨道外部环境;BY-VEH-P0-001-梦舟载人飞船;BY-VEH-P0-003-揽月登月舱;BY-VEH-P1-004-揽月月面起飞状态;BY-VEH-P1-005-揽月月轨再对接状态;BY-VFX-P1-002-环月轨道交会与对接;BY-VFX-P1-008-遥测视觉重建合成</x:v>
      </x:c>
      <x:c r="K84" s="32" t="str"/>
      <x:c r="L84" s="32" t="str">
        <x:v>BY-REL-P1-003-声音来源真实性;BY-SND-P1-001-舱门对接机构结构传导;BY-SND-P1-003-发动机舱内结构振动</x:v>
      </x:c>
      <x:c r="M84" s="32" t="str">
        <x:v>BY-SYM-P1-006-视觉重建来源标识</x:v>
      </x:c>
      <x:c r="N84" s="32" t="str">
        <x:v>阶段1映射完成｜阶段2B按镜头状态调用</x:v>
      </x:c>
      <x:c r="O84" s="32" t="str">
        <x:v>只补充尺度和轨道关系。</x:v>
      </x:c>
    </x:row>
    <x:row r="85" ht="62" customHeight="1">
      <x:c r="A85" s="110" t="n">
        <x:v>84</x:v>
      </x:c>
      <x:c r="B85" s="110" t="n">
        <x:v>11</x:v>
      </x:c>
      <x:c r="C85" s="110" t="str">
        <x:v>回舱、月面起飞与再对接</x:v>
      </x:c>
      <x:c r="D85" s="110" t="str">
        <x:v>00:11:25–00:11:32</x:v>
      </x:c>
      <x:c r="E85" s="110" t="n">
        <x:v>7</x:v>
      </x:c>
      <x:c r="F85" s="32" t="str">
        <x:v>深空画面／后期字幕</x:v>
      </x:c>
      <x:c r="G85" s="32" t="str">
        <x:v>月球弧面和双目标轨迹叠加。字幕：月面起飞后约3小时40分；进入最终交会。</x:v>
      </x:c>
      <x:c r="H85" s="32" t="str">
        <x:v>常规任务状态</x:v>
      </x:c>
      <x:c r="I85" s="110" t="str">
        <x:v>D｜后期字幕／解释图卡</x:v>
      </x:c>
      <x:c r="J85" s="32" t="str">
        <x:v>BY-LGT-P0-004-月面艺术化任务日光;BY-LGT-P1-004-环月轨道太阳光;BY-PRP-P1-005-两器舱门与对接锁止结果件;BY-REL-P0-012-月面艺术化光照与声明;BY-REL-P1-001-月面空间总图;BY-REL-P1-007-摄影来源证据层级;BY-REL-P1-010-地月视觉尺度连续性;BY-SCN-P0-004-月面着陆与作业区;BY-SCN-P1-006-环月轨道外部环境;BY-VFX-P1-002-环月轨道交会与对接</x:v>
      </x:c>
      <x:c r="K85" s="32" t="str">
        <x:v>BY-VOI-P0-003-刘定槎声音</x:v>
      </x:c>
      <x:c r="L85" s="32" t="str">
        <x:v>BY-REL-P1-003-声音来源真实性;BY-SND-P1-001-舱门对接机构结构传导;BY-SND-P1-003-发动机舱内结构振动</x:v>
      </x:c>
      <x:c r="M85" s="32" t="str">
        <x:v>BY-SYM-P1-003-任务阶段与时间跳跃标牌;BY-SYM-P1-004-任务轨迹与相位图模板</x:v>
      </x:c>
      <x:c r="N85" s="32" t="str">
        <x:v>阶段1映射完成｜阶段2B按镜头状态调用</x:v>
      </x:c>
      <x:c r="O85" s="32" t="str">
        <x:v>具体时间为本片艺术流程。</x:v>
      </x:c>
    </x:row>
    <x:row r="86" ht="62" customHeight="1">
      <x:c r="A86" s="110" t="n">
        <x:v>85</x:v>
      </x:c>
      <x:c r="B86" s="110" t="n">
        <x:v>11</x:v>
      </x:c>
      <x:c r="C86" s="110" t="str">
        <x:v>回舱、月面起飞与再对接</x:v>
      </x:c>
      <x:c r="D86" s="110" t="str">
        <x:v>00:11:32–00:11:42</x:v>
      </x:c>
      <x:c r="E86" s="110" t="n">
        <x:v>10</x:v>
      </x:c>
      <x:c r="F86" s="32" t="str">
        <x:v>对接口监视相机／舱内交叉</x:v>
      </x:c>
      <x:c r="G86" s="32" t="str">
        <x:v>揽月目标沿轴线闭合，完成接触捕获、硬连接和密封检查；三方只报关键状态。</x:v>
      </x:c>
      <x:c r="H86" s="32" t="str">
        <x:v>常规任务状态</x:v>
      </x:c>
      <x:c r="I86" s="110" t="str">
        <x:v>A｜航天器／宇航服／月面真实任务机位推演</x:v>
      </x:c>
      <x:c r="J86" s="32" t="str">
        <x:v>BY-PRP-P1-005-两器舱门与对接锁止结果件;BY-PRP-P1-015-航天器任务相机组;BY-REL-P0-005-揽月构型状态链;BY-REL-P1-007-摄影来源证据层级;BY-VEH-P0-003-揽月登月舱;BY-VEH-P1-004-揽月月面起飞状态;BY-VEH-P1-005-揽月月轨再对接状态;BY-VFX-P1-002-环月轨道交会与对接</x:v>
      </x:c>
      <x:c r="K86" s="32" t="str">
        <x:v>BY-VOI-P0-001-杨凛声音;BY-VOI-P0-003-刘定槎声音;BY-VOI-P1-004-北京飞控主调度声音</x:v>
      </x:c>
      <x:c r="L86" s="32" t="str">
        <x:v>BY-REL-P1-003-声音来源真实性;BY-SND-P1-001-舱门对接机构结构传导</x:v>
      </x:c>
      <x:c r="M86" s="32" t="str"/>
      <x:c r="N86" s="32" t="str">
        <x:v>阶段1映射完成｜阶段2B按镜头状态调用</x:v>
      </x:c>
      <x:c r="O86" s="32" t="str">
        <x:v>再对接以任务证据相机主导。</x:v>
      </x:c>
    </x:row>
    <x:row r="87" ht="62" customHeight="1">
      <x:c r="A87" s="110" t="n">
        <x:v>86</x:v>
      </x:c>
      <x:c r="B87" s="110" t="n">
        <x:v>11</x:v>
      </x:c>
      <x:c r="C87" s="110" t="str">
        <x:v>回舱、月面起飞与再对接</x:v>
      </x:c>
      <x:c r="D87" s="110" t="str">
        <x:v>00:11:42–00:11:51</x:v>
      </x:c>
      <x:c r="E87" s="110" t="n">
        <x:v>9</x:v>
      </x:c>
      <x:c r="F87" s="32" t="str">
        <x:v>梦舟返回舱后向广角</x:v>
      </x:c>
      <x:c r="G87" s="32" t="str">
        <x:v>舱门开启后，杨凛、陈砚携样品依次进入梦舟并固定；三把座椅重新全部有人，刘定槎与两人短暂对视。</x:v>
      </x:c>
      <x:c r="H87" s="32" t="str">
        <x:v>梦舟C｜三人重聚／样品归舱</x:v>
      </x:c>
      <x:c r="I87" s="110" t="str">
        <x:v>A｜航天器／宇航服／月面真实任务机位推演</x:v>
      </x:c>
      <x:c r="J87" s="32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-006-舱内操作界面与任务屏;BY-REL-P0-009-梦舟三座返航承载与环月工作位;BY-REL-P1-006-月面科学路线与样品链;BY-REL-P1-007-摄影来源证据层级;BY-SCN-P0-001-梦舟舱内三座布局;BY-SCN-P0-005-梦舟环月工作位;BY-SCN-P1-005-月面后段科考区;BY-VEH-P0-001-梦舟载人飞船</x:v>
      </x:c>
      <x:c r="K87" s="32" t="str">
        <x:v>BY-VOI-P0-001-杨凛声音;BY-VOI-P0-003-刘定槎声音</x:v>
      </x:c>
      <x:c r="L87" s="32" t="str">
        <x:v>BY-REL-P1-003-声音来源真实性;BY-SND-P0-001-舱内生命保障与设备底噪</x:v>
      </x:c>
      <x:c r="M87" s="32" t="str"/>
      <x:c r="N87" s="32" t="str">
        <x:v>阶段1映射完成｜阶段2B按镜头状态调用</x:v>
      </x:c>
      <x:c r="O87" s="32" t="str">
        <x:v>第三次建立三座满员，完成视觉母题回收。</x:v>
      </x:c>
    </x:row>
    <x:row r="88" ht="62" customHeight="1">
      <x:c r="A88" s="110" t="n">
        <x:v>87</x:v>
      </x:c>
      <x:c r="B88" s="110" t="n">
        <x:v>12</x:v>
      </x:c>
      <x:c r="C88" s="110" t="str">
        <x:v>直播二结束：三人重聚</x:v>
      </x:c>
      <x:c r="D88" s="110" t="str">
        <x:v>00:11:51–00:12:00</x:v>
      </x:c>
      <x:c r="E88" s="110" t="n">
        <x:v>9</x:v>
      </x:c>
      <x:c r="F88" s="32" t="str">
        <x:v>媒体区记者中景</x:v>
      </x:c>
      <x:c r="G88" s="32" t="str">
        <x:v>林知夏身后大屏显示三人已返回梦舟和样品状态。</x:v>
      </x:c>
      <x:c r="H88" s="32" t="str">
        <x:v>常规任务状态</x:v>
      </x:c>
      <x:c r="I88" s="110" t="str">
        <x:v>B｜地面直播／测控任务机位</x:v>
      </x:c>
      <x:c r="J88" s="32" t="str">
        <x:v>BY-CHR-P0-001-杨凛;BY-CHR-P0-002-陈砚;BY-CHR-P0-003-刘定槎;BY-CHR-P1-002-林知夏;BY-CST-P0-001-杨凛舱内飞行服;BY-CST-P0-002-陈砚舱内飞行服;BY-CST-P0-003-刘定槎舱内飞行服;BY-CST-P1-004-林知夏记者服装;BY-LGT-P1-008-飞控媒体区直播光;BY-REL-P1-006-月面科学路线与样品链;BY-REL-P1-007-摄影来源证据层级;BY-REL-P1-008-三段直播结构链;BY-SCN-P1-003-飞控中心媒体区;BY-SCN-P1-005-月面后段科考区;BY-VEH-P0-001-梦舟载人飞船</x:v>
      </x:c>
      <x:c r="K88" s="32" t="str">
        <x:v>BY-VOI-P1-002-林知夏声音</x:v>
      </x:c>
      <x:c r="L88" s="32" t="str">
        <x:v>BY-REL-P1-003-声音来源真实性;BY-SND-P1-009-媒体区直播现场声</x:v>
      </x:c>
      <x:c r="M88" s="32" t="str">
        <x:v>BY-SYM-P1-007-直播进口出口与倒计时</x:v>
      </x:c>
      <x:c r="N88" s="32" t="str">
        <x:v>阶段1映射完成｜阶段2B按镜头状态调用</x:v>
      </x:c>
      <x:c r="O88" s="32" t="str">
        <x:v>明确直播出口。</x:v>
      </x:c>
    </x:row>
    <x:row r="89" ht="62" customHeight="1">
      <x:c r="A89" s="110" t="n">
        <x:v>88</x:v>
      </x:c>
      <x:c r="B89" s="110" t="n">
        <x:v>12</x:v>
      </x:c>
      <x:c r="C89" s="110" t="str">
        <x:v>直播二结束：三人重聚</x:v>
      </x:c>
      <x:c r="D89" s="110" t="str">
        <x:v>00:12:00–00:12:16</x:v>
      </x:c>
      <x:c r="E89" s="110" t="n">
        <x:v>16</x:v>
      </x:c>
      <x:c r="F89" s="32" t="str">
        <x:v>媒体区专家双人</x:v>
      </x:c>
      <x:c r="G89" s="32" t="str">
        <x:v>孙亦川站在地月返回轨迹图前，轨迹依次标出离月、途中修正和再入入口。</x:v>
      </x:c>
      <x:c r="H89" s="32" t="str">
        <x:v>常规任务状态</x:v>
      </x:c>
      <x:c r="I89" s="110" t="str">
        <x:v>B｜地面直播／测控任务机位</x:v>
      </x:c>
      <x:c r="J89" s="32" t="str">
        <x:v>BY-CHR-P1-002-林知夏;BY-CHR-P1-005-孙亦川;BY-CST-P1-004-林知夏记者服装;BY-CST-P1-007-孙亦川专家服装;BY-LGT-P0-005-返回舱再入等离子辉光;BY-LGT-P1-008-飞控媒体区直播光;BY-REL-P0-011-梦舟返地构型状态链;BY-REL-P0-013-返回舱再入搜救状态链;BY-REL-P1-007-摄影来源证据层级;BY-REL-P1-008-三段直播结构链;BY-SCN-P0-007-返回舱再入视觉环境;BY-SCN-P1-003-飞控中心媒体区;BY-VEH-P0-005-梦舟月轨组合体;BY-VEH-P0-006-梦舟返回舱独立再入构型;BY-VFX-P0-005-返回舱等离子辉光与黑障视觉;BY-VFX-P1-003-月地转移点火与月球远离;BY-VFX-P1-005-半弹道跳跃式再入轨迹</x:v>
      </x:c>
      <x:c r="K89" s="32" t="str">
        <x:v>BY-VOI-P1-013-孙亦川声音</x:v>
      </x:c>
      <x:c r="L89" s="32" t="str">
        <x:v>BY-REL-P1-003-声音来源真实性;BY-SND-P1-004-再入结构与通信衰减;BY-SND-P1-009-媒体区直播现场声</x:v>
      </x:c>
      <x:c r="M89" s="32" t="str">
        <x:v>BY-SYM-P1-004-任务轨迹与相位图模板;BY-SYM-P1-007-直播进口出口与倒计时</x:v>
      </x:c>
      <x:c r="N89" s="32" t="str">
        <x:v>阶段1映射完成｜阶段2B按镜头状态调用</x:v>
      </x:c>
      <x:c r="O89" s="32" t="str">
        <x:v>不给返航段冠以“相对平静”而省略工程工作。</x:v>
      </x:c>
    </x:row>
    <x:row r="90" ht="62" customHeight="1">
      <x:c r="A90" s="110" t="n">
        <x:v>89</x:v>
      </x:c>
      <x:c r="B90" s="110" t="n">
        <x:v>12</x:v>
      </x:c>
      <x:c r="C90" s="110" t="str">
        <x:v>直播二结束：三人重聚</x:v>
      </x:c>
      <x:c r="D90" s="110" t="str">
        <x:v>00:12:16–00:12:21</x:v>
      </x:c>
      <x:c r="E90" s="110" t="n">
        <x:v>5</x:v>
      </x:c>
      <x:c r="F90" s="32" t="str">
        <x:v>月轨远景／视觉重建</x:v>
      </x:c>
      <x:c r="G90" s="32" t="str">
        <x:v>梦舟离开月球轨道，月球在画面中缓慢远去；字幕：本段直播结束。</x:v>
      </x:c>
      <x:c r="H90" s="32" t="str">
        <x:v>遥测视觉重建｜角标常驻</x:v>
      </x:c>
      <x:c r="I90" s="110" t="str">
        <x:v>C｜显式遥测视觉重建</x:v>
      </x:c>
      <x:c r="J90" s="32" t="str">
        <x:v>BY-LGT-P1-004-环月轨道太阳光;BY-REL-P0-011-梦舟返地构型状态链;BY-REL-P1-007-摄影来源证据层级;BY-REL-P1-010-地月视觉尺度连续性;BY-SCN-P1-006-环月轨道外部环境;BY-VEH-P0-001-梦舟载人飞船;BY-VEH-P0-005-梦舟月轨组合体;BY-VFX-P1-003-月地转移点火与月球远离;BY-VFX-P1-008-遥测视觉重建合成</x:v>
      </x:c>
      <x:c r="K90" s="32" t="str"/>
      <x:c r="L90" s="32" t="str">
        <x:v>BY-REL-P1-003-声音来源真实性</x:v>
      </x:c>
      <x:c r="M90" s="32" t="str">
        <x:v>BY-SYM-P1-003-任务阶段与时间跳跃标牌;BY-SYM-P1-006-视觉重建来源标识</x:v>
      </x:c>
      <x:c r="N90" s="32" t="str">
        <x:v>阶段1映射完成｜阶段2B按镜头状态调用</x:v>
      </x:c>
      <x:c r="O90" s="32" t="str">
        <x:v>揽月后续处置不作未公开细节展示。</x:v>
      </x:c>
    </x:row>
    <x:row r="91" ht="62" customHeight="1">
      <x:c r="A91" s="110" t="n">
        <x:v>90</x:v>
      </x:c>
      <x:c r="B91" s="110" t="n">
        <x:v>13</x:v>
      </x:c>
      <x:c r="C91" s="110" t="str">
        <x:v>直播三开场：进入地球再入走廊</x:v>
      </x:c>
      <x:c r="D91" s="110" t="str">
        <x:v>00:12:21–00:12:29</x:v>
      </x:c>
      <x:c r="E91" s="110" t="n">
        <x:v>8</x:v>
      </x:c>
      <x:c r="F91" s="32" t="str">
        <x:v>深空／后期字幕</x:v>
      </x:c>
      <x:c r="G91" s="32" t="str">
        <x:v>地球由远处蓝白圆盘逐渐扩大。字幕：2029年4月13日；离开月球轨道约三天；梦舟接近再入入口。</x:v>
      </x:c>
      <x:c r="H91" s="32" t="str">
        <x:v>常规任务状态</x:v>
      </x:c>
      <x:c r="I91" s="110" t="str">
        <x:v>D｜后期字幕／解释图卡</x:v>
      </x:c>
      <x:c r="J91" s="32" t="str">
        <x:v>BY-LGT-P0-005-返回舱再入等离子辉光;BY-LGT-P1-004-环月轨道太阳光;BY-REL-P0-011-梦舟返地构型状态链;BY-REL-P0-013-返回舱再入搜救状态链;BY-REL-P1-007-摄影来源证据层级;BY-REL-P1-010-地月视觉尺度连续性;BY-SCN-P0-007-返回舱再入视觉环境;BY-SCN-P1-006-环月轨道外部环境;BY-VEH-P0-001-梦舟载人飞船;BY-VEH-P0-005-梦舟月轨组合体;BY-VEH-P0-006-梦舟返回舱独立再入构型;BY-VFX-P0-005-返回舱等离子辉光与黑障视觉;BY-VFX-P1-003-月地转移点火与月球远离;BY-VFX-P1-005-半弹道跳跃式再入轨迹</x:v>
      </x:c>
      <x:c r="K91" s="32" t="str"/>
      <x:c r="L91" s="32" t="str">
        <x:v>BY-REL-P1-003-声音来源真实性;BY-SND-P1-004-再入结构与通信衰减</x:v>
      </x:c>
      <x:c r="M91" s="32" t="str">
        <x:v>BY-SYM-P1-003-任务阶段与时间跳跃标牌</x:v>
      </x:c>
      <x:c r="N91" s="32" t="str">
        <x:v>阶段1映射完成｜阶段2B按镜头状态调用</x:v>
      </x:c>
      <x:c r="O91" s="32" t="str">
        <x:v>地球视觉尺度随距离变化，不表现为静止小蓝点。</x:v>
      </x:c>
    </x:row>
    <x:row r="92" ht="62" customHeight="1">
      <x:c r="A92" s="110" t="n">
        <x:v>91</x:v>
      </x:c>
      <x:c r="B92" s="110" t="n">
        <x:v>13</x:v>
      </x:c>
      <x:c r="C92" s="110" t="str">
        <x:v>直播三开场：进入地球再入走廊</x:v>
      </x:c>
      <x:c r="D92" s="110" t="str">
        <x:v>00:12:29–00:12:37</x:v>
      </x:c>
      <x:c r="E92" s="110" t="n">
        <x:v>8</x:v>
      </x:c>
      <x:c r="F92" s="32" t="str">
        <x:v>北京飞控大厅广角</x:v>
      </x:c>
      <x:c r="G92" s="32" t="str">
        <x:v>主屏显示地月返回末段、再入走廊和东风着陆场天气；返回、轨道、测控和着陆场协调席位同步工作。</x:v>
      </x:c>
      <x:c r="H92" s="32" t="str">
        <x:v>常规任务状态</x:v>
      </x:c>
      <x:c r="I92" s="110" t="str">
        <x:v>B｜地面直播／测控任务机位</x:v>
      </x:c>
      <x:c r="J92" s="32" t="str">
        <x:v>BY-CRO-P1-001-北京飞控任务团队;BY-CRO-P1-003-搜救与医疗团队;BY-LGT-P0-005-返回舱再入等离子辉光;BY-LGT-P1-003-飞控大厅任务光;BY-LGT-P1-007-搜救着陆区日间自然光;BY-REL-P0-011-梦舟返地构型状态链;BY-REL-P0-013-返回舱再入搜救状态链;BY-REL-P1-007-摄影来源证据层级;BY-REL-P1-009-东风医监与样品双线;BY-SCN-P0-006-北京飞控大厅与任务主屏;BY-SCN-P0-007-返回舱再入视觉环境;BY-SCN-P0-008-预定着陆区与搜救现场;BY-VEH-P0-005-梦舟月轨组合体;BY-VEH-P0-006-梦舟返回舱独立再入构型;BY-VFX-P0-005-返回舱等离子辉光与黑障视觉;BY-VFX-P1-003-月地转移点火与月球远离;BY-VFX-P1-005-半弹道跳跃式再入轨迹</x:v>
      </x:c>
      <x:c r="K92" s="32" t="str">
        <x:v>BY-VOI-P1-004-北京飞控主调度声音</x:v>
      </x:c>
      <x:c r="L92" s="32" t="str">
        <x:v>BY-REL-P1-003-声音来源真实性;BY-SND-P1-003-发动机舱内结构振动;BY-SND-P1-004-再入结构与通信衰减;BY-SND-P1-006-搜救现场声;BY-SND-P1-008-飞控与测控大厅底噪</x:v>
      </x:c>
      <x:c r="M92" s="32" t="str">
        <x:v>BY-SYM-P1-004-任务轨迹与相位图模板</x:v>
      </x:c>
      <x:c r="N92" s="32" t="str">
        <x:v>阶段1映射完成｜阶段2B按镜头状态调用</x:v>
      </x:c>
      <x:c r="O92" s="32" t="str">
        <x:v>飞控大厅保持工作状态，不提前庆祝。</x:v>
      </x:c>
    </x:row>
    <x:row r="93" ht="62" customHeight="1">
      <x:c r="A93" s="110" t="n">
        <x:v>92</x:v>
      </x:c>
      <x:c r="B93" s="110" t="n">
        <x:v>13</x:v>
      </x:c>
      <x:c r="C93" s="110" t="str">
        <x:v>直播三开场：进入地球再入走廊</x:v>
      </x:c>
      <x:c r="D93" s="110" t="str">
        <x:v>00:12:37–00:12:47</x:v>
      </x:c>
      <x:c r="E93" s="110" t="n">
        <x:v>10</x:v>
      </x:c>
      <x:c r="F93" s="32" t="str">
        <x:v>媒体区记者中景</x:v>
      </x:c>
      <x:c r="G93" s="32" t="str">
        <x:v>林知夏站在再入轨迹图旁，东风搜救画面出现在副屏。</x:v>
      </x:c>
      <x:c r="H93" s="32" t="str">
        <x:v>常规任务状态</x:v>
      </x:c>
      <x:c r="I93" s="110" t="str">
        <x:v>B｜地面直播／测控任务机位</x:v>
      </x:c>
      <x:c r="J93" s="32" t="str">
        <x:v>BY-CHR-P1-002-林知夏;BY-CRO-P1-003-搜救与医疗团队;BY-CST-P1-004-林知夏记者服装;BY-LGT-P0-005-返回舱再入等离子辉光;BY-LGT-P1-007-搜救着陆区日间自然光;BY-LGT-P1-008-飞控媒体区直播光;BY-REL-P0-011-梦舟返地构型状态链;BY-REL-P0-013-返回舱再入搜救状态链;BY-REL-P1-007-摄影来源证据层级;BY-REL-P1-008-三段直播结构链;BY-REL-P1-009-东风医监与样品双线;BY-SCN-P0-007-返回舱再入视觉环境;BY-SCN-P0-008-预定着陆区与搜救现场;BY-SCN-P1-003-飞控中心媒体区;BY-VEH-P0-006-梦舟返回舱独立再入构型;BY-VFX-P0-005-返回舱等离子辉光与黑障视觉;BY-VFX-P1-005-半弹道跳跃式再入轨迹</x:v>
      </x:c>
      <x:c r="K93" s="32" t="str">
        <x:v>BY-VOI-P1-002-林知夏声音</x:v>
      </x:c>
      <x:c r="L93" s="32" t="str">
        <x:v>BY-REL-P1-003-声音来源真实性;BY-SND-P1-004-再入结构与通信衰减;BY-SND-P1-006-搜救现场声;BY-SND-P1-009-媒体区直播现场声</x:v>
      </x:c>
      <x:c r="M93" s="32" t="str">
        <x:v>BY-SYM-P1-004-任务轨迹与相位图模板;BY-SYM-P1-007-直播进口出口与倒计时</x:v>
      </x:c>
      <x:c r="N93" s="32" t="str">
        <x:v>阶段1映射完成｜阶段2B按镜头状态调用</x:v>
      </x:c>
      <x:c r="O93" s="32" t="str">
        <x:v>用观众能理解的语言说明下一事件。</x:v>
      </x:c>
    </x:row>
    <x:row r="94" ht="62" customHeight="1">
      <x:c r="A94" s="110" t="n">
        <x:v>93</x:v>
      </x:c>
      <x:c r="B94" s="110" t="n">
        <x:v>13</x:v>
      </x:c>
      <x:c r="C94" s="110" t="str">
        <x:v>直播三开场：进入地球再入走廊</x:v>
      </x:c>
      <x:c r="D94" s="110" t="str">
        <x:v>00:12:47–00:13:03</x:v>
      </x:c>
      <x:c r="E94" s="110" t="n">
        <x:v>16</x:v>
      </x:c>
      <x:c r="F94" s="32" t="str">
        <x:v>媒体区专家双人</x:v>
      </x:c>
      <x:c r="G94" s="32" t="str">
        <x:v>孙亦川用两条速度标尺和半弹道跳跃式再入示意解释，林知夏在旁倾听。</x:v>
      </x:c>
      <x:c r="H94" s="32" t="str">
        <x:v>常规任务状态</x:v>
      </x:c>
      <x:c r="I94" s="110" t="str">
        <x:v>B｜地面直播／测控任务机位</x:v>
      </x:c>
      <x:c r="J94" s="32" t="str">
        <x:v>BY-CHR-P1-002-林知夏;BY-CHR-P1-005-孙亦川;BY-CST-P1-004-林知夏记者服装;BY-CST-P1-007-孙亦川专家服装;BY-LGT-P0-005-返回舱再入等离子辉光;BY-LGT-P1-008-飞控媒体区直播光;BY-REL-P0-011-梦舟返地构型状态链;BY-REL-P0-013-返回舱再入搜救状态链;BY-REL-P1-007-摄影来源证据层级;BY-REL-P1-008-三段直播结构链;BY-SCN-P0-007-返回舱再入视觉环境;BY-SCN-P1-003-飞控中心媒体区;BY-VEH-P0-006-梦舟返回舱独立再入构型;BY-VFX-P0-005-返回舱等离子辉光与黑障视觉;BY-VFX-P1-005-半弹道跳跃式再入轨迹</x:v>
      </x:c>
      <x:c r="K94" s="32" t="str">
        <x:v>BY-VOI-P1-013-孙亦川声音</x:v>
      </x:c>
      <x:c r="L94" s="32" t="str">
        <x:v>BY-REL-P1-003-声音来源真实性;BY-SND-P1-004-再入结构与通信衰减;BY-SND-P1-009-媒体区直播现场声</x:v>
      </x:c>
      <x:c r="M94" s="32" t="str">
        <x:v>BY-SYM-P1-004-任务轨迹与相位图模板;BY-SYM-P1-007-直播进口出口与倒计时</x:v>
      </x:c>
      <x:c r="N94" s="32" t="str">
        <x:v>阶段1映射完成｜阶段2B按镜头状态调用</x:v>
      </x:c>
      <x:c r="O94" s="32" t="str">
        <x:v>不使用“以第二宇宙速度撞向大气层”的错误说法。</x:v>
      </x:c>
    </x:row>
    <x:row r="95" ht="62" customHeight="1">
      <x:c r="A95" s="110" t="n">
        <x:v>94</x:v>
      </x:c>
      <x:c r="B95" s="110" t="n">
        <x:v>13</x:v>
      </x:c>
      <x:c r="C95" s="110" t="str">
        <x:v>直播三开场：进入地球再入走廊</x:v>
      </x:c>
      <x:c r="D95" s="110" t="str">
        <x:v>00:13:03–00:13:13</x:v>
      </x:c>
      <x:c r="E95" s="110" t="n">
        <x:v>10</x:v>
      </x:c>
      <x:c r="F95" s="32" t="str">
        <x:v>东风着陆场任务画面</x:v>
      </x:c>
      <x:c r="G95" s="32" t="str">
        <x:v>地面雷达、光学测量、终端红外、直升机和地面搜救车组进入待命；医监医保舱和样品接收箱完成检查。</x:v>
      </x:c>
      <x:c r="H95" s="32" t="str">
        <x:v>常规任务状态</x:v>
      </x:c>
      <x:c r="I95" s="110" t="str">
        <x:v>B｜地面直播／测控任务机位</x:v>
      </x:c>
      <x:c r="J95" s="32" t="str">
        <x:v>BY-CRO-P1-003-搜救与医疗团队;BY-LGT-P1-007-搜救着陆区日间自然光;BY-PRP-P1-013-东风样品接收设备;BY-REL-P0-013-返回舱再入搜救状态链;BY-REL-P1-006-月面科学路线与样品链;BY-REL-P1-007-摄影来源证据层级;BY-REL-P1-009-东风医监与样品双线;BY-SCN-P0-008-预定着陆区与搜救现场;BY-SCN-P1-005-月面后段科考区;BY-VEH-P1-008-搜救直升机与地面车辆</x:v>
      </x:c>
      <x:c r="K95" s="32" t="str">
        <x:v>BY-VOI-P1-008-搜救指挥声音</x:v>
      </x:c>
      <x:c r="L95" s="32" t="str">
        <x:v>BY-REL-P1-003-声音来源真实性;BY-SND-P1-003-发动机舱内结构振动;BY-SND-P1-006-搜救现场声</x:v>
      </x:c>
      <x:c r="M95" s="32" t="str">
        <x:v>BY-SYM-P1-005-样品编号与封签模板</x:v>
      </x:c>
      <x:c r="N95" s="32" t="str">
        <x:v>阶段1映射完成｜阶段2B按镜头状态调用</x:v>
      </x:c>
      <x:c r="O95" s="32" t="str">
        <x:v>主着陆场锁定东风。</x:v>
      </x:c>
    </x:row>
    <x:row r="96" ht="62" customHeight="1">
      <x:c r="A96" s="110" t="n">
        <x:v>95</x:v>
      </x:c>
      <x:c r="B96" s="110" t="n">
        <x:v>13</x:v>
      </x:c>
      <x:c r="C96" s="110" t="str">
        <x:v>直播三开场：进入地球再入走廊</x:v>
      </x:c>
      <x:c r="D96" s="110" t="str">
        <x:v>00:13:13–00:13:21</x:v>
      </x:c>
      <x:c r="E96" s="110" t="n">
        <x:v>8</x:v>
      </x:c>
      <x:c r="F96" s="32" t="str">
        <x:v>轨迹仿真／任务图卡</x:v>
      </x:c>
      <x:c r="G96" s="32" t="str">
        <x:v>返回舱、两次再入段、黑障区和预报落区在同一张简化图上依次点亮。</x:v>
      </x:c>
      <x:c r="H96" s="32" t="str">
        <x:v>常规任务状态</x:v>
      </x:c>
      <x:c r="I96" s="110" t="str">
        <x:v>D｜后期字幕／解释图卡</x:v>
      </x:c>
      <x:c r="J96" s="32" t="str">
        <x:v>BY-LGT-P0-005-返回舱再入等离子辉光;BY-REL-P0-011-梦舟返地构型状态链;BY-REL-P0-013-返回舱再入搜救状态链;BY-REL-P1-007-摄影来源证据层级;BY-SCN-P0-007-返回舱再入视觉环境;BY-VEH-P0-006-梦舟返回舱独立再入构型;BY-VFX-P0-005-返回舱等离子辉光与黑障视觉;BY-VFX-P1-005-半弹道跳跃式再入轨迹</x:v>
      </x:c>
      <x:c r="K96" s="32" t="str">
        <x:v>BY-VOI-P1-002-林知夏声音</x:v>
      </x:c>
      <x:c r="L96" s="32" t="str">
        <x:v>BY-REL-P1-003-声音来源真实性;BY-SND-P1-004-再入结构与通信衰减</x:v>
      </x:c>
      <x:c r="M96" s="32" t="str">
        <x:v>BY-SYM-P1-004-任务轨迹与相位图模板</x:v>
      </x:c>
      <x:c r="N96" s="32" t="str">
        <x:v>阶段1映射完成｜阶段2B按镜头状态调用</x:v>
      </x:c>
      <x:c r="O96" s="32" t="str">
        <x:v>图卡文字和标识由后期完成。</x:v>
      </x:c>
    </x:row>
    <x:row r="97" ht="62" customHeight="1">
      <x:c r="A97" s="110" t="n">
        <x:v>96</x:v>
      </x:c>
      <x:c r="B97" s="110" t="n">
        <x:v>14</x:v>
      </x:c>
      <x:c r="C97" s="110" t="str">
        <x:v>半弹道跳跃式再入与黑障</x:v>
      </x:c>
      <x:c r="D97" s="110" t="str">
        <x:v>00:13:21–00:13:30</x:v>
      </x:c>
      <x:c r="E97" s="110" t="n">
        <x:v>9</x:v>
      </x:c>
      <x:c r="F97" s="32" t="str">
        <x:v>梦舟外部任务相机／视觉重建交叉</x:v>
      </x:c>
      <x:c r="G97" s="32" t="str">
        <x:v>返回舱与服务舱按程序分离，返回舱调整为再入姿态；外部全景角落标注视觉重建。</x:v>
      </x:c>
      <x:c r="H97" s="32" t="str">
        <x:v>遥测视觉重建｜角标常驻</x:v>
      </x:c>
      <x:c r="I97" s="110" t="str">
        <x:v>C｜显式遥测视觉重建</x:v>
      </x:c>
      <x:c r="J97" s="32" t="str">
        <x:v>BY-LGT-P0-005-返回舱再入等离子辉光;BY-PRP-P1-015-航天器任务相机组;BY-REL-P0-011-梦舟返地构型状态链;BY-REL-P0-013-返回舱再入搜救状态链;BY-REL-P1-007-摄影来源证据层级;BY-SCN-P0-007-返回舱再入视觉环境;BY-VEH-P0-001-梦舟载人飞船;BY-VEH-P0-006-梦舟返回舱独立再入构型;BY-VEH-P1-007-梦舟服务舱近地分离状态;BY-VFX-P0-005-返回舱等离子辉光与黑障视觉;BY-VFX-P1-005-半弹道跳跃式再入轨迹;BY-VFX-P1-008-遥测视觉重建合成</x:v>
      </x:c>
      <x:c r="K97" s="32" t="str">
        <x:v>BY-VOI-P0-001-杨凛声音</x:v>
      </x:c>
      <x:c r="L97" s="32" t="str">
        <x:v>BY-REL-P1-003-声音来源真实性;BY-SND-P1-004-再入结构与通信衰减</x:v>
      </x:c>
      <x:c r="M97" s="32" t="str">
        <x:v>BY-SYM-P1-006-视觉重建来源标识</x:v>
      </x:c>
      <x:c r="N97" s="32" t="str">
        <x:v>阶段1映射完成｜阶段2B按镜头状态调用</x:v>
      </x:c>
      <x:c r="O97" s="32" t="str">
        <x:v>梦舟返回舱是唯一载人密封舱。</x:v>
      </x:c>
    </x:row>
    <x:row r="98" ht="62" customHeight="1">
      <x:c r="A98" s="110" t="n">
        <x:v>97</x:v>
      </x:c>
      <x:c r="B98" s="110" t="n">
        <x:v>14</x:v>
      </x:c>
      <x:c r="C98" s="110" t="str">
        <x:v>半弹道跳跃式再入与黑障</x:v>
      </x:c>
      <x:c r="D98" s="110" t="str">
        <x:v>00:13:30–00:13:39</x:v>
      </x:c>
      <x:c r="E98" s="110" t="n">
        <x:v>9</x:v>
      </x:c>
      <x:c r="F98" s="32" t="str">
        <x:v>梦舟舱内三人中景</x:v>
      </x:c>
      <x:c r="G98" s="32" t="str">
        <x:v>三人固定在承力座椅，面窗外可见地球弧面；陈砚确认样品箱锁定，刘定槎监看入口参数。</x:v>
      </x:c>
      <x:c r="H98" s="32" t="str">
        <x:v>梦舟D｜三人返航承载／再入着陆</x:v>
      </x:c>
      <x:c r="I98" s="110" t="str">
        <x:v>A｜航天器／宇航服／月面真实任务机位推演</x:v>
      </x:c>
      <x:c r="J98" s="32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0-005-密封样品转移容器;BY-PRP-P1-006-舱内操作界面与任务屏;BY-PRP-P1-008-主样品容器编号与固定座;BY-REL-P0-008-样品转移链;BY-REL-P0-009-梦舟三座返航承载与环月工作位;BY-REL-P1-006-月面科学路线与样品链;BY-REL-P1-007-摄影来源证据层级;BY-SCN-P0-001-梦舟舱内三座布局;BY-SCN-P0-005-梦舟环月工作位;BY-SCN-P1-005-月面后段科考区;BY-VEH-P0-001-梦舟载人飞船</x:v>
      </x:c>
      <x:c r="K98" s="32" t="str">
        <x:v>BY-VOI-P0-002-陈砚声音;BY-VOI-P0-003-刘定槎声音</x:v>
      </x:c>
      <x:c r="L98" s="32" t="str">
        <x:v>BY-REL-P1-003-声音来源真实性;BY-SND-P0-001-舱内生命保障与设备底噪</x:v>
      </x:c>
      <x:c r="M98" s="32" t="str">
        <x:v>BY-SYM-P1-005-样品编号与封签模板</x:v>
      </x:c>
      <x:c r="N98" s="32" t="str">
        <x:v>阶段1映射完成｜阶段2B按镜头状态调用</x:v>
      </x:c>
      <x:c r="O98" s="32" t="str">
        <x:v>第四次出现三座满员，进入返航兑现。</x:v>
      </x:c>
    </x:row>
    <x:row r="99" ht="62" customHeight="1">
      <x:c r="A99" s="110" t="n">
        <x:v>98</x:v>
      </x:c>
      <x:c r="B99" s="110" t="n">
        <x:v>14</x:v>
      </x:c>
      <x:c r="C99" s="110" t="str">
        <x:v>半弹道跳跃式再入与黑障</x:v>
      </x:c>
      <x:c r="D99" s="110" t="str">
        <x:v>00:13:39–00:13:48</x:v>
      </x:c>
      <x:c r="E99" s="110" t="n">
        <x:v>9</x:v>
      </x:c>
      <x:c r="F99" s="32" t="str">
        <x:v>再入外景／视觉重建</x:v>
      </x:c>
      <x:c r="G99" s="32" t="str">
        <x:v>返回舱首次进入稀薄大气，等离子辉光从前缘建立，地球弧面快速移动。</x:v>
      </x:c>
      <x:c r="H99" s="32" t="str">
        <x:v>梦舟D｜三人返航承载／再入着陆</x:v>
      </x:c>
      <x:c r="I99" s="110" t="str">
        <x:v>C｜显式遥测视觉重建</x:v>
      </x:c>
      <x:c r="J99" s="32" t="str">
        <x:v>BY-LGT-P0-005-返回舱再入等离子辉光;BY-REL-P0-011-梦舟返地构型状态链;BY-REL-P0-013-返回舱再入搜救状态链;BY-REL-P1-007-摄影来源证据层级;BY-SCN-P0-007-返回舱再入视觉环境;BY-VEH-P0-006-梦舟返回舱独立再入构型;BY-VFX-P0-005-返回舱等离子辉光与黑障视觉;BY-VFX-P1-005-半弹道跳跃式再入轨迹;BY-VFX-P1-008-遥测视觉重建合成</x:v>
      </x:c>
      <x:c r="K99" s="32" t="str"/>
      <x:c r="L99" s="32" t="str">
        <x:v>BY-REL-P1-003-声音来源真实性;BY-SND-P1-003-发动机舱内结构振动;BY-SND-P1-004-再入结构与通信衰减</x:v>
      </x:c>
      <x:c r="M99" s="32" t="str">
        <x:v>BY-SYM-P1-006-视觉重建来源标识</x:v>
      </x:c>
      <x:c r="N99" s="32" t="str">
        <x:v>阶段1映射完成｜阶段2B按镜头状态调用</x:v>
      </x:c>
      <x:c r="O99" s="32" t="str">
        <x:v>视觉重建不替代舱内与地面遥测。</x:v>
      </x:c>
    </x:row>
    <x:row r="100" ht="62" customHeight="1">
      <x:c r="A100" s="110" t="n">
        <x:v>99</x:v>
      </x:c>
      <x:c r="B100" s="110" t="n">
        <x:v>14</x:v>
      </x:c>
      <x:c r="C100" s="110" t="str">
        <x:v>半弹道跳跃式再入与黑障</x:v>
      </x:c>
      <x:c r="D100" s="110" t="str">
        <x:v>00:13:48–00:13:57</x:v>
      </x:c>
      <x:c r="E100" s="110" t="n">
        <x:v>9</x:v>
      </x:c>
      <x:c r="F100" s="32" t="str">
        <x:v>舱内固定近景</x:v>
      </x:c>
      <x:c r="G100" s="32" t="str">
        <x:v>三名航天员承受载荷，座椅与肩带变形克制；杨凛按节奏呼吸，刘定槎读数。</x:v>
      </x:c>
      <x:c r="H100" s="32" t="str">
        <x:v>梦舟D｜三人返航承载／再入着陆</x:v>
      </x:c>
      <x:c r="I100" s="110" t="str">
        <x:v>A｜航天器／宇航服／月面真实任务机位推演</x:v>
      </x:c>
      <x:c r="J100" s="32" t="str">
        <x:v>BY-CHR-P0-001-杨凛;BY-CHR-P0-002-陈砚;BY-CHR-P0-003-刘定槎;BY-CST-P0-001-杨凛舱内飞行服;BY-CST-P0-002-陈砚舱内飞行服;BY-CST-P0-003-刘定槎舱内飞行服;BY-REL-P1-007-摄影来源证据层级</x:v>
      </x:c>
      <x:c r="K100" s="32" t="str">
        <x:v>BY-VOI-P0-003-刘定槎声音</x:v>
      </x:c>
      <x:c r="L100" s="32" t="str">
        <x:v>BY-REL-P1-003-声音来源真实性</x:v>
      </x:c>
      <x:c r="M100" s="32" t="str"/>
      <x:c r="N100" s="32" t="str">
        <x:v>阶段1映射完成｜阶段2B按镜头状态调用</x:v>
      </x:c>
      <x:c r="O100" s="32" t="str">
        <x:v>不使用夸张摇晃和尖叫。</x:v>
      </x:c>
    </x:row>
    <x:row r="101" ht="62" customHeight="1">
      <x:c r="A101" s="110" t="n">
        <x:v>100</x:v>
      </x:c>
      <x:c r="B101" s="110" t="n">
        <x:v>14</x:v>
      </x:c>
      <x:c r="C101" s="110" t="str">
        <x:v>半弹道跳跃式再入与黑障</x:v>
      </x:c>
      <x:c r="D101" s="110" t="str">
        <x:v>00:13:57–00:14:08</x:v>
      </x:c>
      <x:c r="E101" s="110" t="n">
        <x:v>11</x:v>
      </x:c>
      <x:c r="F101" s="32" t="str">
        <x:v>轨迹仿真／专家画外</x:v>
      </x:c>
      <x:c r="G101" s="32" t="str">
        <x:v>仿真图显示返回舱在首次减速后短暂抬升，再进入第二段大气减速。</x:v>
      </x:c>
      <x:c r="H101" s="32" t="str">
        <x:v>梦舟D｜三人返航承载／再入着陆</x:v>
      </x:c>
      <x:c r="I101" s="110" t="str">
        <x:v>D｜后期字幕／解释图卡</x:v>
      </x:c>
      <x:c r="J101" s="32" t="str">
        <x:v>BY-REL-P1-007-摄影来源证据层级</x:v>
      </x:c>
      <x:c r="K101" s="32" t="str">
        <x:v>BY-VOI-P1-013-孙亦川声音</x:v>
      </x:c>
      <x:c r="L101" s="32" t="str">
        <x:v>BY-REL-P1-003-声音来源真实性</x:v>
      </x:c>
      <x:c r="M101" s="32" t="str">
        <x:v>BY-SYM-P1-004-任务轨迹与相位图模板</x:v>
      </x:c>
      <x:c r="N101" s="32" t="str">
        <x:v>阶段1映射完成｜阶段2B按镜头状态调用</x:v>
      </x:c>
      <x:c r="O101" s="32" t="str">
        <x:v>专家解释放在相对可读的轨迹段。</x:v>
      </x:c>
    </x:row>
    <x:row r="102" ht="62" customHeight="1">
      <x:c r="A102" s="110" t="n">
        <x:v>101</x:v>
      </x:c>
      <x:c r="B102" s="110" t="n">
        <x:v>14</x:v>
      </x:c>
      <x:c r="C102" s="110" t="str">
        <x:v>半弹道跳跃式再入与黑障</x:v>
      </x:c>
      <x:c r="D102" s="110" t="str">
        <x:v>00:14:08–00:14:17</x:v>
      </x:c>
      <x:c r="E102" s="110" t="n">
        <x:v>9</x:v>
      </x:c>
      <x:c r="F102" s="32" t="str">
        <x:v>再入外景／视觉重建</x:v>
      </x:c>
      <x:c r="G102" s="32" t="str">
        <x:v>返回舱再次压入稠密大气，等离子辉光增强，姿态控制小幅变化。</x:v>
      </x:c>
      <x:c r="H102" s="32" t="str">
        <x:v>梦舟D｜三人返航承载／再入着陆</x:v>
      </x:c>
      <x:c r="I102" s="110" t="str">
        <x:v>C｜显式遥测视觉重建</x:v>
      </x:c>
      <x:c r="J102" s="32" t="str">
        <x:v>BY-LGT-P0-005-返回舱再入等离子辉光;BY-REL-P0-011-梦舟返地构型状态链;BY-REL-P0-013-返回舱再入搜救状态链;BY-REL-P1-007-摄影来源证据层级;BY-SCN-P0-007-返回舱再入视觉环境;BY-VEH-P0-006-梦舟返回舱独立再入构型;BY-VFX-P0-005-返回舱等离子辉光与黑障视觉;BY-VFX-P1-004-姿控喷流;BY-VFX-P1-005-半弹道跳跃式再入轨迹;BY-VFX-P1-008-遥测视觉重建合成</x:v>
      </x:c>
      <x:c r="K102" s="32" t="str">
        <x:v>BY-VOI-P1-004-北京飞控主调度声音</x:v>
      </x:c>
      <x:c r="L102" s="32" t="str">
        <x:v>BY-REL-P1-003-声音来源真实性;BY-SND-P1-004-再入结构与通信衰减</x:v>
      </x:c>
      <x:c r="M102" s="32" t="str">
        <x:v>BY-SYM-P1-006-视觉重建来源标识</x:v>
      </x:c>
      <x:c r="N102" s="32" t="str">
        <x:v>阶段1映射完成｜阶段2B按镜头状态调用</x:v>
      </x:c>
      <x:c r="O102" s="32" t="str">
        <x:v>随后进入黑障，不再加入专家整段解说。</x:v>
      </x:c>
    </x:row>
    <x:row r="103" ht="62" customHeight="1">
      <x:c r="A103" s="110" t="n">
        <x:v>102</x:v>
      </x:c>
      <x:c r="B103" s="110" t="n">
        <x:v>14</x:v>
      </x:c>
      <x:c r="C103" s="110" t="str">
        <x:v>半弹道跳跃式再入与黑障</x:v>
      </x:c>
      <x:c r="D103" s="110" t="str">
        <x:v>00:14:17–00:14:29</x:v>
      </x:c>
      <x:c r="E103" s="110" t="n">
        <x:v>12</x:v>
      </x:c>
      <x:c r="F103" s="32" t="str">
        <x:v>梦舟舱内固定长镜头</x:v>
      </x:c>
      <x:c r="G103" s="32" t="str">
        <x:v>舷窗外被橙白辉光覆盖，通信指示转为不可用；三人保持程序化呼吸和监控，只有身体细微受力。</x:v>
      </x:c>
      <x:c r="H103" s="32" t="str">
        <x:v>梦舟D｜三人返航承载／再入着陆</x:v>
      </x:c>
      <x:c r="I103" s="110" t="str">
        <x:v>A｜航天器／宇航服／月面真实任务机位推演</x:v>
      </x:c>
      <x:c r="J103" s="32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-006-舱内操作界面与任务屏;BY-REL-P0-009-梦舟三座返航承载与环月工作位;BY-REL-P1-007-摄影来源证据层级;BY-SCN-P0-001-梦舟舱内三座布局;BY-SCN-P0-005-梦舟环月工作位;BY-VEH-P0-001-梦舟载人飞船</x:v>
      </x:c>
      <x:c r="K103" s="32" t="str"/>
      <x:c r="L103" s="32" t="str">
        <x:v>BY-REL-P1-003-声音来源真实性;BY-SND-P0-001-舱内生命保障与设备底噪</x:v>
      </x:c>
      <x:c r="M103" s="32" t="str"/>
      <x:c r="N103" s="32" t="str">
        <x:v>阶段1映射完成｜阶段2B按镜头状态调用</x:v>
      </x:c>
      <x:c r="O103" s="32" t="str">
        <x:v>黑障期以沉默和乘组状态承压。</x:v>
      </x:c>
    </x:row>
    <x:row r="104" ht="62" customHeight="1">
      <x:c r="A104" s="110" t="n">
        <x:v>103</x:v>
      </x:c>
      <x:c r="B104" s="110" t="n">
        <x:v>14</x:v>
      </x:c>
      <x:c r="C104" s="110" t="str">
        <x:v>半弹道跳跃式再入与黑障</x:v>
      </x:c>
      <x:c r="D104" s="110" t="str">
        <x:v>00:14:29–00:14:39</x:v>
      </x:c>
      <x:c r="E104" s="110" t="n">
        <x:v>10</x:v>
      </x:c>
      <x:c r="F104" s="32" t="str">
        <x:v>北京飞控／地面外测交叉</x:v>
      </x:c>
      <x:c r="G104" s="32" t="str">
        <x:v>飞控主屏上通信链路变灰，但惯导预测、入口解算和外测搜索区仍在更新；雷达和光学系统指向预报走廊。</x:v>
      </x:c>
      <x:c r="H104" s="32" t="str">
        <x:v>梦舟D｜三人返航承载／再入着陆</x:v>
      </x:c>
      <x:c r="I104" s="110" t="str">
        <x:v>B｜地面直播／测控任务机位</x:v>
      </x:c>
      <x:c r="J104" s="32" t="str">
        <x:v>BY-CRO-P1-001-北京飞控任务团队;BY-LGT-P1-003-飞控大厅任务光;BY-REL-P1-007-摄影来源证据层级;BY-SCN-P0-006-北京飞控大厅与任务主屏</x:v>
      </x:c>
      <x:c r="K104" s="32" t="str"/>
      <x:c r="L104" s="32" t="str">
        <x:v>BY-REL-P1-003-声音来源真实性;BY-SND-P1-008-飞控与测控大厅底噪</x:v>
      </x:c>
      <x:c r="M104" s="32" t="str">
        <x:v>BY-SYM-P1-004-任务轨迹与相位图模板</x:v>
      </x:c>
      <x:c r="N104" s="32" t="str">
        <x:v>阶段1映射完成｜阶段2B按镜头状态调用</x:v>
      </x:c>
      <x:c r="O104" s="32" t="str">
        <x:v>黑障不是地面完全失去一切判断。</x:v>
      </x:c>
    </x:row>
    <x:row r="105" ht="62" customHeight="1">
      <x:c r="A105" s="110" t="n">
        <x:v>104</x:v>
      </x:c>
      <x:c r="B105" s="110" t="n">
        <x:v>14</x:v>
      </x:c>
      <x:c r="C105" s="110" t="str">
        <x:v>半弹道跳跃式再入与黑障</x:v>
      </x:c>
      <x:c r="D105" s="110" t="str">
        <x:v>00:14:39–00:14:48</x:v>
      </x:c>
      <x:c r="E105" s="110" t="n">
        <x:v>9</x:v>
      </x:c>
      <x:c r="F105" s="32" t="str">
        <x:v>东风终端红外任务画面</x:v>
      </x:c>
      <x:c r="G105" s="32" t="str">
        <x:v>红外画面在预报走廊中出现高温目标，跟踪框稳定后给出方位和速度趋势。</x:v>
      </x:c>
      <x:c r="H105" s="32" t="str">
        <x:v>梦舟D｜三人返航承载／再入着陆</x:v>
      </x:c>
      <x:c r="I105" s="110" t="str">
        <x:v>B｜地面直播／测控任务机位</x:v>
      </x:c>
      <x:c r="J105" s="32" t="str">
        <x:v>BY-CRO-P1-003-搜救与医疗团队;BY-LGT-P1-007-搜救着陆区日间自然光;BY-REL-P0-013-返回舱再入搜救状态链;BY-REL-P1-007-摄影来源证据层级;BY-REL-P1-009-东风医监与样品双线;BY-SCN-P0-008-预定着陆区与搜救现场</x:v>
      </x:c>
      <x:c r="K105" s="32" t="str">
        <x:v>BY-VOI-P1-008-搜救指挥声音</x:v>
      </x:c>
      <x:c r="L105" s="32" t="str">
        <x:v>BY-REL-P1-003-声音来源真实性;BY-SND-P1-006-搜救现场声</x:v>
      </x:c>
      <x:c r="M105" s="32" t="str">
        <x:v>BY-SYM-P1-004-任务轨迹与相位图模板</x:v>
      </x:c>
      <x:c r="N105" s="32" t="str">
        <x:v>阶段1映射完成｜阶段2B按镜头状态调用</x:v>
      </x:c>
      <x:c r="O105" s="32" t="str">
        <x:v>红外是外测发现，不宣称恢复舱内通信。</x:v>
      </x:c>
    </x:row>
    <x:row r="106" ht="62" customHeight="1">
      <x:c r="A106" s="110" t="n">
        <x:v>105</x:v>
      </x:c>
      <x:c r="B106" s="110" t="n">
        <x:v>14</x:v>
      </x:c>
      <x:c r="C106" s="110" t="str">
        <x:v>半弹道跳跃式再入与黑障</x:v>
      </x:c>
      <x:c r="D106" s="110" t="str">
        <x:v>00:14:48–00:14:57</x:v>
      </x:c>
      <x:c r="E106" s="110" t="n">
        <x:v>9</x:v>
      </x:c>
      <x:c r="F106" s="32" t="str">
        <x:v>北京飞控与梦舟舱内交叉</x:v>
      </x:c>
      <x:c r="G106" s="32" t="str">
        <x:v>通信状态重新点亮；三人听见地面呼叫后依次确认。</x:v>
      </x:c>
      <x:c r="H106" s="32" t="str">
        <x:v>梦舟D｜三人返航承载／再入着陆</x:v>
      </x:c>
      <x:c r="I106" s="110" t="str">
        <x:v>B｜地面直播／测控任务机位</x:v>
      </x:c>
      <x:c r="J106" s="32" t="str">
        <x:v>BY-ANM-P0-001-梦舟四种乘员状态;BY-CHR-P0-001-杨凛;BY-CHR-P0-002-陈砚;BY-CHR-P0-003-刘定槎;BY-CRO-P1-001-北京飞控任务团队;BY-CST-P0-001-杨凛舱内飞行服;BY-CST-P0-002-陈砚舱内飞行服;BY-CST-P0-003-刘定槎舱内飞行服;BY-LGT-P0-001-梦舟舱内任务光;BY-LGT-P1-003-飞控大厅任务光;BY-PRP-P0-001-梦舟三座椅与束缚系统;BY-PRP-P1-006-舱内操作界面与任务屏;BY-REL-P0-009-梦舟三座返航承载与环月工作位;BY-REL-P1-007-摄影来源证据层级;BY-SCN-P0-001-梦舟舱内三座布局;BY-SCN-P0-005-梦舟环月工作位;BY-SCN-P0-006-北京飞控大厅与任务主屏;BY-VEH-P0-001-梦舟载人飞船</x:v>
      </x:c>
      <x:c r="K106" s="32" t="str">
        <x:v>BY-VOI-P0-001-杨凛声音;BY-VOI-P1-004-北京飞控主调度声音</x:v>
      </x:c>
      <x:c r="L106" s="32" t="str">
        <x:v>BY-REL-P1-003-声音来源真实性;BY-SND-P0-001-舱内生命保障与设备底噪;BY-SND-P1-008-飞控与测控大厅底噪</x:v>
      </x:c>
      <x:c r="M106" s="32" t="str"/>
      <x:c r="N106" s="32" t="str">
        <x:v>阶段1映射完成｜阶段2B按镜头状态调用</x:v>
      </x:c>
      <x:c r="O106" s="32" t="str">
        <x:v>黑障恢复是明确事件点。</x:v>
      </x:c>
    </x:row>
    <x:row r="107" ht="62" customHeight="1">
      <x:c r="A107" s="110" t="n">
        <x:v>106</x:v>
      </x:c>
      <x:c r="B107" s="110" t="n">
        <x:v>14</x:v>
      </x:c>
      <x:c r="C107" s="110" t="str">
        <x:v>半弹道跳跃式再入与黑障</x:v>
      </x:c>
      <x:c r="D107" s="110" t="str">
        <x:v>00:14:57–00:15:06</x:v>
      </x:c>
      <x:c r="E107" s="110" t="n">
        <x:v>9</x:v>
      </x:c>
      <x:c r="F107" s="32" t="str">
        <x:v>返回舱外部任务画面</x:v>
      </x:c>
      <x:c r="G107" s="32" t="str">
        <x:v>引导伞、主伞依次展开，伞衣充气稳定；返回舱姿态由高速下降转为垂直稳定。</x:v>
      </x:c>
      <x:c r="H107" s="32" t="str">
        <x:v>梦舟D｜三人返航承载／再入着陆</x:v>
      </x:c>
      <x:c r="I107" s="110" t="str">
        <x:v>A｜航天器／宇航服／月面真实任务机位推演</x:v>
      </x:c>
      <x:c r="J107" s="32" t="str">
        <x:v>BY-LGT-P0-004-月面艺术化任务日光;BY-PRP-P1-015-航天器任务相机组;BY-REL-P0-012-月面艺术化光照与声明;BY-REL-P1-001-月面空间总图;BY-REL-P1-007-摄影来源证据层级;BY-SCN-P0-004-月面着陆与作业区;BY-VEH-P0-007-返回舱群伞气囊着陆构型;BY-VFX-P0-006-稳定伞与主伞展开</x:v>
      </x:c>
      <x:c r="K107" s="32" t="str">
        <x:v>BY-VOI-P1-004-北京飞控主调度声音;BY-VOI-P1-008-搜救指挥声音</x:v>
      </x:c>
      <x:c r="L107" s="32" t="str">
        <x:v>BY-REL-P1-003-声音来源真实性;BY-SND-P1-003-发动机舱内结构振动;BY-SND-P1-005-降落伞与着陆冲击</x:v>
      </x:c>
      <x:c r="M107" s="32" t="str"/>
      <x:c r="N107" s="32" t="str">
        <x:v>阶段1映射完成｜阶段2B按镜头状态调用</x:v>
      </x:c>
      <x:c r="O107" s="32" t="str">
        <x:v>外部声采用任务机位拾音，不加配乐。</x:v>
      </x:c>
    </x:row>
    <x:row r="108" ht="62" customHeight="1">
      <x:c r="A108" s="110" t="n">
        <x:v>107</x:v>
      </x:c>
      <x:c r="B108" s="110" t="n">
        <x:v>15</x:v>
      </x:c>
      <x:c r="C108" s="110" t="str">
        <x:v>东风着陆、搜救与任务完成</x:v>
      </x:c>
      <x:c r="D108" s="110" t="str">
        <x:v>00:15:06–00:15:15</x:v>
      </x:c>
      <x:c r="E108" s="110" t="n">
        <x:v>9</x:v>
      </x:c>
      <x:c r="F108" s="32" t="str">
        <x:v>空中远摄／黎明</x:v>
      </x:c>
      <x:c r="G108" s="32" t="str">
        <x:v>主伞下的返回舱掠过东风着陆场荒漠上空，远处搜救直升机保持安全距离。</x:v>
      </x:c>
      <x:c r="H108" s="32" t="str">
        <x:v>梦舟D｜三人返航承载／再入着陆</x:v>
      </x:c>
      <x:c r="I108" s="110" t="str">
        <x:v>B｜地面直播／测控任务机位</x:v>
      </x:c>
      <x:c r="J108" s="32" t="str">
        <x:v>BY-CRO-P1-003-搜救与医疗团队;BY-LGT-P1-007-搜救着陆区日间自然光;BY-REL-P0-013-返回舱再入搜救状态链;BY-REL-P1-007-摄影来源证据层级;BY-REL-P1-009-东风医监与样品双线;BY-SCN-P0-008-预定着陆区与搜救现场;BY-VEH-P0-007-返回舱群伞气囊着陆构型;BY-VEH-P1-008-搜救直升机与地面车辆;BY-VFX-P0-006-稳定伞与主伞展开</x:v>
      </x:c>
      <x:c r="K108" s="32" t="str">
        <x:v>BY-VOI-P1-008-搜救指挥声音</x:v>
      </x:c>
      <x:c r="L108" s="32" t="str">
        <x:v>BY-REL-P1-003-声音来源真实性;BY-SND-P1-003-发动机舱内结构振动;BY-SND-P1-005-降落伞与着陆冲击;BY-SND-P1-006-搜救现场声</x:v>
      </x:c>
      <x:c r="M108" s="32" t="str"/>
      <x:c r="N108" s="32" t="str">
        <x:v>阶段1映射完成｜阶段2B按镜头状态调用</x:v>
      </x:c>
      <x:c r="O108" s="32" t="str">
        <x:v>任务机位；不使用英雄化配乐。</x:v>
      </x:c>
    </x:row>
    <x:row r="109" ht="62" customHeight="1">
      <x:c r="A109" s="110" t="n">
        <x:v>108</x:v>
      </x:c>
      <x:c r="B109" s="110" t="n">
        <x:v>15</x:v>
      </x:c>
      <x:c r="C109" s="110" t="str">
        <x:v>东风着陆、搜救与任务完成</x:v>
      </x:c>
      <x:c r="D109" s="110" t="str">
        <x:v>00:15:15–00:15:23</x:v>
      </x:c>
      <x:c r="E109" s="110" t="n">
        <x:v>8</x:v>
      </x:c>
      <x:c r="F109" s="32" t="str">
        <x:v>梦舟舱内三人中景</x:v>
      </x:c>
      <x:c r="G109" s="32" t="str">
        <x:v>三人进入着陆姿态，杨凛确认缓冲程序，刘定槎读出高度，陈砚保护样品状态。</x:v>
      </x:c>
      <x:c r="H109" s="32" t="str">
        <x:v>梦舟D｜三人返航承载／再入着陆</x:v>
      </x:c>
      <x:c r="I109" s="110" t="str">
        <x:v>A｜航天器／宇航服／月面真实任务机位推演</x:v>
      </x:c>
      <x:c r="J109" s="32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-006-舱内操作界面与任务屏;BY-REL-P0-009-梦舟三座返航承载与环月工作位;BY-REL-P1-006-月面科学路线与样品链;BY-REL-P1-007-摄影来源证据层级;BY-SCN-P0-001-梦舟舱内三座布局;BY-SCN-P0-005-梦舟环月工作位;BY-SCN-P1-005-月面后段科考区;BY-VEH-P0-001-梦舟载人飞船</x:v>
      </x:c>
      <x:c r="K109" s="32" t="str">
        <x:v>BY-VOI-P0-001-杨凛声音;BY-VOI-P0-003-刘定槎声音</x:v>
      </x:c>
      <x:c r="L109" s="32" t="str">
        <x:v>BY-REL-P1-003-声音来源真实性;BY-SND-P0-001-舱内生命保障与设备底噪;BY-SND-P1-003-发动机舱内结构振动</x:v>
      </x:c>
      <x:c r="M109" s="32" t="str"/>
      <x:c r="N109" s="32" t="str">
        <x:v>阶段1映射完成｜阶段2B按镜头状态调用</x:v>
      </x:c>
      <x:c r="O109" s="32" t="str">
        <x:v>三座满员母题持续到落地。</x:v>
      </x:c>
    </x:row>
    <x:row r="110" ht="62" customHeight="1">
      <x:c r="A110" s="110" t="n">
        <x:v>109</x:v>
      </x:c>
      <x:c r="B110" s="110" t="n">
        <x:v>15</x:v>
      </x:c>
      <x:c r="C110" s="110" t="str">
        <x:v>东风着陆、搜救与任务完成</x:v>
      </x:c>
      <x:c r="D110" s="110" t="str">
        <x:v>00:15:23–00:15:32</x:v>
      </x:c>
      <x:c r="E110" s="110" t="n">
        <x:v>9</x:v>
      </x:c>
      <x:c r="F110" s="32" t="str">
        <x:v>地面长焦／舱内交叉</x:v>
      </x:c>
      <x:c r="G110" s="32" t="str">
        <x:v>返回舱接地扬尘并短距离稳定；舱内座椅吸收冲击，三人完成着陆后自检。</x:v>
      </x:c>
      <x:c r="H110" s="32" t="str">
        <x:v>梦舟D｜三人返航承载／再入着陆</x:v>
      </x:c>
      <x:c r="I110" s="110" t="str">
        <x:v>B｜地面直播／测控任务机位</x:v>
      </x:c>
      <x:c r="J110" s="32" t="str">
        <x:v>BY-CHR-P0-001-杨凛;BY-CHR-P0-002-陈砚;BY-CHR-P0-003-刘定槎;BY-CRO-P1-003-搜救与医疗团队;BY-CST-P0-001-杨凛舱内飞行服;BY-CST-P0-002-陈砚舱内飞行服;BY-CST-P0-003-刘定槎舱内飞行服;BY-LGT-P1-007-搜救着陆区日间自然光;BY-REL-P0-013-返回舱再入搜救状态链;BY-REL-P1-007-摄影来源证据层级;BY-REL-P1-009-东风医监与样品双线;BY-SCN-P0-008-预定着陆区与搜救现场;BY-VEH-P0-007-返回舱群伞气囊着陆构型;BY-VFX-P0-007-气囊触地滚摆</x:v>
      </x:c>
      <x:c r="K110" s="32" t="str">
        <x:v>BY-VOI-P0-001-杨凛声音;BY-VOI-P1-008-搜救指挥声音</x:v>
      </x:c>
      <x:c r="L110" s="32" t="str">
        <x:v>BY-REL-P1-003-声音来源真实性;BY-SND-P1-003-发动机舱内结构振动;BY-SND-P1-005-降落伞与着陆冲击;BY-SND-P1-006-搜救现场声</x:v>
      </x:c>
      <x:c r="M110" s="32" t="str"/>
      <x:c r="N110" s="32" t="str">
        <x:v>阶段1映射完成｜阶段2B按镜头状态调用</x:v>
      </x:c>
      <x:c r="O110" s="32" t="str">
        <x:v>接地以任务画面和舱内状态双重证明。</x:v>
      </x:c>
    </x:row>
    <x:row r="111" ht="62" customHeight="1">
      <x:c r="A111" s="110" t="n">
        <x:v>110</x:v>
      </x:c>
      <x:c r="B111" s="110" t="n">
        <x:v>15</x:v>
      </x:c>
      <x:c r="C111" s="110" t="str">
        <x:v>东风着陆、搜救与任务完成</x:v>
      </x:c>
      <x:c r="D111" s="110" t="str">
        <x:v>00:15:32–00:15:40</x:v>
      </x:c>
      <x:c r="E111" s="110" t="n">
        <x:v>8</x:v>
      </x:c>
      <x:c r="F111" s="32" t="str">
        <x:v>黑场与任务画面转场／后期字幕</x:v>
      </x:c>
      <x:c r="G111" s="32" t="str">
        <x:v>字幕：时间压缩｜搜救分队抵达并完成初步安全处置。画面转为直升机和地面车队接近返回舱。</x:v>
      </x:c>
      <x:c r="H111" s="32" t="str">
        <x:v>东风回收｜时间压缩后专业处置</x:v>
      </x:c>
      <x:c r="I111" s="110" t="str">
        <x:v>D｜后期字幕／解释图卡</x:v>
      </x:c>
      <x:c r="J111" s="32" t="str">
        <x:v>BY-ANM-P1-002-东风搜救开舱转移;BY-CRO-P1-003-搜救与医疗团队;BY-LGT-P1-007-搜救着陆区日间自然光;BY-REL-P0-013-返回舱再入搜救状态链;BY-REL-P1-007-摄影来源证据层级;BY-REL-P1-009-东风医监与样品双线;BY-SCN-P0-008-预定着陆区与搜救现场;BY-SCN-P1-012-东风医监开舱作业区;BY-VEH-P1-008-搜救直升机与地面车辆</x:v>
      </x:c>
      <x:c r="K111" s="32" t="str"/>
      <x:c r="L111" s="32" t="str">
        <x:v>BY-REL-P1-003-声音来源真实性;BY-SND-P1-006-搜救现场声</x:v>
      </x:c>
      <x:c r="M111" s="32" t="str">
        <x:v>BY-SYM-P1-003-任务阶段与时间跳跃标牌;BY-SYM-P1-008-东风搜救时间压缩</x:v>
      </x:c>
      <x:c r="N111" s="32" t="str">
        <x:v>阶段1映射完成｜阶段2B按镜头状态调用</x:v>
      </x:c>
      <x:c r="O111" s="32" t="str">
        <x:v>避免把真实搜救抵达时间压缩成几秒的假实时。</x:v>
      </x:c>
    </x:row>
    <x:row r="112" ht="62" customHeight="1">
      <x:c r="A112" s="110" t="n">
        <x:v>111</x:v>
      </x:c>
      <x:c r="B112" s="110" t="n">
        <x:v>15</x:v>
      </x:c>
      <x:c r="C112" s="110" t="str">
        <x:v>东风着陆、搜救与任务完成</x:v>
      </x:c>
      <x:c r="D112" s="110" t="str">
        <x:v>00:15:40–00:15:47</x:v>
      </x:c>
      <x:c r="E112" s="110" t="n">
        <x:v>7</x:v>
      </x:c>
      <x:c r="F112" s="32" t="str">
        <x:v>空中搜救任务机位</x:v>
      </x:c>
      <x:c r="G112" s="32" t="str">
        <x:v>直升机俯视返回舱、警戒区和地面车队，红外窗口确认舱体热状态。</x:v>
      </x:c>
      <x:c r="H112" s="32" t="str">
        <x:v>东风回收｜时间压缩后专业处置</x:v>
      </x:c>
      <x:c r="I112" s="110" t="str">
        <x:v>B｜地面直播／测控任务机位</x:v>
      </x:c>
      <x:c r="J112" s="32" t="str">
        <x:v>BY-ANM-P1-002-东风搜救开舱转移;BY-CRO-P1-003-搜救与医疗团队;BY-LGT-P1-007-搜救着陆区日间自然光;BY-REL-P0-013-返回舱再入搜救状态链;BY-REL-P1-007-摄影来源证据层级;BY-REL-P1-009-东风医监与样品双线;BY-SCN-P0-008-预定着陆区与搜救现场;BY-SCN-P1-012-东风医监开舱作业区;BY-VEH-P1-008-搜救直升机与地面车辆</x:v>
      </x:c>
      <x:c r="K112" s="32" t="str">
        <x:v>BY-VOI-P1-008-搜救指挥声音</x:v>
      </x:c>
      <x:c r="L112" s="32" t="str">
        <x:v>BY-REL-P1-003-声音来源真实性;BY-SND-P1-003-发动机舱内结构振动;BY-SND-P1-006-搜救现场声</x:v>
      </x:c>
      <x:c r="M112" s="32" t="str"/>
      <x:c r="N112" s="32" t="str">
        <x:v>阶段1映射完成｜阶段2B按镜头状态调用</x:v>
      </x:c>
      <x:c r="O112" s="32" t="str">
        <x:v>展示着陆场系统专业视角。</x:v>
      </x:c>
    </x:row>
    <x:row r="113" ht="62" customHeight="1">
      <x:c r="A113" s="110" t="n">
        <x:v>112</x:v>
      </x:c>
      <x:c r="B113" s="110" t="n">
        <x:v>15</x:v>
      </x:c>
      <x:c r="C113" s="110" t="str">
        <x:v>东风着陆、搜救与任务完成</x:v>
      </x:c>
      <x:c r="D113" s="110" t="str">
        <x:v>00:15:47–00:15:55</x:v>
      </x:c>
      <x:c r="E113" s="110" t="n">
        <x:v>8</x:v>
      </x:c>
      <x:c r="F113" s="32" t="str">
        <x:v>地面搜救近景</x:v>
      </x:c>
      <x:c r="G113" s="32" t="str">
        <x:v>处置人员检测外部环境、确认舱体姿态和危险源，随后建立开舱作业区。</x:v>
      </x:c>
      <x:c r="H113" s="32" t="str">
        <x:v>东风回收｜时间压缩后专业处置</x:v>
      </x:c>
      <x:c r="I113" s="110" t="str">
        <x:v>B｜地面直播／测控任务机位</x:v>
      </x:c>
      <x:c r="J113" s="32" t="str">
        <x:v>BY-ANM-P1-002-东风搜救开舱转移;BY-CRO-P1-003-搜救与医疗团队;BY-LGT-P1-007-搜救着陆区日间自然光;BY-PRP-P1-011-返回舱信标与现场安全工具;BY-REL-P0-013-返回舱再入搜救状态链;BY-REL-P1-007-摄影来源证据层级;BY-REL-P1-009-东风医监与样品双线;BY-SCN-P0-008-预定着陆区与搜救现场;BY-SCN-P1-012-东风医监开舱作业区</x:v>
      </x:c>
      <x:c r="K113" s="32" t="str">
        <x:v>BY-VOI-P1-011-现场指挥声音</x:v>
      </x:c>
      <x:c r="L113" s="32" t="str">
        <x:v>BY-REL-P1-003-声音来源真实性;BY-SND-P1-006-搜救现场声</x:v>
      </x:c>
      <x:c r="M113" s="32" t="str"/>
      <x:c r="N113" s="32" t="str">
        <x:v>阶段1映射完成｜阶段2B按镜头状态调用</x:v>
      </x:c>
      <x:c r="O113" s="32" t="str">
        <x:v>先安全处置，后开舱。</x:v>
      </x:c>
    </x:row>
    <x:row r="114" ht="62" customHeight="1">
      <x:c r="A114" s="110" t="n">
        <x:v>113</x:v>
      </x:c>
      <x:c r="B114" s="110" t="n">
        <x:v>15</x:v>
      </x:c>
      <x:c r="C114" s="110" t="str">
        <x:v>东风着陆、搜救与任务完成</x:v>
      </x:c>
      <x:c r="D114" s="110" t="str">
        <x:v>00:15:55–00:16:09</x:v>
      </x:c>
      <x:c r="E114" s="110" t="n">
        <x:v>14</x:v>
      </x:c>
      <x:c r="F114" s="32" t="str">
        <x:v>现场医监画面／何文澜画外</x:v>
      </x:c>
      <x:c r="G114" s="32" t="str">
        <x:v>医监人员在舱外准备座椅、担架、生命体征设备和遮护；返回舱舱门尚未开启。</x:v>
      </x:c>
      <x:c r="H114" s="32" t="str">
        <x:v>东风回收｜时间压缩后专业处置</x:v>
      </x:c>
      <x:c r="I114" s="110" t="str">
        <x:v>B｜地面直播／测控任务机位</x:v>
      </x:c>
      <x:c r="J114" s="32" t="str">
        <x:v>BY-ANM-P1-002-东风搜救开舱转移;BY-CRO-P1-003-搜救与医疗团队;BY-LGT-P0-004-月面艺术化任务日光;BY-LGT-P1-007-搜救着陆区日间自然光;BY-PRP-P0-006-东风医监转移设备;BY-REL-P0-012-月面艺术化光照与声明;BY-REL-P0-013-返回舱再入搜救状态链;BY-REL-P1-001-月面空间总图;BY-REL-P1-007-摄影来源证据层级;BY-REL-P1-009-东风医监与样品双线;BY-SCN-P0-004-月面着陆与作业区;BY-SCN-P0-008-预定着陆区与搜救现场;BY-SCN-P1-012-东风医监开舱作业区</x:v>
      </x:c>
      <x:c r="K114" s="32" t="str">
        <x:v>BY-VOI-P1-012-何文澜声音</x:v>
      </x:c>
      <x:c r="L114" s="32" t="str">
        <x:v>BY-REL-P1-003-声音来源真实性;BY-SND-P1-006-搜救现场声</x:v>
      </x:c>
      <x:c r="M114" s="32" t="str"/>
      <x:c r="N114" s="32" t="str">
        <x:v>阶段1映射完成｜阶段2B按镜头状态调用</x:v>
      </x:c>
      <x:c r="O114" s="32" t="str">
        <x:v>解释发生在处置画面上，不占用开舱关键口令。</x:v>
      </x:c>
    </x:row>
    <x:row r="115" ht="62" customHeight="1">
      <x:c r="A115" s="110" t="n">
        <x:v>114</x:v>
      </x:c>
      <x:c r="B115" s="110" t="n">
        <x:v>15</x:v>
      </x:c>
      <x:c r="C115" s="110" t="str">
        <x:v>东风着陆、搜救与任务完成</x:v>
      </x:c>
      <x:c r="D115" s="110" t="str">
        <x:v>00:16:09–00:16:18</x:v>
      </x:c>
      <x:c r="E115" s="110" t="n">
        <x:v>9</x:v>
      </x:c>
      <x:c r="F115" s="32" t="str">
        <x:v>开舱任务机位</x:v>
      </x:c>
      <x:c r="G115" s="32" t="str">
        <x:v>舱门按程序开启，医监人员先与乘组建立目视和语音联系，再进入初步评估。</x:v>
      </x:c>
      <x:c r="H115" s="32" t="str">
        <x:v>东风回收｜时间压缩后专业处置</x:v>
      </x:c>
      <x:c r="I115" s="110" t="str">
        <x:v>B｜地面直播／测控任务机位</x:v>
      </x:c>
      <x:c r="J115" s="32" t="str">
        <x:v>BY-ANM-P1-002-东风搜救开舱转移;BY-CRO-P1-003-搜救与医疗团队;BY-LGT-P1-007-搜救着陆区日间自然光;BY-REL-P0-013-返回舱再入搜救状态链;BY-REL-P1-007-摄影来源证据层级;BY-REL-P1-009-东风医监与样品双线;BY-SCN-P0-008-预定着陆区与搜救现场;BY-SCN-P1-012-东风医监开舱作业区</x:v>
      </x:c>
      <x:c r="K115" s="32" t="str">
        <x:v>BY-VOI-P1-015-医监人员声音</x:v>
      </x:c>
      <x:c r="L115" s="32" t="str">
        <x:v>BY-REL-P1-003-声音来源真实性;BY-SND-P1-006-搜救现场声</x:v>
      </x:c>
      <x:c r="M115" s="32" t="str"/>
      <x:c r="N115" s="32" t="str">
        <x:v>阶段1映射完成｜阶段2B按镜头状态调用</x:v>
      </x:c>
      <x:c r="O115" s="32" t="str">
        <x:v>不让航天员立即自行走出返回舱。</x:v>
      </x:c>
    </x:row>
    <x:row r="116" ht="62" customHeight="1">
      <x:c r="A116" s="110" t="n">
        <x:v>115</x:v>
      </x:c>
      <x:c r="B116" s="110" t="n">
        <x:v>15</x:v>
      </x:c>
      <x:c r="C116" s="110" t="str">
        <x:v>东风着陆、搜救与任务完成</x:v>
      </x:c>
      <x:c r="D116" s="110" t="str">
        <x:v>00:16:18–00:16:29</x:v>
      </x:c>
      <x:c r="E116" s="110" t="n">
        <x:v>11</x:v>
      </x:c>
      <x:c r="F116" s="32" t="str">
        <x:v>地面中景</x:v>
      </x:c>
      <x:c r="G116" s="32" t="str">
        <x:v>三名航天员按评估结果依次转移到支撑座椅或担架，现场人员保持遮护和固定。</x:v>
      </x:c>
      <x:c r="H116" s="32" t="str">
        <x:v>东风回收｜时间压缩后专业处置</x:v>
      </x:c>
      <x:c r="I116" s="110" t="str">
        <x:v>B｜地面直播／测控任务机位</x:v>
      </x:c>
      <x:c r="J116" s="32" t="str">
        <x:v>BY-ANM-P1-002-东风搜救开舱转移;BY-CHR-P0-001-杨凛;BY-CHR-P0-002-陈砚;BY-CHR-P0-003-刘定槎;BY-CST-P0-001-杨凛舱内飞行服;BY-CST-P0-002-陈砚舱内飞行服;BY-CST-P0-003-刘定槎舱内飞行服;BY-PRP-P0-006-东风医监转移设备;BY-REL-P1-007-摄影来源证据层级;BY-SCN-P1-012-东风医监开舱作业区</x:v>
      </x:c>
      <x:c r="K116" s="32" t="str"/>
      <x:c r="L116" s="32" t="str">
        <x:v>BY-REL-P1-003-声音来源真实性</x:v>
      </x:c>
      <x:c r="M116" s="32" t="str"/>
      <x:c r="N116" s="32" t="str">
        <x:v>阶段1映射完成｜阶段2B按镜头状态调用</x:v>
      </x:c>
      <x:c r="O116" s="32" t="str">
        <x:v>具体转移方式按人物状态分别处理。</x:v>
      </x:c>
    </x:row>
    <x:row r="117" ht="62" customHeight="1">
      <x:c r="A117" s="110" t="n">
        <x:v>116</x:v>
      </x:c>
      <x:c r="B117" s="110" t="n">
        <x:v>15</x:v>
      </x:c>
      <x:c r="C117" s="110" t="str">
        <x:v>东风着陆、搜救与任务完成</x:v>
      </x:c>
      <x:c r="D117" s="110" t="str">
        <x:v>00:16:29–00:16:36</x:v>
      </x:c>
      <x:c r="E117" s="110" t="n">
        <x:v>7</x:v>
      </x:c>
      <x:c r="F117" s="32" t="str">
        <x:v>地面近景</x:v>
      </x:c>
      <x:c r="G117" s="32" t="str">
        <x:v>三名航天员坐在支撑座椅上面向任务相机挥手，救援人员仍在旁监护。</x:v>
      </x:c>
      <x:c r="H117" s="32" t="str">
        <x:v>东风回收｜时间压缩后专业处置</x:v>
      </x:c>
      <x:c r="I117" s="110" t="str">
        <x:v>B｜地面直播／测控任务机位</x:v>
      </x:c>
      <x:c r="J117" s="32" t="str">
        <x:v>BY-ANM-P1-002-东风搜救开舱转移;BY-CHR-P0-001-杨凛;BY-CHR-P0-002-陈砚;BY-CHR-P0-003-刘定槎;BY-CST-P0-001-杨凛舱内飞行服;BY-CST-P0-002-陈砚舱内飞行服;BY-CST-P0-003-刘定槎舱内飞行服;BY-PRP-P0-006-东风医监转移设备;BY-REL-P1-007-摄影来源证据层级;BY-SCN-P1-012-东风医监开舱作业区</x:v>
      </x:c>
      <x:c r="K117" s="32" t="str">
        <x:v>BY-VOI-P0-001-杨凛声音</x:v>
      </x:c>
      <x:c r="L117" s="32" t="str">
        <x:v>BY-REL-P1-003-声音来源真实性</x:v>
      </x:c>
      <x:c r="M117" s="32" t="str"/>
      <x:c r="N117" s="32" t="str">
        <x:v>阶段1映射完成｜阶段2B按镜头状态调用</x:v>
      </x:c>
      <x:c r="O117" s="32" t="str">
        <x:v>挥手不等于已经完成医学处置。</x:v>
      </x:c>
    </x:row>
    <x:row r="118" ht="62" customHeight="1">
      <x:c r="A118" s="110" t="n">
        <x:v>117</x:v>
      </x:c>
      <x:c r="B118" s="110" t="n">
        <x:v>15</x:v>
      </x:c>
      <x:c r="C118" s="110" t="str">
        <x:v>东风着陆、搜救与任务完成</x:v>
      </x:c>
      <x:c r="D118" s="110" t="str">
        <x:v>00:16:36–00:16:44</x:v>
      </x:c>
      <x:c r="E118" s="110" t="n">
        <x:v>8</x:v>
      </x:c>
      <x:c r="F118" s="32" t="str">
        <x:v>样品接收与北京飞控交叉</x:v>
      </x:c>
      <x:c r="G118" s="32" t="str">
        <x:v>密封样品箱由专门人员完成编号、交接和转运；北京飞控主屏同时显示乘组安全与样品接收。</x:v>
      </x:c>
      <x:c r="H118" s="32" t="str">
        <x:v>东风回收｜时间压缩后专业处置</x:v>
      </x:c>
      <x:c r="I118" s="110" t="str">
        <x:v>B｜地面直播／测控任务机位</x:v>
      </x:c>
      <x:c r="J118" s="32" t="str">
        <x:v>BY-ANM-P1-002-东风搜救开舱转移;BY-CRO-P1-001-北京飞控任务团队;BY-LGT-P1-003-飞控大厅任务光;BY-PRP-P0-005-密封样品转移容器;BY-PRP-P1-008-主样品容器编号与固定座;BY-PRP-P1-013-东风样品接收设备;BY-REL-P0-008-样品转移链;BY-REL-P1-006-月面科学路线与样品链;BY-REL-P1-007-摄影来源证据层级;BY-SCN-P0-006-北京飞控大厅与任务主屏;BY-SCN-P1-005-月面后段科考区;BY-SCN-P1-012-东风医监开舱作业区</x:v>
      </x:c>
      <x:c r="K118" s="32" t="str">
        <x:v>BY-VOI-P1-004-北京飞控主调度声音;BY-VOI-P1-008-搜救指挥声音</x:v>
      </x:c>
      <x:c r="L118" s="32" t="str">
        <x:v>BY-REL-P1-003-声音来源真实性;BY-SND-P1-008-飞控与测控大厅底噪</x:v>
      </x:c>
      <x:c r="M118" s="32" t="str">
        <x:v>BY-SYM-P1-005-样品编号与封签模板</x:v>
      </x:c>
      <x:c r="N118" s="32" t="str">
        <x:v>阶段1映射完成｜阶段2B按镜头状态调用</x:v>
      </x:c>
      <x:c r="O118" s="32" t="str">
        <x:v>任务完成由人员和样品两条线共同成立。</x:v>
      </x:c>
    </x:row>
    <x:row r="119" ht="62" customHeight="1">
      <x:c r="A119" s="110" t="n">
        <x:v>118</x:v>
      </x:c>
      <x:c r="B119" s="110" t="n">
        <x:v>15</x:v>
      </x:c>
      <x:c r="C119" s="110" t="str">
        <x:v>东风着陆、搜救与任务完成</x:v>
      </x:c>
      <x:c r="D119" s="110" t="str">
        <x:v>00:16:44–00:16:54</x:v>
      </x:c>
      <x:c r="E119" s="110" t="n">
        <x:v>10</x:v>
      </x:c>
      <x:c r="F119" s="32" t="str">
        <x:v>媒体区记者收束</x:v>
      </x:c>
      <x:c r="G119" s="32" t="str">
        <x:v>林知夏面向镜头，身后大屏是三名航天员挥手与返回舱现场。</x:v>
      </x:c>
      <x:c r="H119" s="32" t="str">
        <x:v>常规任务状态</x:v>
      </x:c>
      <x:c r="I119" s="110" t="str">
        <x:v>B｜地面直播／测控任务机位</x:v>
      </x:c>
      <x:c r="J119" s="32" t="str">
        <x:v>BY-CHR-P0-001-杨凛;BY-CHR-P0-002-陈砚;BY-CHR-P0-003-刘定槎;BY-CHR-P1-002-林知夏;BY-CST-P0-001-杨凛舱内飞行服;BY-CST-P0-002-陈砚舱内飞行服;BY-CST-P0-003-刘定槎舱内飞行服;BY-CST-P1-004-林知夏记者服装;BY-LGT-P1-008-飞控媒体区直播光;BY-REL-P1-007-摄影来源证据层级;BY-REL-P1-008-三段直播结构链;BY-SCN-P1-003-飞控中心媒体区</x:v>
      </x:c>
      <x:c r="K119" s="32" t="str">
        <x:v>BY-VOI-P1-002-林知夏声音</x:v>
      </x:c>
      <x:c r="L119" s="32" t="str">
        <x:v>BY-REL-P1-003-声音来源真实性;BY-SND-P1-009-媒体区直播现场声</x:v>
      </x:c>
      <x:c r="M119" s="32" t="str">
        <x:v>BY-SYM-P1-007-直播进口出口与倒计时</x:v>
      </x:c>
      <x:c r="N119" s="32" t="str">
        <x:v>阶段1映射完成｜阶段2B按镜头状态调用</x:v>
      </x:c>
      <x:c r="O119" s="32" t="str">
        <x:v>避免把艺术推演说成已经发生的现实事件。</x:v>
      </x:c>
    </x:row>
    <x:row r="120" ht="62" customHeight="1">
      <x:c r="A120" s="111" t="n">
        <x:v>119</x:v>
      </x:c>
      <x:c r="B120" s="111" t="n">
        <x:v>15</x:v>
      </x:c>
      <x:c r="C120" s="111" t="str">
        <x:v>东风着陆、搜救与任务完成</x:v>
      </x:c>
      <x:c r="D120" s="111" t="str">
        <x:v>00:16:54–00:17:00</x:v>
      </x:c>
      <x:c r="E120" s="111" t="n">
        <x:v>6</x:v>
      </x:c>
      <x:c r="F120" s="33" t="str">
        <x:v>黑场／片尾推演声明</x:v>
      </x:c>
      <x:c r="G120" s="33" t="str">
        <x:v>黑场字幕重申：本片依据公开信息进行合理艺术推演；任务日期、人物、呼号、着陆坐标、未公开构型及部分流程为艺术创作。</x:v>
      </x:c>
      <x:c r="H120" s="33" t="str">
        <x:v>常规任务状态</x:v>
      </x:c>
      <x:c r="I120" s="111" t="str">
        <x:v>D｜后期字幕／解释图卡</x:v>
      </x:c>
      <x:c r="J120" s="33" t="str">
        <x:v>BY-REL-P1-007-摄影来源证据层级</x:v>
      </x:c>
      <x:c r="K120" s="33" t="str"/>
      <x:c r="L120" s="33" t="str">
        <x:v>BY-REL-P1-003-声音来源真实性;BY-SND-P1-003-发动机舱内结构振动</x:v>
      </x:c>
      <x:c r="M120" s="33" t="str">
        <x:v>BY-SYM-P0-002-艺术化光照偏差推演声明;BY-SYM-P1-001-未来纪实推演标识;BY-SYM-P1-003-任务阶段与时间跳跃标牌</x:v>
      </x:c>
      <x:c r="N120" s="33" t="str">
        <x:v>阶段1映射完成｜阶段2B按镜头状态调用</x:v>
      </x:c>
      <x:c r="O120" s="33" t="str">
        <x:v>片尾声明计入素材时长；最终剪辑可与片尾字幕合并。</x:v>
      </x:c>
    </x:row>
  </x:sheetData>
  <x:conditionalFormatting sqref="I2:I120">
    <x:cfRule type="containsText" dxfId="6" priority="1" operator="containsText" text="C｜"/>
    <x:cfRule type="containsText" dxfId="7" priority="2" operator="containsText" text="D｜"/>
  </x:conditionalFormatting>
  <x:pageMargins left="0.7" right="0.7" top="0.75" bottom="0.75" header="0.3" footer="0.3"/>
  <x:tableParts count="1">
    <x:tablePart xmlns:r="http://schemas.openxmlformats.org/officeDocument/2006/relationships" r:id="R3e945ee99d114e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14" hidden="0" customWidth="1"/>
    <x:col min="4" max="4" width="10" hidden="0" customWidth="1"/>
    <x:col min="5" max="5" width="12" hidden="0" customWidth="1"/>
    <x:col min="6" max="6" width="72" hidden="0" customWidth="1"/>
    <x:col min="7" max="7" width="54" hidden="0" customWidth="1"/>
    <x:col min="8" max="8" width="54" hidden="0" customWidth="1"/>
    <x:col min="9" max="9" width="54" hidden="0" customWidth="1"/>
    <x:col min="10" max="10" width="30" hidden="0" customWidth="1"/>
  </x:cols>
  <x:sheetData>
    <x:row r="1" ht="34" c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>
        <x:v>镜头数</x:v>
      </x:c>
      <x:c r="E1" s="19" t="str">
        <x:v>素材时长秒</x:v>
      </x:c>
      <x:c r="F1" s="19" t="str">
        <x:v>所需视觉资产ID</x:v>
      </x:c>
      <x:c r="G1" s="19" t="str">
        <x:v>所需人物音色ID</x:v>
      </x:c>
      <x:c r="H1" s="19" t="str">
        <x:v>同步声音约束ID</x:v>
      </x:c>
      <x:c r="I1" s="19" t="str">
        <x:v>后期文字／图形资产ID</x:v>
      </x:c>
      <x:c r="J1" s="20" t="str">
        <x:v>阶段2B资产状态</x:v>
      </x:c>
    </x:row>
    <x:row r="2" ht="64" customHeight="1">
      <x:c r="A2" s="109" t="n">
        <x:v>1</x:v>
      </x:c>
      <x:c r="B2" s="109" t="str">
        <x:v>直播一开场：两器即将对接</x:v>
      </x:c>
      <x:c r="C2" s="109" t="str">
        <x:v>001—007</x:v>
      </x:c>
      <x:c r="D2" s="109" t="n">
        <x:v>7</x:v>
      </x:c>
      <x:c r="E2" s="109" t="n">
        <x:v>62</x:v>
      </x:c>
      <x:c r="F2" s="31" t="str">
        <x:v>BY-ANM-P0-001-梦舟四种乘员状态;BY-CHR-P0-001-杨凛;BY-CHR-P0-002-陈砚;BY-CHR-P0-003-刘定槎;BY-CHR-P1-002-林知夏;BY-CRO-P1-001-北京飞控任务团队;BY-CRO-P1-002-深空测控值班团队;BY-CST-P0-001-杨凛舱内飞行服;BY-CST-P0-002-陈砚舱内飞行服;BY-CST-P0-003-刘定槎舱内飞行服;BY-CST-P1-004-林知夏记者服装;BY-LGT-P0-001-梦舟舱内任务光;BY-LGT-P1-003-飞控大厅任务光;BY-LGT-P1-004-环月轨道太阳光;BY-LGT-P1-006-深空测控站任务光;BY-LGT-P1-008-飞控媒体区直播光;BY-PRP-P0-001-梦舟三座椅与束缚系统;BY-PRP-P1-005-两器舱门与对接锁止结果件;BY-PRP-P1-006-舱内操作界面与任务屏;BY-REL-P0-005-揽月构型状态链;BY-REL-P0-009-梦舟三座返航承载与环月工作位;BY-REL-P0-010-梦舟轴向转移顺序;BY-REL-P1-002-两侧舱门顺序;BY-REL-P1-004-地面测控接力链;BY-REL-P1-007-摄影来源证据层级;BY-REL-P1-008-三段直播结构链;BY-REL-P1-010-地月视觉尺度连续性;BY-SCN-P0-001-梦舟舱内三座布局;BY-SCN-P0-002-梦舟对接通道与舱门区;BY-SCN-P0-005-梦舟环月工作位;BY-SCN-P0-006-北京飞控大厅与任务主屏;BY-SCN-P1-003-飞控中心媒体区;BY-SCN-P1-006-环月轨道外部环境;BY-SCN-P1-007-佳木斯66米深空测控站;BY-VEH-P0-001-梦舟载人飞船;BY-VEH-P0-002-揽月完整构型;BY-VEH-P0-003-揽月登月舱;BY-VFX-P1-008-遥测视觉重建合成</x:v>
      </x:c>
      <x:c r="G2" s="31" t="str">
        <x:v>BY-VOI-P0-001-杨凛声音;BY-VOI-P0-002-陈砚声音;BY-VOI-P0-003-刘定槎声音;BY-VOI-P1-002-林知夏声音;BY-VOI-P1-004-北京飞控主调度声音;BY-VOI-P1-005-林海深空测控声音</x:v>
      </x:c>
      <x:c r="H2" s="31" t="str">
        <x:v>BY-REL-P1-003-声音来源真实性;BY-SND-P0-001-舱内生命保障与设备底噪;BY-SND-P1-001-舱门对接机构结构传导;BY-SND-P1-008-飞控与测控大厅底噪;BY-SND-P1-009-媒体区直播现场声</x:v>
      </x:c>
      <x:c r="I2" s="31" t="str">
        <x:v>BY-SYM-P0-002-艺术化光照偏差推演声明;BY-SYM-P1-001-未来纪实推演标识;BY-SYM-P1-003-任务阶段与时间跳跃标牌;BY-SYM-P1-004-任务轨迹与相位图模板;BY-SYM-P1-006-视觉重建来源标识;BY-SYM-P1-007-直播进口出口与倒计时</x:v>
      </x:c>
      <x:c r="J2" s="31" t="str">
        <x:v>可进入阶段2B｜优先按场次资产包生产</x:v>
      </x:c>
    </x:row>
    <x:row r="3" ht="64" customHeight="1">
      <x:c r="A3" s="110" t="n">
        <x:v>2</x:v>
      </x:c>
      <x:c r="B3" s="110" t="str">
        <x:v>环月对接</x:v>
      </x:c>
      <x:c r="C3" s="110" t="str">
        <x:v>008—015</x:v>
      </x:c>
      <x:c r="D3" s="110" t="n">
        <x:v>8</x:v>
      </x:c>
      <x:c r="E3" s="110" t="n">
        <x:v>60</x:v>
      </x:c>
      <x:c r="F3" s="32" t="str">
        <x:v>BY-ANM-P0-001-梦舟四种乘员状态;BY-CHR-P0-001-杨凛;BY-CHR-P0-002-陈砚;BY-CHR-P0-003-刘定槎;BY-CRO-P1-001-北京飞控任务团队;BY-CST-P0-001-杨凛舱内飞行服;BY-CST-P0-002-陈砚舱内飞行服;BY-CST-P0-003-刘定槎舱内飞行服;BY-LGT-P0-001-梦舟舱内任务光;BY-LGT-P1-003-飞控大厅任务光;BY-PRP-P0-001-梦舟三座椅与束缚系统;BY-PRP-P1-005-两器舱门与对接锁止结果件;BY-PRP-P1-006-舱内操作界面与任务屏;BY-PRP-P1-015-航天器任务相机组;BY-REL-P0-005-揽月构型状态链;BY-REL-P0-009-梦舟三座返航承载与环月工作位;BY-REL-P1-007-摄影来源证据层级;BY-SCN-P0-001-梦舟舱内三座布局;BY-SCN-P0-005-梦舟环月工作位;BY-SCN-P0-006-北京飞控大厅与任务主屏;BY-VEH-P0-001-梦舟载人飞船;BY-VEH-P0-002-揽月完整构型;BY-VEH-P0-003-揽月登月舱;BY-VFX-P1-002-环月轨道交会与对接;BY-VFX-P1-004-姿控喷流;BY-VFX-P1-008-遥测视觉重建合成</x:v>
      </x:c>
      <x:c r="G3" s="32" t="str">
        <x:v>BY-VOI-P0-001-杨凛声音;BY-VOI-P0-002-陈砚声音;BY-VOI-P0-003-刘定槎声音;BY-VOI-P1-004-北京飞控主调度声音</x:v>
      </x:c>
      <x:c r="H3" s="32" t="str">
        <x:v>BY-REL-P1-003-声音来源真实性;BY-SND-P0-001-舱内生命保障与设备底噪;BY-SND-P1-001-舱门对接机构结构传导;BY-SND-P1-008-飞控与测控大厅底噪</x:v>
      </x:c>
      <x:c r="I3" s="32" t="str">
        <x:v>BY-SYM-P1-006-视觉重建来源标识</x:v>
      </x:c>
      <x:c r="J3" s="32" t="str">
        <x:v>可进入阶段2B｜优先按场次资产包生产</x:v>
      </x:c>
    </x:row>
    <x:row r="4" ht="64" customHeight="1">
      <x:c r="A4" s="110" t="n">
        <x:v>3</x:v>
      </x:c>
      <x:c r="B4" s="110" t="str">
        <x:v>人员转移与直播一结束</x:v>
      </x:c>
      <x:c r="C4" s="110" t="str">
        <x:v>016—022</x:v>
      </x:c>
      <x:c r="D4" s="110" t="n">
        <x:v>7</x:v>
      </x:c>
      <x:c r="E4" s="110" t="n">
        <x:v>58</x:v>
      </x:c>
      <x:c r="F4" s="32" t="str">
        <x:v>BY-ANM-P0-001-梦舟四种乘员状态;BY-ANM-P0-002-揽月下降出舱起飞链;BY-CHR-P0-001-杨凛;BY-CHR-P0-002-陈砚;BY-CHR-P0-003-刘定槎;BY-CHR-P1-002-林知夏;BY-CHR-P1-004-何文澜;BY-CST-P0-001-杨凛舱内飞行服;BY-CST-P0-002-陈砚舱内飞行服;BY-CST-P0-003-刘定槎舱内飞行服;BY-CST-P1-004-林知夏记者服装;BY-CST-P1-006-何文澜专家服装;BY-LGT-P0-001-梦舟舱内任务光;BY-LGT-P0-002-揽月下降任务光;BY-LGT-P0-004-月面艺术化任务日光;BY-LGT-P1-004-环月轨道太阳光;BY-LGT-P1-008-飞控媒体区直播光;BY-PRP-P0-001-梦舟三座椅与束缚系统;BY-PRP-P1-005-两器舱门与对接锁止结果件;BY-PRP-P1-006-舱内操作界面与任务屏;BY-REL-P0-005-揽月构型状态链;BY-REL-P0-009-梦舟三座返航承载与环月工作位;BY-REL-P0-010-梦舟轴向转移顺序;BY-REL-P0-012-月面艺术化光照与声明;BY-REL-P1-001-月面空间总图;BY-REL-P1-002-两侧舱门顺序;BY-REL-P1-007-摄影来源证据层级;BY-REL-P1-008-三段直播结构链;BY-REL-P1-010-地月视觉尺度连续性;BY-SCN-P0-001-梦舟舱内三座布局;BY-SCN-P0-002-梦舟对接通道与舱门区;BY-SCN-P0-003-揽月登月舱舱内;BY-SCN-P0-004-月面着陆与作业区;BY-SCN-P0-005-梦舟环月工作位;BY-SCN-P1-003-飞控中心媒体区;BY-SCN-P1-006-环月轨道外部环境;BY-VEH-P0-001-梦舟载人飞船;BY-VEH-P0-002-揽月完整构型;BY-VEH-P0-003-揽月登月舱;BY-VFX-P1-002-环月轨道交会与对接</x:v>
      </x:c>
      <x:c r="G4" s="32" t="str">
        <x:v>BY-VOI-P0-001-杨凛声音;BY-VOI-P0-003-刘定槎声音;BY-VOI-P1-002-林知夏声音;BY-VOI-P1-012-何文澜声音</x:v>
      </x:c>
      <x:c r="H4" s="32" t="str">
        <x:v>BY-REL-P1-003-声音来源真实性;BY-SND-P0-001-舱内生命保障与设备底噪;BY-SND-P1-001-舱门对接机构结构传导;BY-SND-P1-003-发动机舱内结构振动;BY-SND-P1-009-媒体区直播现场声</x:v>
      </x:c>
      <x:c r="I4" s="32" t="str">
        <x:v>BY-SYM-P1-007-直播进口出口与倒计时</x:v>
      </x:c>
      <x:c r="J4" s="32" t="str">
        <x:v>可进入阶段2B｜优先按场次资产包生产</x:v>
      </x:c>
    </x:row>
    <x:row r="5" ht="64" customHeight="1">
      <x:c r="A5" s="110" t="n">
        <x:v>4</x:v>
      </x:c>
      <x:c r="B5" s="110" t="str">
        <x:v>时间跨越</x:v>
      </x:c>
      <x:c r="C5" s="110" t="str">
        <x:v>023—023</x:v>
      </x:c>
      <x:c r="D5" s="110" t="n">
        <x:v>1</x:v>
      </x:c>
      <x:c r="E5" s="110" t="n">
        <x:v>12</x:v>
      </x:c>
      <x:c r="F5" s="32" t="str">
        <x:v>BY-LGT-P0-004-月面艺术化任务日光;BY-LGT-P1-004-环月轨道太阳光;BY-PRP-P1-005-两器舱门与对接锁止结果件;BY-REL-P0-005-揽月构型状态链;BY-REL-P0-010-梦舟轴向转移顺序;BY-REL-P0-012-月面艺术化光照与声明;BY-REL-P1-001-月面空间总图;BY-REL-P1-002-两侧舱门顺序;BY-REL-P1-007-摄影来源证据层级;BY-REL-P1-010-地月视觉尺度连续性;BY-SCN-P0-002-梦舟对接通道与舱门区;BY-SCN-P0-004-月面着陆与作业区;BY-SCN-P1-006-环月轨道外部环境;BY-VEH-P0-001-梦舟载人飞船;BY-VEH-P0-002-揽月完整构型;BY-VEH-P0-003-揽月登月舱;BY-VFX-P1-002-环月轨道交会与对接;BY-VFX-P1-008-遥测视觉重建合成</x:v>
      </x:c>
      <x:c r="G5" s="32" t="str"/>
      <x:c r="H5" s="32" t="str">
        <x:v>BY-REL-P1-003-声音来源真实性;BY-SND-P1-001-舱门对接机构结构传导;BY-SND-P1-003-发动机舱内结构振动</x:v>
      </x:c>
      <x:c r="I5" s="32" t="str">
        <x:v>BY-SYM-P1-003-任务阶段与时间跳跃标牌;BY-SYM-P1-006-视觉重建来源标识</x:v>
      </x:c>
      <x:c r="J5" s="32" t="str">
        <x:v>可进入阶段2B｜优先按场次资产包生产</x:v>
      </x:c>
    </x:row>
    <x:row r="6" ht="64" customHeight="1">
      <x:c r="A6" s="110" t="n">
        <x:v>5</x:v>
      </x:c>
      <x:c r="B6" s="110" t="str">
        <x:v>直播二开场：揽月脱离</x:v>
      </x:c>
      <x:c r="C6" s="110" t="str">
        <x:v>024—031</x:v>
      </x:c>
      <x:c r="D6" s="110" t="n">
        <x:v>8</x:v>
      </x:c>
      <x:c r="E6" s="110" t="n">
        <x:v>62</x:v>
      </x:c>
      <x:c r="F6" s="32" t="str">
        <x:v>BY-ANM-P0-001-梦舟四种乘员状态;BY-ANM-P0-002-揽月下降出舱起飞链;BY-CHR-P0-001-杨凛;BY-CHR-P0-002-陈砚;BY-CHR-P0-003-刘定槎;BY-CHR-P1-002-林知夏;BY-CRO-P1-001-北京飞控任务团队;BY-CST-P0-001-杨凛舱内飞行服;BY-CST-P0-002-陈砚舱内飞行服;BY-CST-P0-003-刘定槎舱内飞行服;BY-CST-P1-004-林知夏记者服装;BY-LGT-P0-001-梦舟舱内任务光;BY-LGT-P0-002-揽月下降任务光;BY-LGT-P0-004-月面艺术化任务日光;BY-LGT-P1-003-飞控大厅任务光;BY-LGT-P1-004-环月轨道太阳光;BY-LGT-P1-008-飞控媒体区直播光;BY-PRP-P0-001-梦舟三座椅与束缚系统;BY-PRP-P1-005-两器舱门与对接锁止结果件;BY-PRP-P1-006-舱内操作界面与任务屏;BY-PRP-P1-015-航天器任务相机组;BY-REL-P0-005-揽月构型状态链;BY-REL-P0-009-梦舟三座返航承载与环月工作位;BY-REL-P0-012-月面艺术化光照与声明;BY-REL-P1-001-月面空间总图;BY-REL-P1-007-摄影来源证据层级;BY-REL-P1-008-三段直播结构链;BY-REL-P1-010-地月视觉尺度连续性;BY-SCN-P0-001-梦舟舱内三座布局;BY-SCN-P0-003-揽月登月舱舱内;BY-SCN-P0-004-月面着陆与作业区;BY-SCN-P0-005-梦舟环月工作位;BY-SCN-P0-006-北京飞控大厅与任务主屏;BY-SCN-P1-003-飞控中心媒体区;BY-SCN-P1-006-环月轨道外部环境;BY-VEH-P0-001-梦舟载人飞船;BY-VEH-P0-002-揽月完整构型;BY-VEH-P0-003-揽月登月舱;BY-VFX-P1-002-环月轨道交会与对接;BY-VFX-P1-008-遥测视觉重建合成</x:v>
      </x:c>
      <x:c r="G6" s="32" t="str">
        <x:v>BY-VOI-P0-001-杨凛声音;BY-VOI-P0-002-陈砚声音;BY-VOI-P0-003-刘定槎声音;BY-VOI-P1-002-林知夏声音;BY-VOI-P1-004-北京飞控主调度声音</x:v>
      </x:c>
      <x:c r="H6" s="32" t="str">
        <x:v>BY-REL-P1-003-声音来源真实性;BY-SND-P0-001-舱内生命保障与设备底噪;BY-SND-P1-001-舱门对接机构结构传导;BY-SND-P1-003-发动机舱内结构振动;BY-SND-P1-008-飞控与测控大厅底噪;BY-SND-P1-009-媒体区直播现场声</x:v>
      </x:c>
      <x:c r="I6" s="32" t="str">
        <x:v>BY-SYM-P1-004-任务轨迹与相位图模板;BY-SYM-P1-006-视觉重建来源标识;BY-SYM-P1-007-直播进口出口与倒计时</x:v>
      </x:c>
      <x:c r="J6" s="32" t="str">
        <x:v>可进入阶段2B｜优先按场次资产包生产</x:v>
      </x:c>
    </x:row>
    <x:row r="7" ht="64" customHeight="1">
      <x:c r="A7" s="110" t="n">
        <x:v>6</x:v>
      </x:c>
      <x:c r="B7" s="110" t="str">
        <x:v>动力下降</x:v>
      </x:c>
      <x:c r="C7" s="110" t="str">
        <x:v>032—042</x:v>
      </x:c>
      <x:c r="D7" s="110" t="n">
        <x:v>11</x:v>
      </x:c>
      <x:c r="E7" s="110" t="n">
        <x:v>90</x:v>
      </x:c>
      <x:c r="F7" s="32" t="str">
        <x:v>BY-ANM-P0-002-揽月下降出舱起飞链;BY-CHR-P0-001-杨凛;BY-CHR-P0-002-陈砚;BY-CHR-P1-002-林知夏;BY-CHR-P1-005-孙亦川;BY-CRO-P1-001-北京飞控任务团队;BY-CST-P0-001-杨凛舱内飞行服;BY-CST-P0-002-陈砚舱内飞行服;BY-CST-P1-004-林知夏记者服装;BY-CST-P1-007-孙亦川专家服装;BY-LGT-P0-002-揽月下降任务光;BY-LGT-P0-004-月面艺术化任务日光;BY-LGT-P1-003-飞控大厅任务光;BY-LGT-P1-008-飞控媒体区直播光;BY-PRP-P1-006-舱内操作界面与任务屏;BY-PRP-P1-015-航天器任务相机组;BY-REL-P0-005-揽月构型状态链;BY-REL-P0-012-月面艺术化光照与声明;BY-REL-P1-001-月面空间总图;BY-REL-P1-007-摄影来源证据层级;BY-REL-P1-008-三段直播结构链;BY-SCN-P0-003-揽月登月舱舱内;BY-SCN-P0-004-月面着陆与作业区;BY-SCN-P0-006-北京飞控大厅与任务主屏;BY-SCN-P1-003-飞控中心媒体区;BY-VEH-P0-002-揽月完整构型;BY-VEH-P0-003-揽月登月舱;BY-VEH-P1-003-揽月推进舱分离状态;BY-VFX-P0-001-月面下降羽流与贴地月尘;BY-VFX-P1-008-遥测视觉重建合成</x:v>
      </x:c>
      <x:c r="G7" s="32" t="str">
        <x:v>BY-VOI-P0-001-杨凛声音;BY-VOI-P0-002-陈砚声音;BY-VOI-P1-004-北京飞控主调度声音;BY-VOI-P1-005-林海深空测控声音;BY-VOI-P1-009-小天任务智能体声音;BY-VOI-P1-013-孙亦川声音</x:v>
      </x:c>
      <x:c r="H7" s="32" t="str">
        <x:v>BY-REL-P1-003-声音来源真实性;BY-SND-P0-001-舱内生命保障与设备底噪;BY-SND-P1-003-发动机舱内结构振动;BY-SND-P1-008-飞控与测控大厅底噪;BY-SND-P1-009-媒体区直播现场声</x:v>
      </x:c>
      <x:c r="I7" s="32" t="str">
        <x:v>BY-SYM-P1-004-任务轨迹与相位图模板;BY-SYM-P1-006-视觉重建来源标识;BY-SYM-P1-007-直播进口出口与倒计时</x:v>
      </x:c>
      <x:c r="J7" s="32" t="str">
        <x:v>可进入阶段2B｜优先按场次资产包生产</x:v>
      </x:c>
    </x:row>
    <x:row r="8" ht="64" customHeight="1">
      <x:c r="A8" s="110" t="n">
        <x:v>7</x:v>
      </x:c>
      <x:c r="B8" s="110" t="str">
        <x:v>着陆确认与六小时出舱准备</x:v>
      </x:c>
      <x:c r="C8" s="110" t="str">
        <x:v>043—050</x:v>
      </x:c>
      <x:c r="D8" s="110" t="n">
        <x:v>8</x:v>
      </x:c>
      <x:c r="E8" s="110" t="n">
        <x:v>65</x:v>
      </x:c>
      <x:c r="F8" s="32" t="str">
        <x:v>BY-ANM-P0-002-揽月下降出舱起飞链;BY-CHR-P0-001-杨凛;BY-CHR-P0-002-陈砚;BY-CHR-P1-002-林知夏;BY-CHR-P1-004-何文澜;BY-CRO-P1-001-北京飞控任务团队;BY-CST-P1-004-林知夏记者服装;BY-CST-P1-006-何文澜专家服装;BY-LGT-P0-002-揽月下降任务光;BY-LGT-P0-004-月面艺术化任务日光;BY-LGT-P1-003-飞控大厅任务光;BY-LGT-P1-008-飞控媒体区直播光;BY-PRP-P1-006-舱内操作界面与任务屏;BY-PRP-P1-015-航天器任务相机组;BY-REL-P0-005-揽月构型状态链;BY-REL-P0-012-月面艺术化光照与声明;BY-REL-P1-001-月面空间总图;BY-REL-P1-007-摄影来源证据层级;BY-REL-P1-008-三段直播结构链;BY-SCN-P0-003-揽月登月舱舱内;BY-SCN-P0-004-月面着陆与作业区;BY-SCN-P0-006-北京飞控大厅与任务主屏;BY-SCN-P1-003-飞控中心媒体区;BY-VEH-P0-003-揽月登月舱;BY-VFX-P0-001-月面下降羽流与贴地月尘;BY-VFX-P0-002-触月关机与月尘回落;BY-VFX-P1-008-遥测视觉重建合成</x:v>
      </x:c>
      <x:c r="G8" s="32" t="str">
        <x:v>BY-VOI-P0-001-杨凛声音;BY-VOI-P0-002-陈砚声音;BY-VOI-P1-002-林知夏声音;BY-VOI-P1-004-北京飞控主调度声音;BY-VOI-P1-012-何文澜声音</x:v>
      </x:c>
      <x:c r="H8" s="32" t="str">
        <x:v>BY-REL-P1-003-声音来源真实性;BY-SND-P0-001-舱内生命保障与设备底噪;BY-SND-P1-003-发动机舱内结构振动;BY-SND-P1-008-飞控与测控大厅底噪;BY-SND-P1-009-媒体区直播现场声</x:v>
      </x:c>
      <x:c r="I8" s="32" t="str">
        <x:v>BY-SYM-P1-003-任务阶段与时间跳跃标牌;BY-SYM-P1-006-视觉重建来源标识;BY-SYM-P1-007-直播进口出口与倒计时</x:v>
      </x:c>
      <x:c r="J8" s="32" t="str">
        <x:v>可进入阶段2B｜优先按场次资产包生产</x:v>
      </x:c>
    </x:row>
    <x:row r="9" ht="64" customHeight="1">
      <x:c r="A9" s="110" t="n">
        <x:v>8</x:v>
      </x:c>
      <x:c r="B9" s="110" t="str">
        <x:v>出舱与中国航天员首次踏上月面</x:v>
      </x:c>
      <x:c r="C9" s="110" t="str">
        <x:v>051—060</x:v>
      </x:c>
      <x:c r="D9" s="110" t="n">
        <x:v>10</x:v>
      </x:c>
      <x:c r="E9" s="110" t="n">
        <x:v>82</x:v>
      </x:c>
      <x:c r="F9" s="32" t="str">
        <x:v>BY-ANM-P0-002-揽月下降出舱起飞链;BY-CHR-P0-001-杨凛;BY-CHR-P0-002-陈砚;BY-CHR-P0-003-刘定槎;BY-CHR-P1-002-林知夏;BY-CRO-P1-001-北京飞控任务团队;BY-CST-P0-001-杨凛舱内飞行服;BY-CST-P0-002-陈砚舱内飞行服;BY-CST-P0-003-刘定槎舱内飞行服;BY-CST-P0-004-杨凛望宇登月服;BY-CST-P0-005-陈砚望宇登月服;BY-CST-P1-004-林知夏记者服装;BY-LGT-P0-002-揽月下降任务光;BY-LGT-P0-004-月面艺术化任务日光;BY-LGT-P1-003-飞控大厅任务光;BY-LGT-P1-008-飞控媒体区直播光;BY-PRP-P0-002-揽月舷梯与扶手系统;BY-PRP-P0-003-便携式月面摄像机;BY-PRP-P1-004-月面工具包与载荷固定系统;BY-PRP-P1-006-舱内操作界面与任务屏;BY-PRP-P1-014-宇航服任务相机;BY-PRP-P1-015-航天器任务相机组;BY-REL-P0-005-揽月构型状态链;BY-REL-P0-006-月面摄像机摄影来源;BY-REL-P0-012-月面艺术化光照与声明;BY-REL-P1-001-月面空间总图;BY-REL-P1-007-摄影来源证据层级;BY-REL-P1-008-三段直播结构链;BY-SCN-P0-003-揽月登月舱舱内;BY-SCN-P0-004-月面着陆与作业区;BY-SCN-P0-006-北京飞控大厅与任务主屏;BY-SCN-P1-003-飞控中心媒体区;BY-VEH-P0-001-梦舟载人飞船;BY-VEH-P0-003-揽月登月舱;BY-VFX-P0-002-触月关机与月尘回落;BY-VFX-P0-003-第一足印月壤形变</x:v>
      </x:c>
      <x:c r="G9" s="32" t="str">
        <x:v>BY-VOI-P0-001-杨凛声音;BY-VOI-P0-002-陈砚声音;BY-VOI-P0-003-刘定槎声音;BY-VOI-P1-002-林知夏声音;BY-VOI-P1-004-北京飞控主调度声音</x:v>
      </x:c>
      <x:c r="H9" s="32" t="str">
        <x:v>BY-REL-P1-003-声音来源真实性;BY-SND-P0-001-舱内生命保障与设备底噪;BY-SND-P1-002-登月服内部呼吸与结构声;BY-SND-P1-003-发动机舱内结构振动;BY-SND-P1-008-飞控与测控大厅底噪;BY-SND-P1-009-媒体区直播现场声</x:v>
      </x:c>
      <x:c r="I9" s="32" t="str">
        <x:v>BY-SYM-P1-003-任务阶段与时间跳跃标牌;BY-SYM-P1-007-直播进口出口与倒计时</x:v>
      </x:c>
      <x:c r="J9" s="32" t="str">
        <x:v>可进入阶段2B｜优先按场次资产包生产</x:v>
      </x:c>
    </x:row>
    <x:row r="10" ht="64" customHeight="1">
      <x:c r="A10" s="110" t="n">
        <x:v>9</x:v>
      </x:c>
      <x:c r="B10" s="110" t="str">
        <x:v>国旗展示与科学任务说明</x:v>
      </x:c>
      <x:c r="C10" s="110" t="str">
        <x:v>061—068</x:v>
      </x:c>
      <x:c r="D10" s="110" t="n">
        <x:v>8</x:v>
      </x:c>
      <x:c r="E10" s="110" t="n">
        <x:v>65</x:v>
      </x:c>
      <x:c r="F10" s="32" t="str">
        <x:v>BY-ANM-P1-001-月面科研时间压缩;BY-CHR-P0-001-杨凛;BY-CHR-P0-002-陈砚;BY-CHR-P1-002-林知夏;BY-CHR-P1-006-顾青岚;BY-CST-P0-001-杨凛舱内飞行服;BY-CST-P0-002-陈砚舱内飞行服;BY-CST-P0-004-杨凛望宇登月服;BY-CST-P0-005-陈砚望宇登月服;BY-CST-P1-001-杨凛登月服轻度月尘状态;BY-CST-P1-002-陈砚登月服轻度月尘状态;BY-CST-P1-004-林知夏记者服装;BY-CST-P1-008-顾青岚专家服装;BY-LGT-P0-004-月面艺术化任务日光;BY-LGT-P1-008-飞控媒体区直播光;BY-PRP-P0-003-便携式月面摄像机;BY-PRP-P0-004-工程化国旗展示装置;BY-PRP-P1-002-月壤样品容器;BY-PRP-P1-003-月面科学观测设备;BY-PRP-P1-012-月球车任务相机组;BY-PRP-P1-014-宇航服任务相机;BY-REL-P0-005-揽月构型状态链;BY-REL-P0-006-月面摄像机摄影来源;BY-REL-P0-007-国旗装置部署链;BY-REL-P0-012-月面艺术化光照与声明;BY-REL-P1-001-月面空间总图;BY-REL-P1-006-月面科学路线与样品链;BY-REL-P1-007-摄影来源证据层级;BY-REL-P1-008-三段直播结构链;BY-SCN-P0-004-月面着陆与作业区;BY-SCN-P1-003-飞控中心媒体区;BY-SCN-P1-005-月面后段科考区;BY-SYM-P0-001-中华人民共和国国旗图形;BY-VEH-P0-003-揽月登月舱;BY-VEH-P0-004-探索载人月球车;BY-VFX-P1-007-月球车轮迹与低重力扬尘</x:v>
      </x:c>
      <x:c r="G10" s="32" t="str">
        <x:v>BY-VOI-P0-001-杨凛声音;BY-VOI-P1-002-林知夏声音;BY-VOI-P1-004-北京飞控主调度声音;BY-VOI-P1-014-顾青岚声音</x:v>
      </x:c>
      <x:c r="H10" s="32" t="str">
        <x:v>BY-REL-P1-003-声音来源真实性;BY-SND-P1-002-登月服内部呼吸与结构声;BY-SND-P1-003-发动机舱内结构振动;BY-SND-P1-007-月球车设备链路结构声;BY-SND-P1-009-媒体区直播现场声</x:v>
      </x:c>
      <x:c r="I10" s="32" t="str">
        <x:v>BY-SYM-P1-007-直播进口出口与倒计时</x:v>
      </x:c>
      <x:c r="J10" s="32" t="str">
        <x:v>可进入阶段2B｜优先按场次资产包生产</x:v>
      </x:c>
    </x:row>
    <x:row r="11" ht="64" customHeight="1">
      <x:c r="A11" s="110" t="n">
        <x:v>10</x:v>
      </x:c>
      <x:c r="B11" s="110" t="str">
        <x:v>月面科研时间压缩</x:v>
      </x:c>
      <x:c r="C11" s="110" t="str">
        <x:v>069—076</x:v>
      </x:c>
      <x:c r="D11" s="110" t="n">
        <x:v>8</x:v>
      </x:c>
      <x:c r="E11" s="110" t="n">
        <x:v>70</x:v>
      </x:c>
      <x:c r="F11" s="32" t="str">
        <x:v>BY-ANM-P1-001-月面科研时间压缩;BY-CHR-P0-001-杨凛;BY-CHR-P0-002-陈砚;BY-CST-P0-001-杨凛舱内飞行服;BY-CST-P0-002-陈砚舱内飞行服;BY-CST-P0-004-杨凛望宇登月服;BY-CST-P0-005-陈砚望宇登月服;BY-CST-P1-001-杨凛登月服轻度月尘状态;BY-CST-P1-002-陈砚登月服轻度月尘状态;BY-LGT-P0-004-月面艺术化任务日光;BY-PRP-P0-003-便携式月面摄像机;BY-PRP-P0-004-工程化国旗展示装置;BY-PRP-P0-005-密封样品转移容器;BY-PRP-P1-001-月面采样工具;BY-PRP-P1-002-月壤样品容器;BY-PRP-P1-003-月面科学观测设备;BY-PRP-P1-008-主样品容器编号与固定座;BY-PRP-P1-012-月球车任务相机组;BY-PRP-P1-014-宇航服任务相机;BY-REL-P0-005-揽月构型状态链;BY-REL-P0-006-月面摄像机摄影来源;BY-REL-P0-007-国旗装置部署链;BY-REL-P0-008-样品转移链;BY-REL-P0-012-月面艺术化光照与声明;BY-REL-P1-001-月面空间总图;BY-REL-P1-006-月面科学路线与样品链;BY-REL-P1-007-摄影来源证据层级;BY-SCN-P0-004-月面着陆与作业区;BY-SCN-P1-005-月面后段科考区;BY-SYM-P0-001-中华人民共和国国旗图形;BY-VEH-P0-003-揽月登月舱;BY-VEH-P0-004-探索载人月球车;BY-VFX-P1-007-月球车轮迹与低重力扬尘</x:v>
      </x:c>
      <x:c r="G11" s="32" t="str">
        <x:v>BY-VOI-P0-001-杨凛声音;BY-VOI-P0-002-陈砚声音;BY-VOI-P1-004-北京飞控主调度声音;BY-VOI-P1-014-顾青岚声音</x:v>
      </x:c>
      <x:c r="H11" s="32" t="str">
        <x:v>BY-REL-P1-003-声音来源真实性;BY-SND-P1-002-登月服内部呼吸与结构声;BY-SND-P1-007-月球车设备链路结构声</x:v>
      </x:c>
      <x:c r="I11" s="32" t="str">
        <x:v>BY-SYM-P1-003-任务阶段与时间跳跃标牌;BY-SYM-P1-004-任务轨迹与相位图模板;BY-SYM-P1-005-样品编号与封签模板</x:v>
      </x:c>
      <x:c r="J11" s="32" t="str">
        <x:v>可进入阶段2B｜优先按场次资产包生产</x:v>
      </x:c>
    </x:row>
    <x:row r="12" ht="64" customHeight="1">
      <x:c r="A12" s="110" t="n">
        <x:v>11</x:v>
      </x:c>
      <x:c r="B12" s="110" t="str">
        <x:v>回舱、月面起飞与再对接</x:v>
      </x:c>
      <x:c r="C12" s="110" t="str">
        <x:v>077—086</x:v>
      </x:c>
      <x:c r="D12" s="110" t="n">
        <x:v>10</x:v>
      </x:c>
      <x:c r="E12" s="110" t="n">
        <x:v>85</x:v>
      </x:c>
      <x:c r="F12" s="32" t="str">
        <x:v>BY-ANM-P0-001-梦舟四种乘员状态;BY-ANM-P0-002-揽月下降出舱起飞链;BY-CHR-P0-001-杨凛;BY-CHR-P0-002-陈砚;BY-CHR-P0-003-刘定槎;BY-CRO-P1-001-北京飞控任务团队;BY-CRO-P1-002-深空测控值班团队;BY-CST-P0-001-杨凛舱内飞行服;BY-CST-P0-002-陈砚舱内飞行服;BY-CST-P0-003-刘定槎舱内飞行服;BY-CST-P0-004-杨凛望宇登月服;BY-CST-P0-005-陈砚望宇登月服;BY-CST-P1-001-杨凛登月服轻度月尘状态;BY-CST-P1-002-陈砚登月服轻度月尘状态;BY-LGT-P0-001-梦舟舱内任务光;BY-LGT-P0-002-揽月下降任务光;BY-LGT-P0-004-月面艺术化任务日光;BY-LGT-P1-003-飞控大厅任务光;BY-LGT-P1-004-环月轨道太阳光;BY-LGT-P1-006-深空测控站任务光;BY-PRP-P0-001-梦舟三座椅与束缚系统;BY-PRP-P0-003-便携式月面摄像机;BY-PRP-P0-004-工程化国旗展示装置;BY-PRP-P0-005-密封样品转移容器;BY-PRP-P0-006-东风医监转移设备;BY-PRP-P1-004-月面工具包与载荷固定系统;BY-PRP-P1-005-两器舱门与对接锁止结果件;BY-PRP-P1-006-舱内操作界面与任务屏;BY-PRP-P1-008-主样品容器编号与固定座;BY-PRP-P1-009-污染控制用品;BY-PRP-P1-015-航天器任务相机组;BY-REL-P0-005-揽月构型状态链;BY-REL-P0-006-月面摄像机摄影来源;BY-REL-P0-007-国旗装置部署链;BY-REL-P0-008-样品转移链;BY-REL-P0-009-梦舟三座返航承载与环月工作位;BY-REL-P0-012-月面艺术化光照与声明;BY-REL-P1-001-月面空间总图;BY-REL-P1-004-地面测控接力链;BY-REL-P1-006-月面科学路线与样品链;BY-REL-P1-007-摄影来源证据层级;BY-REL-P1-010-地月视觉尺度连续性;BY-SCN-P0-001-梦舟舱内三座布局;BY-SCN-P0-003-揽月登月舱舱内;BY-SCN-P0-004-月面着陆与作业区;BY-SCN-P0-005-梦舟环月工作位;BY-SCN-P0-006-北京飞控大厅与任务主屏;BY-SCN-P1-005-月面后段科考区;BY-SCN-P1-006-环月轨道外部环境;BY-SCN-P1-007-佳木斯66米深空测控站;BY-SYM-P0-001-中华人民共和国国旗图形;BY-VEH-P0-001-梦舟载人飞船;BY-VEH-P0-003-揽月登月舱;BY-VEH-P1-004-揽月月面起飞状态;BY-VEH-P1-005-揽月月轨再对接状态;BY-VFX-P0-003-第一足印月壤形变;BY-VFX-P0-004-月面起飞羽流与留场余景;BY-VFX-P1-002-环月轨道交会与对接;BY-VFX-P1-008-遥测视觉重建合成</x:v>
      </x:c>
      <x:c r="G12" s="32" t="str">
        <x:v>BY-VOI-P0-001-杨凛声音;BY-VOI-P0-002-陈砚声音;BY-VOI-P0-003-刘定槎声音;BY-VOI-P1-004-北京飞控主调度声音;BY-VOI-P1-005-林海深空测控声音;BY-VOI-P1-012-何文澜声音</x:v>
      </x:c>
      <x:c r="H12" s="32" t="str">
        <x:v>BY-REL-P1-003-声音来源真实性;BY-SND-P0-001-舱内生命保障与设备底噪;BY-SND-P1-001-舱门对接机构结构传导;BY-SND-P1-002-登月服内部呼吸与结构声;BY-SND-P1-003-发动机舱内结构振动;BY-SND-P1-008-飞控与测控大厅底噪</x:v>
      </x:c>
      <x:c r="I12" s="32" t="str">
        <x:v>BY-SYM-P1-003-任务阶段与时间跳跃标牌;BY-SYM-P1-004-任务轨迹与相位图模板;BY-SYM-P1-005-样品编号与封签模板;BY-SYM-P1-006-视觉重建来源标识</x:v>
      </x:c>
      <x:c r="J12" s="32" t="str">
        <x:v>可进入阶段2B｜优先按场次资产包生产</x:v>
      </x:c>
    </x:row>
    <x:row r="13" ht="64" customHeight="1">
      <x:c r="A13" s="110" t="n">
        <x:v>12</x:v>
      </x:c>
      <x:c r="B13" s="110" t="str">
        <x:v>直播二结束：三人重聚</x:v>
      </x:c>
      <x:c r="C13" s="110" t="str">
        <x:v>087—089</x:v>
      </x:c>
      <x:c r="D13" s="110" t="n">
        <x:v>3</x:v>
      </x:c>
      <x:c r="E13" s="110" t="n">
        <x:v>30</x:v>
      </x:c>
      <x:c r="F13" s="32" t="str">
        <x:v>BY-CHR-P0-001-杨凛;BY-CHR-P0-002-陈砚;BY-CHR-P0-003-刘定槎;BY-CHR-P1-002-林知夏;BY-CHR-P1-005-孙亦川;BY-CST-P0-001-杨凛舱内飞行服;BY-CST-P0-002-陈砚舱内飞行服;BY-CST-P0-003-刘定槎舱内飞行服;BY-CST-P1-004-林知夏记者服装;BY-CST-P1-007-孙亦川专家服装;BY-LGT-P0-005-返回舱再入等离子辉光;BY-LGT-P1-004-环月轨道太阳光;BY-LGT-P1-008-飞控媒体区直播光;BY-REL-P0-011-梦舟返地构型状态链;BY-REL-P0-013-返回舱再入搜救状态链;BY-REL-P1-006-月面科学路线与样品链;BY-REL-P1-007-摄影来源证据层级;BY-REL-P1-008-三段直播结构链;BY-REL-P1-010-地月视觉尺度连续性;BY-SCN-P0-007-返回舱再入视觉环境;BY-SCN-P1-003-飞控中心媒体区;BY-SCN-P1-005-月面后段科考区;BY-SCN-P1-006-环月轨道外部环境;BY-VEH-P0-001-梦舟载人飞船;BY-VEH-P0-005-梦舟月轨组合体;BY-VEH-P0-006-梦舟返回舱独立再入构型;BY-VFX-P0-005-返回舱等离子辉光与黑障视觉;BY-VFX-P1-003-月地转移点火与月球远离;BY-VFX-P1-005-半弹道跳跃式再入轨迹;BY-VFX-P1-008-遥测视觉重建合成</x:v>
      </x:c>
      <x:c r="G13" s="32" t="str">
        <x:v>BY-VOI-P1-002-林知夏声音;BY-VOI-P1-013-孙亦川声音</x:v>
      </x:c>
      <x:c r="H13" s="32" t="str">
        <x:v>BY-REL-P1-003-声音来源真实性;BY-SND-P1-004-再入结构与通信衰减;BY-SND-P1-009-媒体区直播现场声</x:v>
      </x:c>
      <x:c r="I13" s="32" t="str">
        <x:v>BY-SYM-P1-003-任务阶段与时间跳跃标牌;BY-SYM-P1-004-任务轨迹与相位图模板;BY-SYM-P1-006-视觉重建来源标识;BY-SYM-P1-007-直播进口出口与倒计时</x:v>
      </x:c>
      <x:c r="J13" s="32" t="str">
        <x:v>可进入阶段2B｜优先按场次资产包生产</x:v>
      </x:c>
    </x:row>
    <x:row r="14" ht="64" customHeight="1">
      <x:c r="A14" s="110" t="n">
        <x:v>13</x:v>
      </x:c>
      <x:c r="B14" s="110" t="str">
        <x:v>直播三开场：进入地球再入走廊</x:v>
      </x:c>
      <x:c r="C14" s="110" t="str">
        <x:v>090—095</x:v>
      </x:c>
      <x:c r="D14" s="110" t="n">
        <x:v>6</x:v>
      </x:c>
      <x:c r="E14" s="110" t="n">
        <x:v>60</x:v>
      </x:c>
      <x:c r="F14" s="32" t="str">
        <x:v>BY-CHR-P1-002-林知夏;BY-CHR-P1-005-孙亦川;BY-CRO-P1-001-北京飞控任务团队;BY-CRO-P1-003-搜救与医疗团队;BY-CST-P1-004-林知夏记者服装;BY-CST-P1-007-孙亦川专家服装;BY-LGT-P0-005-返回舱再入等离子辉光;BY-LGT-P1-003-飞控大厅任务光;BY-LGT-P1-004-环月轨道太阳光;BY-LGT-P1-007-搜救着陆区日间自然光;BY-LGT-P1-008-飞控媒体区直播光;BY-PRP-P1-013-东风样品接收设备;BY-REL-P0-011-梦舟返地构型状态链;BY-REL-P0-013-返回舱再入搜救状态链;BY-REL-P1-006-月面科学路线与样品链;BY-REL-P1-007-摄影来源证据层级;BY-REL-P1-008-三段直播结构链;BY-REL-P1-009-东风医监与样品双线;BY-REL-P1-010-地月视觉尺度连续性;BY-SCN-P0-006-北京飞控大厅与任务主屏;BY-SCN-P0-007-返回舱再入视觉环境;BY-SCN-P0-008-预定着陆区与搜救现场;BY-SCN-P1-003-飞控中心媒体区;BY-SCN-P1-005-月面后段科考区;BY-SCN-P1-006-环月轨道外部环境;BY-VEH-P0-001-梦舟载人飞船;BY-VEH-P0-005-梦舟月轨组合体;BY-VEH-P0-006-梦舟返回舱独立再入构型;BY-VEH-P1-008-搜救直升机与地面车辆;BY-VFX-P0-005-返回舱等离子辉光与黑障视觉;BY-VFX-P1-003-月地转移点火与月球远离;BY-VFX-P1-005-半弹道跳跃式再入轨迹</x:v>
      </x:c>
      <x:c r="G14" s="32" t="str">
        <x:v>BY-VOI-P1-002-林知夏声音;BY-VOI-P1-004-北京飞控主调度声音;BY-VOI-P1-008-搜救指挥声音;BY-VOI-P1-013-孙亦川声音</x:v>
      </x:c>
      <x:c r="H14" s="32" t="str">
        <x:v>BY-REL-P1-003-声音来源真实性;BY-SND-P1-003-发动机舱内结构振动;BY-SND-P1-004-再入结构与通信衰减;BY-SND-P1-006-搜救现场声;BY-SND-P1-008-飞控与测控大厅底噪;BY-SND-P1-009-媒体区直播现场声</x:v>
      </x:c>
      <x:c r="I14" s="32" t="str">
        <x:v>BY-SYM-P1-003-任务阶段与时间跳跃标牌;BY-SYM-P1-004-任务轨迹与相位图模板;BY-SYM-P1-005-样品编号与封签模板;BY-SYM-P1-007-直播进口出口与倒计时</x:v>
      </x:c>
      <x:c r="J14" s="32" t="str">
        <x:v>可进入阶段2B｜优先按场次资产包生产</x:v>
      </x:c>
    </x:row>
    <x:row r="15" ht="64" customHeight="1">
      <x:c r="A15" s="110" t="n">
        <x:v>14</x:v>
      </x:c>
      <x:c r="B15" s="110" t="str">
        <x:v>半弹道跳跃式再入与黑障</x:v>
      </x:c>
      <x:c r="C15" s="110" t="str">
        <x:v>096—106</x:v>
      </x:c>
      <x:c r="D15" s="110" t="n">
        <x:v>11</x:v>
      </x:c>
      <x:c r="E15" s="110" t="n">
        <x:v>105</x:v>
      </x:c>
      <x:c r="F15" s="32" t="str">
        <x:v>BY-ANM-P0-001-梦舟四种乘员状态;BY-CHR-P0-001-杨凛;BY-CHR-P0-002-陈砚;BY-CHR-P0-003-刘定槎;BY-CRO-P1-001-北京飞控任务团队;BY-CRO-P1-003-搜救与医疗团队;BY-CST-P0-001-杨凛舱内飞行服;BY-CST-P0-002-陈砚舱内飞行服;BY-CST-P0-003-刘定槎舱内飞行服;BY-LGT-P0-001-梦舟舱内任务光;BY-LGT-P0-004-月面艺术化任务日光;BY-LGT-P0-005-返回舱再入等离子辉光;BY-LGT-P1-003-飞控大厅任务光;BY-LGT-P1-007-搜救着陆区日间自然光;BY-PRP-P0-001-梦舟三座椅与束缚系统;BY-PRP-P0-005-密封样品转移容器;BY-PRP-P1-006-舱内操作界面与任务屏;BY-PRP-P1-008-主样品容器编号与固定座;BY-PRP-P1-015-航天器任务相机组;BY-REL-P0-008-样品转移链;BY-REL-P0-009-梦舟三座返航承载与环月工作位;BY-REL-P0-011-梦舟返地构型状态链;BY-REL-P0-012-月面艺术化光照与声明;BY-REL-P0-013-返回舱再入搜救状态链;BY-REL-P1-001-月面空间总图;BY-REL-P1-006-月面科学路线与样品链;BY-REL-P1-007-摄影来源证据层级;BY-REL-P1-009-东风医监与样品双线;BY-SCN-P0-001-梦舟舱内三座布局;BY-SCN-P0-004-月面着陆与作业区;BY-SCN-P0-005-梦舟环月工作位;BY-SCN-P0-006-北京飞控大厅与任务主屏;BY-SCN-P0-007-返回舱再入视觉环境;BY-SCN-P0-008-预定着陆区与搜救现场;BY-SCN-P1-005-月面后段科考区;BY-VEH-P0-001-梦舟载人飞船;BY-VEH-P0-006-梦舟返回舱独立再入构型;BY-VEH-P0-007-返回舱群伞气囊着陆构型;BY-VEH-P1-007-梦舟服务舱近地分离状态;BY-VFX-P0-005-返回舱等离子辉光与黑障视觉;BY-VFX-P0-006-稳定伞与主伞展开;BY-VFX-P1-004-姿控喷流;BY-VFX-P1-005-半弹道跳跃式再入轨迹;BY-VFX-P1-008-遥测视觉重建合成</x:v>
      </x:c>
      <x:c r="G15" s="32" t="str">
        <x:v>BY-VOI-P0-001-杨凛声音;BY-VOI-P0-002-陈砚声音;BY-VOI-P0-003-刘定槎声音;BY-VOI-P1-004-北京飞控主调度声音;BY-VOI-P1-008-搜救指挥声音;BY-VOI-P1-013-孙亦川声音</x:v>
      </x:c>
      <x:c r="H15" s="32" t="str">
        <x:v>BY-REL-P1-003-声音来源真实性;BY-SND-P0-001-舱内生命保障与设备底噪;BY-SND-P1-003-发动机舱内结构振动;BY-SND-P1-004-再入结构与通信衰减;BY-SND-P1-005-降落伞与着陆冲击;BY-SND-P1-006-搜救现场声;BY-SND-P1-008-飞控与测控大厅底噪</x:v>
      </x:c>
      <x:c r="I15" s="32" t="str">
        <x:v>BY-SYM-P1-004-任务轨迹与相位图模板;BY-SYM-P1-005-样品编号与封签模板;BY-SYM-P1-006-视觉重建来源标识</x:v>
      </x:c>
      <x:c r="J15" s="32" t="str">
        <x:v>可进入阶段2B｜优先按场次资产包生产</x:v>
      </x:c>
    </x:row>
    <x:row r="16" ht="64" customHeight="1">
      <x:c r="A16" s="111" t="n">
        <x:v>15</x:v>
      </x:c>
      <x:c r="B16" s="111" t="str">
        <x:v>东风着陆、搜救与任务完成</x:v>
      </x:c>
      <x:c r="C16" s="111" t="str">
        <x:v>107—119</x:v>
      </x:c>
      <x:c r="D16" s="111" t="n">
        <x:v>13</x:v>
      </x:c>
      <x:c r="E16" s="111" t="n">
        <x:v>114</x:v>
      </x:c>
      <x:c r="F16" s="33" t="str">
        <x:v>BY-ANM-P0-001-梦舟四种乘员状态;BY-ANM-P1-002-东风搜救开舱转移;BY-CHR-P0-001-杨凛;BY-CHR-P0-002-陈砚;BY-CHR-P0-003-刘定槎;BY-CHR-P1-002-林知夏;BY-CRO-P1-001-北京飞控任务团队;BY-CRO-P1-003-搜救与医疗团队;BY-CST-P0-001-杨凛舱内飞行服;BY-CST-P0-002-陈砚舱内飞行服;BY-CST-P0-003-刘定槎舱内飞行服;BY-CST-P1-004-林知夏记者服装;BY-LGT-P0-001-梦舟舱内任务光;BY-LGT-P0-004-月面艺术化任务日光;BY-LGT-P1-003-飞控大厅任务光;BY-LGT-P1-007-搜救着陆区日间自然光;BY-LGT-P1-008-飞控媒体区直播光;BY-PRP-P0-001-梦舟三座椅与束缚系统;BY-PRP-P0-005-密封样品转移容器;BY-PRP-P0-006-东风医监转移设备;BY-PRP-P1-006-舱内操作界面与任务屏;BY-PRP-P1-008-主样品容器编号与固定座;BY-PRP-P1-011-返回舱信标与现场安全工具;BY-PRP-P1-013-东风样品接收设备;BY-REL-P0-008-样品转移链;BY-REL-P0-009-梦舟三座返航承载与环月工作位;BY-REL-P0-012-月面艺术化光照与声明;BY-REL-P0-013-返回舱再入搜救状态链;BY-REL-P1-001-月面空间总图;BY-REL-P1-006-月面科学路线与样品链;BY-REL-P1-007-摄影来源证据层级;BY-REL-P1-008-三段直播结构链;BY-REL-P1-009-东风医监与样品双线;BY-SCN-P0-001-梦舟舱内三座布局;BY-SCN-P0-004-月面着陆与作业区;BY-SCN-P0-005-梦舟环月工作位;BY-SCN-P0-006-北京飞控大厅与任务主屏;BY-SCN-P0-008-预定着陆区与搜救现场;BY-SCN-P1-003-飞控中心媒体区;BY-SCN-P1-005-月面后段科考区;BY-SCN-P1-012-东风医监开舱作业区;BY-VEH-P0-001-梦舟载人飞船;BY-VEH-P0-007-返回舱群伞气囊着陆构型;BY-VEH-P1-008-搜救直升机与地面车辆;BY-VFX-P0-006-稳定伞与主伞展开;BY-VFX-P0-007-气囊触地滚摆</x:v>
      </x:c>
      <x:c r="G16" s="33" t="str">
        <x:v>BY-VOI-P0-001-杨凛声音;BY-VOI-P0-003-刘定槎声音;BY-VOI-P1-002-林知夏声音;BY-VOI-P1-004-北京飞控主调度声音;BY-VOI-P1-008-搜救指挥声音;BY-VOI-P1-011-现场指挥声音;BY-VOI-P1-012-何文澜声音;BY-VOI-P1-015-医监人员声音</x:v>
      </x:c>
      <x:c r="H16" s="33" t="str">
        <x:v>BY-REL-P1-003-声音来源真实性;BY-SND-P0-001-舱内生命保障与设备底噪;BY-SND-P1-003-发动机舱内结构振动;BY-SND-P1-005-降落伞与着陆冲击;BY-SND-P1-006-搜救现场声;BY-SND-P1-008-飞控与测控大厅底噪;BY-SND-P1-009-媒体区直播现场声</x:v>
      </x:c>
      <x:c r="I16" s="33" t="str">
        <x:v>BY-SYM-P0-002-艺术化光照偏差推演声明;BY-SYM-P1-001-未来纪实推演标识;BY-SYM-P1-003-任务阶段与时间跳跃标牌;BY-SYM-P1-005-样品编号与封签模板;BY-SYM-P1-007-直播进口出口与倒计时;BY-SYM-P1-008-东风搜救时间压缩</x:v>
      </x:c>
      <x:c r="J16" s="33" t="str">
        <x:v>可进入阶段2B｜优先按场次资产包生产</x:v>
      </x:c>
    </x:row>
  </x:sheetData>
  <x:pageMargins left="0.7" right="0.7" top="0.75" bottom="0.75" header="0.3" footer="0.3"/>
  <x:tableParts count="1">
    <x:tablePart xmlns:r="http://schemas.openxmlformats.org/officeDocument/2006/relationships" r:id="Recf759df221446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44" hidden="0" customWidth="1"/>
    <x:col min="4" max="4" width="62" hidden="0" customWidth="1"/>
    <x:col min="5" max="5" width="32" hidden="0" customWidth="1"/>
  </x:cols>
  <x:sheetData>
    <x:row r="1" ht="34" customHeight="1">
      <x:c r="A1" s="18" t="str">
        <x:v>原生产资产ID</x:v>
      </x:c>
      <x:c r="B1" s="19" t="str">
        <x:v>V1.3.1处置</x:v>
      </x:c>
      <x:c r="C1" s="19" t="str">
        <x:v>现生产资产ID</x:v>
      </x:c>
      <x:c r="D1" s="19" t="str">
        <x:v>原因</x:v>
      </x:c>
      <x:c r="E1" s="20" t="str">
        <x:v>影响镜号</x:v>
      </x:c>
    </x:row>
    <x:row r="2" ht="48" customHeight="1">
      <x:c r="A2" s="31" t="str">
        <x:v>BY-CHR-P1-001-周明远</x:v>
      </x:c>
      <x:c r="B2" s="31" t="str">
        <x:v>历史停用</x:v>
      </x:c>
      <x:c r="C2" s="31" t="str"/>
      <x:c r="D2" s="31" t="str">
        <x:v>V1.2不出场</x:v>
      </x:c>
      <x:c r="E2" s="31" t="str">
        <x:v>历史继承</x:v>
      </x:c>
    </x:row>
    <x:row r="3" ht="48" customHeight="1">
      <x:c r="A3" s="32" t="str">
        <x:v>BY-CHR-P1-003-孙屹川</x:v>
      </x:c>
      <x:c r="B3" s="32" t="str">
        <x:v>历史停用</x:v>
      </x:c>
      <x:c r="C3" s="32" t="str"/>
      <x:c r="D3" s="32" t="str">
        <x:v>V1.2不出场</x:v>
      </x:c>
      <x:c r="E3" s="32" t="str">
        <x:v>历史继承</x:v>
      </x:c>
    </x:row>
    <x:row r="4" ht="48" customHeight="1">
      <x:c r="A4" s="32" t="str">
        <x:v>BY-CST-P1-003-周明远主播服装</x:v>
      </x:c>
      <x:c r="B4" s="32" t="str">
        <x:v>历史停用</x:v>
      </x:c>
      <x:c r="C4" s="32" t="str"/>
      <x:c r="D4" s="32" t="str">
        <x:v>随角色停用</x:v>
      </x:c>
      <x:c r="E4" s="32" t="str">
        <x:v>历史继承</x:v>
      </x:c>
    </x:row>
    <x:row r="5" ht="48" customHeight="1">
      <x:c r="A5" s="32" t="str">
        <x:v>BY-CST-P1-005-孙屹川专家服装</x:v>
      </x:c>
      <x:c r="B5" s="32" t="str">
        <x:v>历史停用</x:v>
      </x:c>
      <x:c r="C5" s="32" t="str"/>
      <x:c r="D5" s="32" t="str">
        <x:v>随角色停用</x:v>
      </x:c>
      <x:c r="E5" s="32" t="str">
        <x:v>历史继承</x:v>
      </x:c>
    </x:row>
    <x:row r="6" ht="48" customHeight="1">
      <x:c r="A6" s="32" t="str">
        <x:v>BY-VOI-P1-001-周明远声音</x:v>
      </x:c>
      <x:c r="B6" s="32" t="str">
        <x:v>历史停用</x:v>
      </x:c>
      <x:c r="C6" s="32" t="str"/>
      <x:c r="D6" s="32" t="str">
        <x:v>随角色停用</x:v>
      </x:c>
      <x:c r="E6" s="32" t="str">
        <x:v>历史继承</x:v>
      </x:c>
    </x:row>
    <x:row r="7" ht="48" customHeight="1">
      <x:c r="A7" s="32" t="str">
        <x:v>BY-VOI-P1-003-孙屹川声音</x:v>
      </x:c>
      <x:c r="B7" s="32" t="str">
        <x:v>历史停用</x:v>
      </x:c>
      <x:c r="C7" s="32" t="str"/>
      <x:c r="D7" s="32" t="str">
        <x:v>随角色停用</x:v>
      </x:c>
      <x:c r="E7" s="32" t="str">
        <x:v>历史继承</x:v>
      </x:c>
    </x:row>
    <x:row r="8" ht="48" customHeight="1">
      <x:c r="A8" s="32" t="str">
        <x:v>BY-SCN-P1-001-未来新闻演播室</x:v>
      </x:c>
      <x:c r="B8" s="32" t="str">
        <x:v>历史停用</x:v>
      </x:c>
      <x:c r="C8" s="32" t="str"/>
      <x:c r="D8" s="32" t="str">
        <x:v>V1.2不使用演播室</x:v>
      </x:c>
      <x:c r="E8" s="32" t="str">
        <x:v>历史继承</x:v>
      </x:c>
    </x:row>
    <x:row r="9" ht="48" customHeight="1">
      <x:c r="A9" s="32" t="str">
        <x:v>BY-SCN-P1-002-文昌发射场夜景</x:v>
      </x:c>
      <x:c r="B9" s="32" t="str">
        <x:v>历史停用</x:v>
      </x:c>
      <x:c r="C9" s="32" t="str"/>
      <x:c r="D9" s="32" t="str">
        <x:v>V1.2从月轨相遇起片，不含发射</x:v>
      </x:c>
      <x:c r="E9" s="32" t="str">
        <x:v>历史继承</x:v>
      </x:c>
    </x:row>
    <x:row r="10" ht="48" customHeight="1">
      <x:c r="A10" s="32" t="str">
        <x:v>BY-SCN-P1-004-北京飞控中心大厅</x:v>
      </x:c>
      <x:c r="B10" s="32" t="str">
        <x:v>历史停用</x:v>
      </x:c>
      <x:c r="C10" s="32" t="str"/>
      <x:c r="D10" s="32" t="str">
        <x:v>由P0新资产BY-SCN-P0-006替代</x:v>
      </x:c>
      <x:c r="E10" s="32" t="str">
        <x:v>历史继承</x:v>
      </x:c>
    </x:row>
    <x:row r="11" ht="48" customHeight="1">
      <x:c r="A11" s="32" t="str">
        <x:v>BY-LGT-P1-001-演播室中性直播光</x:v>
      </x:c>
      <x:c r="B11" s="32" t="str">
        <x:v>历史停用</x:v>
      </x:c>
      <x:c r="C11" s="32" t="str"/>
      <x:c r="D11" s="32" t="str">
        <x:v>随演播室停用</x:v>
      </x:c>
      <x:c r="E11" s="32" t="str">
        <x:v>历史继承</x:v>
      </x:c>
    </x:row>
    <x:row r="12" ht="48" customHeight="1">
      <x:c r="A12" s="32" t="str">
        <x:v>BY-LGT-P1-002-文昌夜间发射光</x:v>
      </x:c>
      <x:c r="B12" s="32" t="str">
        <x:v>历史停用</x:v>
      </x:c>
      <x:c r="C12" s="32" t="str"/>
      <x:c r="D12" s="32" t="str">
        <x:v>随发射场停用</x:v>
      </x:c>
      <x:c r="E12" s="32" t="str">
        <x:v>历史继承</x:v>
      </x:c>
    </x:row>
    <x:row r="13" ht="48" customHeight="1">
      <x:c r="A13" s="32" t="str">
        <x:v>BY-LGT-P0-003-月面固定太阳光</x:v>
      </x:c>
      <x:c r="B13" s="32" t="str">
        <x:v>历史停用</x:v>
      </x:c>
      <x:c r="C13" s="32" t="str"/>
      <x:c r="D13" s="32" t="str">
        <x:v>由明确承担天文偏差的BY-LGT-P0-004替代</x:v>
      </x:c>
      <x:c r="E13" s="32" t="str">
        <x:v>历史继承</x:v>
      </x:c>
    </x:row>
    <x:row r="14" ht="48" customHeight="1">
      <x:c r="A14" s="32" t="str">
        <x:v>BY-VEH-P1-001-长征十号揽月发射构型</x:v>
      </x:c>
      <x:c r="B14" s="32" t="str">
        <x:v>历史停用</x:v>
      </x:c>
      <x:c r="C14" s="32" t="str"/>
      <x:c r="D14" s="32" t="str">
        <x:v>V1.2不含发射</x:v>
      </x:c>
      <x:c r="E14" s="32" t="str">
        <x:v>历史继承</x:v>
      </x:c>
    </x:row>
    <x:row r="15" ht="48" customHeight="1">
      <x:c r="A15" s="32" t="str">
        <x:v>BY-VEH-P1-002-长征十号梦舟发射构型</x:v>
      </x:c>
      <x:c r="B15" s="32" t="str">
        <x:v>历史停用</x:v>
      </x:c>
      <x:c r="C15" s="32" t="str"/>
      <x:c r="D15" s="32" t="str">
        <x:v>V1.2不含发射</x:v>
      </x:c>
      <x:c r="E15" s="32" t="str">
        <x:v>历史继承</x:v>
      </x:c>
    </x:row>
    <x:row r="16" ht="48" customHeight="1">
      <x:c r="A16" s="32" t="str">
        <x:v>BY-VFX-P1-001-地球发射火焰与烟羽</x:v>
      </x:c>
      <x:c r="B16" s="32" t="str">
        <x:v>历史停用</x:v>
      </x:c>
      <x:c r="C16" s="32" t="str"/>
      <x:c r="D16" s="32" t="str">
        <x:v>V1.2不含发射</x:v>
      </x:c>
      <x:c r="E16" s="32" t="str">
        <x:v>历史继承</x:v>
      </x:c>
    </x:row>
    <x:row r="17" ht="48" customHeight="1">
      <x:c r="A17" s="32" t="str">
        <x:v>BY-SND-P2-001-新闻提示音</x:v>
      </x:c>
      <x:c r="B17" s="32" t="str">
        <x:v>历史停用</x:v>
      </x:c>
      <x:c r="C17" s="32" t="str"/>
      <x:c r="D17" s="32" t="str">
        <x:v>V1.2无新闻包装提示音且全片无配乐</x:v>
      </x:c>
      <x:c r="E17" s="32" t="str">
        <x:v>历史继承</x:v>
      </x:c>
    </x:row>
    <x:row r="18" ht="48" customHeight="1">
      <x:c r="A18" s="32" t="str">
        <x:v>BY-SYM-P1-002-新闻条与日期标牌系统</x:v>
      </x:c>
      <x:c r="B18" s="32" t="str">
        <x:v>历史停用</x:v>
      </x:c>
      <x:c r="C18" s="32" t="str"/>
      <x:c r="D18" s="32" t="str">
        <x:v>V1.2已取消新闻段落；日期与任务阶段信息由BY-SYM-P1-003承担</x:v>
      </x:c>
      <x:c r="E18" s="32" t="str">
        <x:v>历史继承</x:v>
      </x:c>
    </x:row>
    <x:row r="19" ht="48" customHeight="1">
      <x:c r="A19" s="32" t="str">
        <x:v>BY-REL-P0-004-刘定槎与两张空座椅</x:v>
      </x:c>
      <x:c r="B19" s="32" t="str">
        <x:v>历史停用</x:v>
      </x:c>
      <x:c r="C19" s="32" t="str"/>
      <x:c r="D19" s="32" t="str">
        <x:v>叙事关系失效；由BY-REL-P0-009替代</x:v>
      </x:c>
      <x:c r="E19" s="32" t="str">
        <x:v>历史继承</x:v>
      </x:c>
    </x:row>
    <x:row r="20" ht="48" customHeight="1">
      <x:c r="A20" s="32" t="str">
        <x:v>BY-SCN-P1-004-北京飞控中心大厅</x:v>
      </x:c>
      <x:c r="B20" s="32" t="str">
        <x:v>升级并替代</x:v>
      </x:c>
      <x:c r="C20" s="32" t="str">
        <x:v>BY-SCN-P0-006-北京飞控大厅与任务主屏</x:v>
      </x:c>
      <x:c r="D20" s="32" t="str">
        <x:v>V1.2贯穿关键节点，升级为P0</x:v>
      </x:c>
      <x:c r="E20" s="32" t="str">
        <x:v>历史继承</x:v>
      </x:c>
    </x:row>
    <x:row r="21" ht="48" customHeight="1">
      <x:c r="A21" s="32" t="str">
        <x:v>BY-LGT-P0-003-月面固定太阳光</x:v>
      </x:c>
      <x:c r="B21" s="32" t="str">
        <x:v>语义失效并替代</x:v>
      </x:c>
      <x:c r="C21" s="32" t="str">
        <x:v>BY-LGT-P0-004-月面艺术化任务日光</x:v>
      </x:c>
      <x:c r="D21" s="32" t="str">
        <x:v>保留日期并显式承担天文偏差</x:v>
      </x:c>
      <x:c r="E21" s="32" t="str">
        <x:v>历史继承</x:v>
      </x:c>
    </x:row>
    <x:row r="22" ht="48" customHeight="1">
      <x:c r="A22" s="32" t="str">
        <x:v>BY-REL-P0-004-刘定槎与两张空座椅</x:v>
      </x:c>
      <x:c r="B22" s="32" t="str">
        <x:v>叙事关系失效并替代</x:v>
      </x:c>
      <x:c r="C22" s="32" t="str">
        <x:v>BY-REL-P0-009-梦舟三座返航承载与环月工作位</x:v>
      </x:c>
      <x:c r="D22" s="32" t="str">
        <x:v>空座椅仅等待乘组归位</x:v>
      </x:c>
      <x:c r="E22" s="32" t="str">
        <x:v>历史继承</x:v>
      </x:c>
    </x:row>
    <x:row r="23" ht="48" customHeight="1">
      <x:c r="A23" s="32" t="str">
        <x:v>BY-SCN-P0-001-梦舟舱内三座布局</x:v>
      </x:c>
      <x:c r="B23" s="32" t="str">
        <x:v>语义扩展</x:v>
      </x:c>
      <x:c r="C23" s="32" t="str">
        <x:v>BY-SCN-P0-001-梦舟舱内三座布局</x:v>
      </x:c>
      <x:c r="D23" s="32" t="str">
        <x:v>四种乘员状态共用同一舱体几何</x:v>
      </x:c>
      <x:c r="E23" s="32" t="str">
        <x:v>005;008;012;017;019;025;082;086;097—109</x:v>
      </x:c>
    </x:row>
    <x:row r="24" ht="48" customHeight="1">
      <x:c r="A24" s="32" t="str">
        <x:v>BY-SCN-P0-005-梦舟环月工作位</x:v>
      </x:c>
      <x:c r="B24" s="32" t="str">
        <x:v>语义扩展</x:v>
      </x:c>
      <x:c r="C24" s="32" t="str">
        <x:v>BY-SCN-P0-005-梦舟环月工作位</x:v>
      </x:c>
      <x:c r="D24" s="32" t="str">
        <x:v>明确单人值守与两座空置关系</x:v>
      </x:c>
      <x:c r="E24" s="32" t="str">
        <x:v>019;025;082</x:v>
      </x:c>
    </x:row>
    <x:row r="25" ht="48" customHeight="1">
      <x:c r="A25" s="32" t="str">
        <x:v>BY-SCN-P0-008-预定着陆区与搜救现场</x:v>
      </x:c>
      <x:c r="B25" s="32" t="str">
        <x:v>正式锁定</x:v>
      </x:c>
      <x:c r="C25" s="32" t="str">
        <x:v>BY-SCN-P0-008-预定着陆区与搜救现场</x:v>
      </x:c>
      <x:c r="D25" s="32" t="str">
        <x:v>主着陆场改为并锁定东风着陆场</x:v>
      </x:c>
      <x:c r="E25" s="32" t="str">
        <x:v>094;104;107—118</x:v>
      </x:c>
    </x:row>
    <x:row r="26" ht="48" customHeight="1">
      <x:c r="A26" s="32" t="str">
        <x:v>BY-LGT-P1-007-搜救着陆区日间自然光</x:v>
      </x:c>
      <x:c r="B26" s="32" t="str">
        <x:v>语义校正</x:v>
      </x:c>
      <x:c r="C26" s="32" t="str">
        <x:v>BY-LGT-P1-007-搜救着陆区日间自然光</x:v>
      </x:c>
      <x:c r="D26" s="32" t="str">
        <x:v>脚本为黎明至清晨，不再写笼统日间</x:v>
      </x:c>
      <x:c r="E26" s="32" t="str">
        <x:v>107—118</x:v>
      </x:c>
    </x:row>
    <x:row r="27" ht="48" customHeight="1">
      <x:c r="A27" s="32" t="str">
        <x:v>BY-PRP-P0-003-便携式月面摄像机</x:v>
      </x:c>
      <x:c r="B27" s="32" t="str">
        <x:v>状态扩展</x:v>
      </x:c>
      <x:c r="C27" s="32" t="str">
        <x:v>BY-PRP-P0-003-便携式月面摄像机</x:v>
      </x:c>
      <x:c r="D27" s="32" t="str">
        <x:v>同一相机从部署连续复用到起飞空镜</x:v>
      </x:c>
      <x:c r="E27" s="32" t="str">
        <x:v>060—061;063—064;069;076;081</x:v>
      </x:c>
    </x:row>
    <x:row r="28" ht="48" customHeight="1">
      <x:c r="A28" s="32" t="str">
        <x:v>BY-REL-P0-009-梦舟三座返航承载与环月工作位</x:v>
      </x:c>
      <x:c r="B28" s="32" t="str">
        <x:v>语义扩展</x:v>
      </x:c>
      <x:c r="C28" s="32" t="str">
        <x:v>BY-REL-P0-009-梦舟三座返航承载与环月工作位</x:v>
      </x:c>
      <x:c r="D28" s="32" t="str">
        <x:v>建立三座满员—两座空置—三座重聚—返航承载链</x:v>
      </x:c>
      <x:c r="E28" s="32" t="str">
        <x:v>005—019;025;082;086;097—109</x:v>
      </x:c>
    </x:row>
    <x:row r="29" ht="48" customHeight="1">
      <x:c r="A29" s="32" t="str"/>
      <x:c r="B29" s="32" t="str">
        <x:v>新增</x:v>
      </x:c>
      <x:c r="C29" s="32" t="str">
        <x:v>BY-CHR-P1-004-何文澜</x:v>
      </x:c>
      <x:c r="D29" s="32" t="str">
        <x:v>载人航天与航天医学方向专家。</x:v>
      </x:c>
      <x:c r="E29" s="32" t="str">
        <x:v>镜20、48—50、79、113</x:v>
      </x:c>
    </x:row>
    <x:row r="30" ht="48" customHeight="1">
      <x:c r="A30" s="32" t="str"/>
      <x:c r="B30" s="32" t="str">
        <x:v>新增</x:v>
      </x:c>
      <x:c r="C30" s="32" t="str">
        <x:v>BY-CHR-P1-005-孙亦川</x:v>
      </x:c>
      <x:c r="D30" s="32" t="str">
        <x:v>轨道动力学与返回再入方向专家。</x:v>
      </x:c>
      <x:c r="E30" s="32" t="str">
        <x:v>镜35、88、93、100</x:v>
      </x:c>
    </x:row>
    <x:row r="31" ht="48" customHeight="1">
      <x:c r="A31" s="32" t="str"/>
      <x:c r="B31" s="32" t="str">
        <x:v>新增</x:v>
      </x:c>
      <x:c r="C31" s="32" t="str">
        <x:v>BY-CHR-P1-006-顾青岚</x:v>
      </x:c>
      <x:c r="D31" s="32" t="str">
        <x:v>月球地质与月面科学方向专家。</x:v>
      </x:c>
      <x:c r="E31" s="32" t="str">
        <x:v>镜66—67、72</x:v>
      </x:c>
    </x:row>
    <x:row r="32" ht="48" customHeight="1">
      <x:c r="A32" s="32" t="str"/>
      <x:c r="B32" s="32" t="str">
        <x:v>新增</x:v>
      </x:c>
      <x:c r="C32" s="32" t="str">
        <x:v>BY-CST-P1-006-何文澜专家服装</x:v>
      </x:c>
      <x:c r="D32" s="32" t="str">
        <x:v>深色或中性低饱和职业正装。</x:v>
      </x:c>
      <x:c r="E32" s="32" t="str">
        <x:v>镜20、48、113</x:v>
      </x:c>
    </x:row>
    <x:row r="33" ht="48" customHeight="1">
      <x:c r="A33" s="32" t="str"/>
      <x:c r="B33" s="32" t="str">
        <x:v>新增</x:v>
      </x:c>
      <x:c r="C33" s="32" t="str">
        <x:v>BY-CST-P1-007-孙亦川专家服装</x:v>
      </x:c>
      <x:c r="D33" s="32" t="str">
        <x:v>低饱和职业正装。</x:v>
      </x:c>
      <x:c r="E33" s="32" t="str">
        <x:v>镜35、88、93</x:v>
      </x:c>
    </x:row>
    <x:row r="34" ht="48" customHeight="1">
      <x:c r="A34" s="32" t="str"/>
      <x:c r="B34" s="32" t="str">
        <x:v>新增</x:v>
      </x:c>
      <x:c r="C34" s="32" t="str">
        <x:v>BY-CST-P1-008-顾青岚专家服装</x:v>
      </x:c>
      <x:c r="D34" s="32" t="str">
        <x:v>专业、简洁的地质专家采访服装。</x:v>
      </x:c>
      <x:c r="E34" s="32" t="str">
        <x:v>镜66</x:v>
      </x:c>
    </x:row>
    <x:row r="35" ht="48" customHeight="1">
      <x:c r="A35" s="32" t="str"/>
      <x:c r="B35" s="32" t="str">
        <x:v>新增</x:v>
      </x:c>
      <x:c r="C35" s="32" t="str">
        <x:v>BY-VOI-P1-012-何文澜声音</x:v>
      </x:c>
      <x:c r="D35" s="32" t="str">
        <x:v>冷静、温和、医学解释清楚的中年专家音色。</x:v>
      </x:c>
      <x:c r="E35" s="32" t="str">
        <x:v>镜20、48—50、79、113</x:v>
      </x:c>
    </x:row>
    <x:row r="36" ht="48" customHeight="1">
      <x:c r="A36" s="32" t="str"/>
      <x:c r="B36" s="32" t="str">
        <x:v>新增</x:v>
      </x:c>
      <x:c r="C36" s="32" t="str">
        <x:v>BY-VOI-P1-013-孙亦川声音</x:v>
      </x:c>
      <x:c r="D36" s="32" t="str">
        <x:v>逻辑清晰、节奏克制的轨道动力学专家音色。</x:v>
      </x:c>
      <x:c r="E36" s="32" t="str">
        <x:v>镜35、88、93、100</x:v>
      </x:c>
    </x:row>
    <x:row r="37" ht="48" customHeight="1">
      <x:c r="A37" s="32" t="str"/>
      <x:c r="B37" s="32" t="str">
        <x:v>新增</x:v>
      </x:c>
      <x:c r="C37" s="32" t="str">
        <x:v>BY-VOI-P1-014-顾青岚声音</x:v>
      </x:c>
      <x:c r="D37" s="32" t="str">
        <x:v>清晰、沉稳的月球地质专家音色。</x:v>
      </x:c>
      <x:c r="E37" s="32" t="str">
        <x:v>镜66—67、72</x:v>
      </x:c>
    </x:row>
    <x:row r="38" ht="48" customHeight="1">
      <x:c r="A38" s="32" t="str"/>
      <x:c r="B38" s="32" t="str">
        <x:v>新增</x:v>
      </x:c>
      <x:c r="C38" s="32" t="str">
        <x:v>BY-VOI-P1-015-医监人员声音</x:v>
      </x:c>
      <x:c r="D38" s="32" t="str">
        <x:v>现场医监人员的短句程序口令。</x:v>
      </x:c>
      <x:c r="E38" s="32" t="str">
        <x:v>镜114</x:v>
      </x:c>
    </x:row>
    <x:row r="39" ht="48" customHeight="1">
      <x:c r="A39" s="32" t="str"/>
      <x:c r="B39" s="32" t="str">
        <x:v>新增</x:v>
      </x:c>
      <x:c r="C39" s="32" t="str">
        <x:v>BY-SCN-P1-012-东风医监开舱作业区</x:v>
      </x:c>
      <x:c r="D39" s="32" t="str">
        <x:v>返回舱外警戒、开舱、人员评估、支撑转移与样品交接的连续工作区。</x:v>
      </x:c>
      <x:c r="E39" s="32" t="str">
        <x:v>镜112—117</x:v>
      </x:c>
    </x:row>
    <x:row r="40" ht="48" customHeight="1">
      <x:c r="A40" s="32" t="str"/>
      <x:c r="B40" s="32" t="str">
        <x:v>新增</x:v>
      </x:c>
      <x:c r="C40" s="32" t="str">
        <x:v>BY-LGT-P1-008-飞控媒体区直播光</x:v>
      </x:c>
      <x:c r="D40" s="32" t="str">
        <x:v>中性、可信的新闻现场光，兼顾记者肤色、专家和任务大屏。</x:v>
      </x:c>
      <x:c r="E40" s="32" t="str">
        <x:v>记者与专家直播镜头</x:v>
      </x:c>
    </x:row>
    <x:row r="41" ht="48" customHeight="1">
      <x:c r="A41" s="32" t="str"/>
      <x:c r="B41" s="32" t="str">
        <x:v>新增</x:v>
      </x:c>
      <x:c r="C41" s="32" t="str">
        <x:v>BY-PRP-P0-006-东风医监转移设备</x:v>
      </x:c>
      <x:c r="D41" s="32" t="str">
        <x:v>航天员出舱后的循环、平衡和运动状态评估及转移设备。</x:v>
      </x:c>
      <x:c r="E41" s="32" t="str">
        <x:v>镜113—116</x:v>
      </x:c>
    </x:row>
    <x:row r="42" ht="48" customHeight="1">
      <x:c r="A42" s="32" t="str"/>
      <x:c r="B42" s="32" t="str">
        <x:v>新增</x:v>
      </x:c>
      <x:c r="C42" s="32" t="str">
        <x:v>BY-PRP-P1-012-月球车任务相机组</x:v>
      </x:c>
      <x:c r="D42" s="32" t="str">
        <x:v>探索载人月球车的前向导航相机与侧后任务记录相机。</x:v>
      </x:c>
      <x:c r="E42" s="32" t="str">
        <x:v>镜68、70、72、74—75</x:v>
      </x:c>
    </x:row>
    <x:row r="43" ht="48" customHeight="1">
      <x:c r="A43" s="32" t="str"/>
      <x:c r="B43" s="32" t="str">
        <x:v>新增</x:v>
      </x:c>
      <x:c r="C43" s="32" t="str">
        <x:v>BY-PRP-P1-013-东风样品接收设备</x:v>
      </x:c>
      <x:c r="D43" s="32" t="str">
        <x:v>月球样品密封转运的现场接收箱、编号、封签和交接记录件。</x:v>
      </x:c>
      <x:c r="E43" s="32" t="str">
        <x:v>镜94、117</x:v>
      </x:c>
    </x:row>
    <x:row r="44" ht="48" customHeight="1">
      <x:c r="A44" s="32" t="str"/>
      <x:c r="B44" s="32" t="str">
        <x:v>新增</x:v>
      </x:c>
      <x:c r="C44" s="32" t="str">
        <x:v>BY-PRP-P1-014-宇航服任务相机</x:v>
      </x:c>
      <x:c r="D44" s="32" t="str">
        <x:v>固定于登月服的第一视角任务记录相机。</x:v>
      </x:c>
      <x:c r="E44" s="32" t="str">
        <x:v>镜55、57、60、62、71、73—74</x:v>
      </x:c>
    </x:row>
    <x:row r="45" ht="48" customHeight="1">
      <x:c r="A45" s="32" t="str"/>
      <x:c r="B45" s="32" t="str">
        <x:v>新增</x:v>
      </x:c>
      <x:c r="C45" s="32" t="str">
        <x:v>BY-PRP-P1-015-航天器任务相机组</x:v>
      </x:c>
      <x:c r="D45" s="32" t="str">
        <x:v>对接口监视、揽月下视与着陆腿、舱外固定、梦舟外部返回任务相机。</x:v>
      </x:c>
      <x:c r="E45" s="32" t="str">
        <x:v>对接口、下视、着陆腿、外部固定及返回外部任务镜头</x:v>
      </x:c>
    </x:row>
    <x:row r="46" ht="48" customHeight="1">
      <x:c r="A46" s="32" t="str"/>
      <x:c r="B46" s="32" t="str">
        <x:v>新增</x:v>
      </x:c>
      <x:c r="C46" s="32" t="str">
        <x:v>BY-VFX-P1-008-遥测视觉重建合成</x:v>
      </x:c>
      <x:c r="D46" s="32" t="str">
        <x:v>以轨道、姿态、距离和时间数据重建无法由实体任务相机直接拍到的外部全景。</x:v>
      </x:c>
      <x:c r="E46" s="32" t="str">
        <x:v>所有标注“视觉重建”的镜头</x:v>
      </x:c>
    </x:row>
    <x:row r="47" ht="48" customHeight="1">
      <x:c r="A47" s="32" t="str"/>
      <x:c r="B47" s="32" t="str">
        <x:v>新增</x:v>
      </x:c>
      <x:c r="C47" s="32" t="str">
        <x:v>BY-SYM-P1-006-视觉重建来源标识</x:v>
      </x:c>
      <x:c r="D47" s="32" t="str">
        <x:v>明确区分艺术重建与任务相机实拍逻辑的角标。</x:v>
      </x:c>
      <x:c r="E47" s="32" t="str">
        <x:v>所有视觉重建镜头</x:v>
      </x:c>
    </x:row>
    <x:row r="48" ht="48" customHeight="1">
      <x:c r="A48" s="32" t="str"/>
      <x:c r="B48" s="32" t="str">
        <x:v>新增</x:v>
      </x:c>
      <x:c r="C48" s="32" t="str">
        <x:v>BY-SYM-P1-007-直播进口出口与倒计时</x:v>
      </x:c>
      <x:c r="D48" s="32" t="str">
        <x:v>记者开场、阶段提示、五分钟倒计时和直播收束的统一图形系统。</x:v>
      </x:c>
      <x:c r="E48" s="32" t="str">
        <x:v>镜3、22、27、47、51、87、92、118</x:v>
      </x:c>
    </x:row>
    <x:row r="49" ht="48" customHeight="1">
      <x:c r="A49" s="32" t="str"/>
      <x:c r="B49" s="32" t="str">
        <x:v>新增</x:v>
      </x:c>
      <x:c r="C49" s="32" t="str">
        <x:v>BY-SYM-P1-008-东风搜救时间压缩</x:v>
      </x:c>
      <x:c r="D49" s="32" t="str">
        <x:v>明确提示搜救分队抵达和安全处置为时间压缩。</x:v>
      </x:c>
      <x:c r="E49" s="32" t="str">
        <x:v>镜110</x:v>
      </x:c>
    </x:row>
    <x:row r="50" ht="48" customHeight="1">
      <x:c r="A50" s="32" t="str"/>
      <x:c r="B50" s="32" t="str">
        <x:v>新增</x:v>
      </x:c>
      <x:c r="C50" s="32" t="str">
        <x:v>BY-SND-P1-009-媒体区直播现场声</x:v>
      </x:c>
      <x:c r="D50" s="32" t="str">
        <x:v>低声工作环境、轻空调底噪、现场掌声与人物近讲。</x:v>
      </x:c>
      <x:c r="E50" s="32" t="str">
        <x:v>记者与专家镜头</x:v>
      </x:c>
    </x:row>
    <x:row r="51" ht="48" customHeight="1">
      <x:c r="A51" s="32" t="str"/>
      <x:c r="B51" s="32" t="str">
        <x:v>新增</x:v>
      </x:c>
      <x:c r="C51" s="32" t="str">
        <x:v>BY-REL-P1-007-摄影来源证据层级</x:v>
      </x:c>
      <x:c r="D51" s="32" t="str">
        <x:v>A任务证据机位、B地面直播机位、C显式遥测视觉重建、D后期图卡四层来源。</x:v>
      </x:c>
      <x:c r="E51" s="32" t="str">
        <x:v>119镜全片</x:v>
      </x:c>
    </x:row>
    <x:row r="52" ht="48" customHeight="1">
      <x:c r="A52" s="32" t="str"/>
      <x:c r="B52" s="32" t="str">
        <x:v>新增</x:v>
      </x:c>
      <x:c r="C52" s="32" t="str">
        <x:v>BY-REL-P1-008-三段直播结构链</x:v>
      </x:c>
      <x:c r="D52" s="32" t="str">
        <x:v>记者事件前解释、任务关键动作、事件后采访、字幕跳时四种结构单元。</x:v>
      </x:c>
      <x:c r="E52" s="32" t="str">
        <x:v>第1—15场</x:v>
      </x:c>
    </x:row>
    <x:row r="53" ht="48" customHeight="1">
      <x:c r="A53" s="32" t="str"/>
      <x:c r="B53" s="32" t="str">
        <x:v>新增</x:v>
      </x:c>
      <x:c r="C53" s="32" t="str">
        <x:v>BY-REL-P1-009-东风医监与样品双线</x:v>
      </x:c>
      <x:c r="D53" s="32" t="str">
        <x:v>人员安全处置、逐人评估、座椅／担架转移与样品编号交接并行闭合。</x:v>
      </x:c>
      <x:c r="E53" s="32" t="str">
        <x:v>镜110—118</x:v>
      </x:c>
    </x:row>
    <x:row r="54" ht="48" customHeight="1">
      <x:c r="A54" s="32" t="str"/>
      <x:c r="B54" s="32" t="str">
        <x:v>新增</x:v>
      </x:c>
      <x:c r="C54" s="32" t="str">
        <x:v>BY-REL-P1-010-地月视觉尺度连续性</x:v>
      </x:c>
      <x:c r="D54" s="32" t="str">
        <x:v>环月轨道中的地球表现为有清晰直径的蓝白圆盘，接近地球时逐步扩大。</x:v>
      </x:c>
      <x:c r="E54" s="32" t="str">
        <x:v>镜2、4、23、31、33、46、83、89—90、96—101</x:v>
      </x:c>
    </x:row>
    <x:row r="55" ht="48" customHeight="1">
      <x:c r="A55" s="32" t="str"/>
      <x:c r="B55" s="32" t="str">
        <x:v>新增</x:v>
      </x:c>
      <x:c r="C55" s="32" t="str">
        <x:v>BY-ANM-P0-001-梦舟四种乘员状态</x:v>
      </x:c>
      <x:c r="D55" s="32" t="str">
        <x:v>三座满员、两座空置、一人环月值守、三人重聚与返航承载的动作连续。</x:v>
      </x:c>
      <x:c r="E55" s="32" t="str">
        <x:v>镜5、8、12、17、19、25、82、86、97—109</x:v>
      </x:c>
    </x:row>
    <x:row r="56" ht="48" customHeight="1">
      <x:c r="A56" s="32" t="str"/>
      <x:c r="B56" s="32" t="str">
        <x:v>新增</x:v>
      </x:c>
      <x:c r="C56" s="32" t="str">
        <x:v>BY-ANM-P0-002-揽月下降出舱起飞链</x:v>
      </x:c>
      <x:c r="D56" s="32" t="str">
        <x:v>下降约束、着陆检查、单人通行出舱、回舱增压、起飞与再对接。</x:v>
      </x:c>
      <x:c r="E56" s="32" t="str">
        <x:v>镜24、32—60、77—85</x:v>
      </x:c>
    </x:row>
    <x:row r="57" ht="48" customHeight="1">
      <x:c r="A57" s="32" t="str"/>
      <x:c r="B57" s="32" t="str">
        <x:v>新增</x:v>
      </x:c>
      <x:c r="C57" s="32" t="str">
        <x:v>BY-ANM-P1-001-月面科研时间压缩</x:v>
      </x:c>
      <x:c r="D57" s="32" t="str">
        <x:v>相机部署后国旗、月球车、采样、钻取、载荷部署和返程。</x:v>
      </x:c>
      <x:c r="E57" s="32" t="str">
        <x:v>镜61—76</x:v>
      </x:c>
    </x:row>
    <x:row r="58" ht="48" customHeight="1">
      <x:c r="A58" s="33" t="str"/>
      <x:c r="B58" s="33" t="str">
        <x:v>新增</x:v>
      </x:c>
      <x:c r="C58" s="33" t="str">
        <x:v>BY-ANM-P1-002-东风搜救开舱转移</x:v>
      </x:c>
      <x:c r="D58" s="33" t="str">
        <x:v>着陆、时间压缩、搜救抵达、安全检测、开舱评估、座椅／担架转移和样品交接。</x:v>
      </x:c>
      <x:c r="E58" s="33" t="str">
        <x:v>镜107—117</x:v>
      </x:c>
    </x:row>
  </x:sheetData>
  <x:conditionalFormatting sqref="B2:B58">
    <x:cfRule type="containsText" dxfId="8" priority="1" operator="containsText" text="新增"/>
  </x:conditionalFormatting>
  <x:pageMargins left="0.7" right="0.7" top="0.75" bottom="0.75" header="0.3" footer="0.3"/>
  <x:tableParts count="1">
    <x:tablePart xmlns:r="http://schemas.openxmlformats.org/officeDocument/2006/relationships" r:id="R2d6fdcc29f0f406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78" hidden="0" customWidth="1"/>
    <x:col min="4" max="4" width="14" hidden="0" customWidth="1"/>
    <x:col min="5" max="5" width="18" hidden="0" customWidth="1"/>
  </x:cols>
  <x:sheetData>
    <x:row r="1" ht="34" customHeight="1">
      <x:c r="A1" s="18" t="str">
        <x:v>生产包ID</x:v>
      </x:c>
      <x:c r="B1" s="19" t="str">
        <x:v>生产包</x:v>
      </x:c>
      <x:c r="C1" s="19" t="str">
        <x:v>内容</x:v>
      </x:c>
      <x:c r="D1" s="19" t="str">
        <x:v>级别</x:v>
      </x:c>
      <x:c r="E1" s="20" t="str">
        <x:v>顺序</x:v>
      </x:c>
    </x:row>
    <x:row r="2" ht="58" customHeight="1">
      <x:c r="A2" s="109" t="str">
        <x:v>P13-01</x:v>
      </x:c>
      <x:c r="B2" s="31" t="str">
        <x:v>人物、服装与稳定音色</x:v>
      </x:c>
      <x:c r="C2" s="31" t="str">
        <x:v>林知夏、何文澜、孙亦川、顾青岚及三名航天员；先确认三位新增专家脸、服装和独立音色</x:v>
      </x:c>
      <x:c r="D2" s="109" t="str">
        <x:v>P0/P1</x:v>
      </x:c>
      <x:c r="E2" s="109" t="str">
        <x:v>先行</x:v>
      </x:c>
    </x:row>
    <x:row r="3" ht="58" customHeight="1">
      <x:c r="A3" s="110" t="str">
        <x:v>P13-02</x:v>
      </x:c>
      <x:c r="B3" s="32" t="str">
        <x:v>梦舟四状态与空间连续</x:v>
      </x:c>
      <x:c r="C3" s="32" t="str">
        <x:v>同一返回舱母图、三座承力区、环月工作位、轴向通道、四种乘员状态</x:v>
      </x:c>
      <x:c r="D3" s="110" t="str">
        <x:v>P0</x:v>
      </x:c>
      <x:c r="E3" s="110" t="str">
        <x:v>最高优先</x:v>
      </x:c>
    </x:row>
    <x:row r="4" ht="58" customHeight="1">
      <x:c r="A4" s="110" t="str">
        <x:v>P13-03</x:v>
      </x:c>
      <x:c r="B4" s="32" t="str">
        <x:v>揽月构型与动作链</x:v>
      </x:c>
      <x:c r="C4" s="32" t="str">
        <x:v>无人月轨状态、下降、着陆、单人出舱、回舱、整器起飞、再对接</x:v>
      </x:c>
      <x:c r="D4" s="110" t="str">
        <x:v>P0</x:v>
      </x:c>
      <x:c r="E4" s="110" t="str">
        <x:v>最高优先</x:v>
      </x:c>
    </x:row>
    <x:row r="5" ht="58" customHeight="1">
      <x:c r="A5" s="110" t="str">
        <x:v>P13-04</x:v>
      </x:c>
      <x:c r="B5" s="32" t="str">
        <x:v>摄影来源与遥测视觉重建</x:v>
      </x:c>
      <x:c r="C5" s="32" t="str">
        <x:v>任务相机组、视觉重建合成、来源角标、地月尺度连续</x:v>
      </x:c>
      <x:c r="D5" s="110" t="str">
        <x:v>P0/P1</x:v>
      </x:c>
      <x:c r="E5" s="110" t="str">
        <x:v>最高优先</x:v>
      </x:c>
    </x:row>
    <x:row r="6" ht="58" customHeight="1">
      <x:c r="A6" s="110" t="str">
        <x:v>P13-05</x:v>
      </x:c>
      <x:c r="B6" s="32" t="str">
        <x:v>月面相机与空间连续</x:v>
      </x:c>
      <x:c r="C6" s="32" t="str">
        <x:v>便携相机部署、同机位复用、宇航服相机、月球车前向和侧后相机</x:v>
      </x:c>
      <x:c r="D6" s="110" t="str">
        <x:v>P0/P1</x:v>
      </x:c>
      <x:c r="E6" s="110" t="str">
        <x:v>最高优先</x:v>
      </x:c>
    </x:row>
    <x:row r="7" ht="58" customHeight="1">
      <x:c r="A7" s="110" t="str">
        <x:v>P13-06</x:v>
      </x:c>
      <x:c r="B7" s="32" t="str">
        <x:v>国旗与月面科学任务</x:v>
      </x:c>
      <x:c r="C7" s="32" t="str">
        <x:v>国旗装置、月球车、采样、岩芯、载荷、样品与月尘状态</x:v>
      </x:c>
      <x:c r="D7" s="110" t="str">
        <x:v>P0/P1</x:v>
      </x:c>
      <x:c r="E7" s="110" t="str">
        <x:v>第二优先</x:v>
      </x:c>
    </x:row>
    <x:row r="8" ht="58" customHeight="1">
      <x:c r="A8" s="110" t="str">
        <x:v>P13-07</x:v>
      </x:c>
      <x:c r="B8" s="32" t="str">
        <x:v>飞控、媒体区与深空测控</x:v>
      </x:c>
      <x:c r="C8" s="32" t="str">
        <x:v>飞控大厅、媒体区直播、专家采访、佳木斯链路、任务UI与图卡</x:v>
      </x:c>
      <x:c r="D8" s="110" t="str">
        <x:v>P0/P1</x:v>
      </x:c>
      <x:c r="E8" s="110" t="str">
        <x:v>第二优先</x:v>
      </x:c>
    </x:row>
    <x:row r="9" ht="58" customHeight="1">
      <x:c r="A9" s="110" t="str">
        <x:v>P13-08</x:v>
      </x:c>
      <x:c r="B9" s="32" t="str">
        <x:v>梦舟返回与再入</x:v>
      </x:c>
      <x:c r="C9" s="32" t="str">
        <x:v>离月、服务舱分离、两段再入、黑障、红外发现和主伞</x:v>
      </x:c>
      <x:c r="D9" s="110" t="str">
        <x:v>P0/P1</x:v>
      </x:c>
      <x:c r="E9" s="110" t="str">
        <x:v>第二优先</x:v>
      </x:c>
    </x:row>
    <x:row r="10" ht="58" customHeight="1">
      <x:c r="A10" s="110" t="str">
        <x:v>P13-09</x:v>
      </x:c>
      <x:c r="B10" s="32" t="str">
        <x:v>东风着陆与医监回收</x:v>
      </x:c>
      <x:c r="C10" s="32" t="str">
        <x:v>着陆场、直升机车组、安全处置、开舱、座椅／担架、样品交接</x:v>
      </x:c>
      <x:c r="D10" s="110" t="str">
        <x:v>P0/P1</x:v>
      </x:c>
      <x:c r="E10" s="110" t="str">
        <x:v>第二优先</x:v>
      </x:c>
    </x:row>
    <x:row r="11" ht="58" customHeight="1">
      <x:c r="A11" s="110" t="str">
        <x:v>P13-10</x:v>
      </x:c>
      <x:c r="B11" s="32" t="str">
        <x:v>声音与后期图形约束</x:v>
      </x:c>
      <x:c r="C11" s="32" t="str">
        <x:v>无配乐、月面外部静音、独立音色、直播图形、时间码与推演声明</x:v>
      </x:c>
      <x:c r="D11" s="110" t="str">
        <x:v>P0/P1</x:v>
      </x:c>
      <x:c r="E11" s="110" t="str">
        <x:v>贯穿</x:v>
      </x:c>
    </x:row>
    <x:row r="12" ht="58" customHeight="1">
      <x:c r="A12" s="111" t="str">
        <x:v>P13-11</x:v>
      </x:c>
      <x:c r="B12" s="33" t="str">
        <x:v>119镜映射与QA</x:v>
      </x:c>
      <x:c r="C12" s="33" t="str">
        <x:v>逐镜ID校验、摄影来源、状态变体、停用资产隔离和场次聚合</x:v>
      </x:c>
      <x:c r="D12" s="111" t="str">
        <x:v>P0</x:v>
      </x:c>
      <x:c r="E12" s="111" t="str">
        <x:v>阶段2B入口</x:v>
      </x:c>
    </x:row>
  </x:sheetData>
  <x:conditionalFormatting sqref="E2:E12">
    <x:cfRule type="containsText" dxfId="9" priority="1" operator="containsText" text="最高优先"/>
  </x:conditionalFormatting>
  <x:pageMargins left="0.7" right="0.7" top="0.75" bottom="0.75" header="0.3" footer="0.3"/>
  <x:tableParts count="1">
    <x:tablePart xmlns:r="http://schemas.openxmlformats.org/officeDocument/2006/relationships" r:id="R82c699802753492b"/>
  </x:tableParts>
</x:worksheet>
</file>